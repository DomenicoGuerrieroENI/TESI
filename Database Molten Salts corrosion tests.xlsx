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https://enispa-my.sharepoint.com/personal/domenico_guerriero_external_eni_com/Documents/Desktop/Attività di tirocinio-tesi/Codice R/"/>
    </mc:Choice>
  </mc:AlternateContent>
  <xr:revisionPtr revIDLastSave="381" documentId="8_{10DD2913-3226-4C6D-8ED4-5DBC9D37B60D}" xr6:coauthVersionLast="47" xr6:coauthVersionMax="47" xr10:uidLastSave="{ECD83CCF-81A5-4184-91F0-138ACAB0D73A}"/>
  <bookViews>
    <workbookView xWindow="-120" yWindow="-120" windowWidth="20730" windowHeight="11160" tabRatio="869" activeTab="3" xr2:uid="{00000000-000D-0000-FFFF-FFFF00000000}"/>
  </bookViews>
  <sheets>
    <sheet name="Sheet1" sheetId="1" r:id="rId1"/>
    <sheet name="Ellingham diagram linear coeffi" sheetId="11" r:id="rId2"/>
    <sheet name="∆G Ellingham Diagram coeff." sheetId="12" r:id="rId3"/>
    <sheet name="Corrosion dataset" sheetId="4" r:id="rId4"/>
    <sheet name="Corrosion dataset to export" sheetId="16" r:id="rId5"/>
    <sheet name="Old-corrosion dataset to export" sheetId="15" r:id="rId6"/>
  </sheets>
  <definedNames>
    <definedName name="_xlnm._FilterDatabase" localSheetId="4" hidden="1">'Corrosion dataset to export'!$A$1:$AN$227</definedName>
    <definedName name="_xlnm._FilterDatabase" localSheetId="5" hidden="1">'Old-corrosion dataset to export'!$A$1:$CH$260</definedName>
    <definedName name="DatiEsterni_1" localSheetId="2" hidden="1">'∆G Ellingham Diagram coeff.'!#REF!</definedName>
    <definedName name="DatiEsterni_1" localSheetId="3" hidden="1">'Corrosion dataset'!$A$1:$DR$317</definedName>
    <definedName name="DatiEsterni_1" localSheetId="4" hidden="1">'Corrosion dataset to export'!#REF!</definedName>
    <definedName name="DatiEsterni_1" localSheetId="1" hidden="1">'Ellingham diagram linear coeffi'!#REF!</definedName>
    <definedName name="DatiEsterni_1" localSheetId="5" hidden="1">'Old-corrosion dataset to export'!#REF!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47" i="4" l="1"/>
  <c r="BL53" i="4"/>
  <c r="BL57" i="4"/>
  <c r="BL280" i="4"/>
  <c r="G26" i="12"/>
  <c r="BJ415" i="4" s="1"/>
  <c r="G15" i="12"/>
  <c r="BJ404" i="4" s="1"/>
  <c r="G14" i="12"/>
  <c r="BJ403" i="4" s="1"/>
  <c r="G12" i="12"/>
  <c r="BJ401" i="4" s="1"/>
  <c r="G10" i="12"/>
  <c r="BJ399" i="4" s="1"/>
  <c r="G9" i="12"/>
  <c r="BJ398" i="4" s="1"/>
  <c r="G8" i="12"/>
  <c r="BJ397" i="4" s="1"/>
  <c r="G13" i="12"/>
  <c r="BJ402" i="4" s="1"/>
  <c r="G7" i="12"/>
  <c r="BJ396" i="4" s="1"/>
  <c r="BL151" i="4" s="1"/>
  <c r="G27" i="12"/>
  <c r="BJ416" i="4" s="1"/>
  <c r="G24" i="12"/>
  <c r="BJ413" i="4" s="1"/>
  <c r="G23" i="12"/>
  <c r="BJ412" i="4" s="1"/>
  <c r="G22" i="12"/>
  <c r="BJ411" i="4" s="1"/>
  <c r="G20" i="12"/>
  <c r="BJ409" i="4" s="1"/>
  <c r="G19" i="12"/>
  <c r="BJ408" i="4" s="1"/>
  <c r="G18" i="12"/>
  <c r="BJ407" i="4" s="1"/>
  <c r="G17" i="12"/>
  <c r="BJ406" i="4" s="1"/>
  <c r="G16" i="12"/>
  <c r="BJ405" i="4" s="1"/>
  <c r="H10" i="12"/>
  <c r="BK399" i="4" s="1"/>
  <c r="H9" i="12"/>
  <c r="BK398" i="4" s="1"/>
  <c r="BL18" i="4" s="1"/>
  <c r="H26" i="12"/>
  <c r="BK415" i="4" s="1"/>
  <c r="H8" i="12"/>
  <c r="BK397" i="4" s="1"/>
  <c r="H12" i="12"/>
  <c r="BK401" i="4" s="1"/>
  <c r="H14" i="12"/>
  <c r="BK403" i="4" s="1"/>
  <c r="H15" i="12"/>
  <c r="BK404" i="4" s="1"/>
  <c r="H16" i="12"/>
  <c r="BK405" i="4" s="1"/>
  <c r="H13" i="12"/>
  <c r="BK402" i="4" s="1"/>
  <c r="H7" i="12"/>
  <c r="BK396" i="4" s="1"/>
  <c r="H27" i="12"/>
  <c r="BK416" i="4" s="1"/>
  <c r="H24" i="12"/>
  <c r="BK413" i="4" s="1"/>
  <c r="H23" i="12"/>
  <c r="BK412" i="4" s="1"/>
  <c r="H22" i="12"/>
  <c r="BK411" i="4" s="1"/>
  <c r="H20" i="12"/>
  <c r="BK409" i="4" s="1"/>
  <c r="H19" i="12"/>
  <c r="BK408" i="4" s="1"/>
  <c r="H18" i="12"/>
  <c r="BK407" i="4" s="1"/>
  <c r="H17" i="12"/>
  <c r="BK406" i="4" s="1"/>
  <c r="BL55" i="4" s="1"/>
  <c r="BE390" i="4"/>
  <c r="BX349" i="4"/>
  <c r="BX352" i="4" s="1"/>
  <c r="BT349" i="4"/>
  <c r="BX336" i="4"/>
  <c r="BX339" i="4" s="1"/>
  <c r="BT336" i="4"/>
  <c r="N45" i="11"/>
  <c r="M45" i="11"/>
  <c r="M44" i="11"/>
  <c r="N34" i="11"/>
  <c r="BJ348" i="4"/>
  <c r="BK348" i="4"/>
  <c r="BL348" i="4"/>
  <c r="BL346" i="4"/>
  <c r="BK346" i="4"/>
  <c r="BL344" i="4"/>
  <c r="BK344" i="4"/>
  <c r="BJ346" i="4"/>
  <c r="BJ344" i="4"/>
  <c r="M34" i="11"/>
  <c r="BE331" i="4"/>
  <c r="N44" i="11"/>
  <c r="N42" i="11"/>
  <c r="N41" i="11"/>
  <c r="M42" i="11"/>
  <c r="M41" i="11"/>
  <c r="N36" i="11"/>
  <c r="M35" i="11"/>
  <c r="N35" i="11"/>
  <c r="M36" i="11"/>
  <c r="M37" i="11"/>
  <c r="N37" i="11"/>
  <c r="M38" i="11"/>
  <c r="N38" i="11"/>
  <c r="M40" i="11"/>
  <c r="N40" i="11"/>
  <c r="M43" i="11"/>
  <c r="N43" i="11"/>
  <c r="AM8" i="4"/>
  <c r="AN8" i="4"/>
  <c r="AO8" i="4"/>
  <c r="AP8" i="4"/>
  <c r="AQ8" i="4"/>
  <c r="AR8" i="4"/>
  <c r="AS8" i="4"/>
  <c r="AT8" i="4"/>
  <c r="AU8" i="4"/>
  <c r="AV8" i="4"/>
  <c r="AW8" i="4"/>
  <c r="AX8" i="4"/>
  <c r="AY8" i="4"/>
  <c r="AZ8" i="4"/>
  <c r="BA8" i="4"/>
  <c r="BB8" i="4"/>
  <c r="BC8" i="4"/>
  <c r="BD8" i="4"/>
  <c r="BE8" i="4"/>
  <c r="BF8" i="4"/>
  <c r="BG8" i="4"/>
  <c r="BH8" i="4"/>
  <c r="BI8" i="4"/>
  <c r="BJ8" i="4"/>
  <c r="AM9" i="4"/>
  <c r="AN9" i="4"/>
  <c r="AO9" i="4"/>
  <c r="AP9" i="4"/>
  <c r="AQ9" i="4"/>
  <c r="AR9" i="4"/>
  <c r="AS9" i="4"/>
  <c r="AT9" i="4"/>
  <c r="AU9" i="4"/>
  <c r="AV9" i="4"/>
  <c r="AW9" i="4"/>
  <c r="AX9" i="4"/>
  <c r="AY9" i="4"/>
  <c r="AZ9" i="4"/>
  <c r="BA9" i="4"/>
  <c r="BB9" i="4"/>
  <c r="BC9" i="4"/>
  <c r="BD9" i="4"/>
  <c r="BE9" i="4"/>
  <c r="BF9" i="4"/>
  <c r="BG9" i="4"/>
  <c r="BH9" i="4"/>
  <c r="BI9" i="4"/>
  <c r="BJ9" i="4"/>
  <c r="AM10" i="4"/>
  <c r="AN10" i="4"/>
  <c r="AO10" i="4"/>
  <c r="AP10" i="4"/>
  <c r="AQ10" i="4"/>
  <c r="AR10" i="4"/>
  <c r="AS10" i="4"/>
  <c r="AT10" i="4"/>
  <c r="AU10" i="4"/>
  <c r="AV10" i="4"/>
  <c r="AW10" i="4"/>
  <c r="AX10" i="4"/>
  <c r="AY10" i="4"/>
  <c r="AZ10" i="4"/>
  <c r="BA10" i="4"/>
  <c r="BB10" i="4"/>
  <c r="BC10" i="4"/>
  <c r="BD10" i="4"/>
  <c r="BE10" i="4"/>
  <c r="BF10" i="4"/>
  <c r="BG10" i="4"/>
  <c r="BH10" i="4"/>
  <c r="BI10" i="4"/>
  <c r="BJ10" i="4"/>
  <c r="AM11" i="4"/>
  <c r="AN11" i="4"/>
  <c r="AO11" i="4"/>
  <c r="AP11" i="4"/>
  <c r="AQ11" i="4"/>
  <c r="AR11" i="4"/>
  <c r="AS11" i="4"/>
  <c r="AT11" i="4"/>
  <c r="AU11" i="4"/>
  <c r="AV11" i="4"/>
  <c r="AW11" i="4"/>
  <c r="AX11" i="4"/>
  <c r="AY11" i="4"/>
  <c r="AZ11" i="4"/>
  <c r="BA11" i="4"/>
  <c r="BB11" i="4"/>
  <c r="BC11" i="4"/>
  <c r="BD11" i="4"/>
  <c r="BE11" i="4"/>
  <c r="BF11" i="4"/>
  <c r="BG11" i="4"/>
  <c r="BH11" i="4"/>
  <c r="BI11" i="4"/>
  <c r="BJ11" i="4"/>
  <c r="AM12" i="4"/>
  <c r="AN12" i="4"/>
  <c r="AO12" i="4"/>
  <c r="AP12" i="4"/>
  <c r="AQ12" i="4"/>
  <c r="AR12" i="4"/>
  <c r="AS12" i="4"/>
  <c r="AT12" i="4"/>
  <c r="AU12" i="4"/>
  <c r="AV12" i="4"/>
  <c r="AW12" i="4"/>
  <c r="AX12" i="4"/>
  <c r="AY12" i="4"/>
  <c r="AZ12" i="4"/>
  <c r="BA12" i="4"/>
  <c r="BB12" i="4"/>
  <c r="BC12" i="4"/>
  <c r="BD12" i="4"/>
  <c r="BE12" i="4"/>
  <c r="BF12" i="4"/>
  <c r="BG12" i="4"/>
  <c r="BH12" i="4"/>
  <c r="BI12" i="4"/>
  <c r="BJ12" i="4"/>
  <c r="AM13" i="4"/>
  <c r="AN13" i="4"/>
  <c r="AO13" i="4"/>
  <c r="AP13" i="4"/>
  <c r="AQ13" i="4"/>
  <c r="AR13" i="4"/>
  <c r="AS13" i="4"/>
  <c r="AT13" i="4"/>
  <c r="AU13" i="4"/>
  <c r="AV13" i="4"/>
  <c r="AW13" i="4"/>
  <c r="AX13" i="4"/>
  <c r="AY13" i="4"/>
  <c r="AZ13" i="4"/>
  <c r="BA13" i="4"/>
  <c r="BB13" i="4"/>
  <c r="BC13" i="4"/>
  <c r="BD13" i="4"/>
  <c r="BE13" i="4"/>
  <c r="BF13" i="4"/>
  <c r="BG13" i="4"/>
  <c r="BH13" i="4"/>
  <c r="BI13" i="4"/>
  <c r="BJ13" i="4"/>
  <c r="AM14" i="4"/>
  <c r="AN14" i="4"/>
  <c r="AO14" i="4"/>
  <c r="AP14" i="4"/>
  <c r="AQ14" i="4"/>
  <c r="AR14" i="4"/>
  <c r="AS14" i="4"/>
  <c r="AT14" i="4"/>
  <c r="AU14" i="4"/>
  <c r="AV14" i="4"/>
  <c r="AW14" i="4"/>
  <c r="AX14" i="4"/>
  <c r="AY14" i="4"/>
  <c r="AZ14" i="4"/>
  <c r="BA14" i="4"/>
  <c r="BB14" i="4"/>
  <c r="BC14" i="4"/>
  <c r="BD14" i="4"/>
  <c r="BE14" i="4"/>
  <c r="BF14" i="4"/>
  <c r="BG14" i="4"/>
  <c r="BH14" i="4"/>
  <c r="BI14" i="4"/>
  <c r="BJ14" i="4"/>
  <c r="AM15" i="4"/>
  <c r="AN15" i="4"/>
  <c r="AO15" i="4"/>
  <c r="AP15" i="4"/>
  <c r="AQ15" i="4"/>
  <c r="AR15" i="4"/>
  <c r="AS15" i="4"/>
  <c r="AT15" i="4"/>
  <c r="AU15" i="4"/>
  <c r="AV15" i="4"/>
  <c r="AW15" i="4"/>
  <c r="AX15" i="4"/>
  <c r="AY15" i="4"/>
  <c r="AZ15" i="4"/>
  <c r="BA15" i="4"/>
  <c r="BB15" i="4"/>
  <c r="BC15" i="4"/>
  <c r="BD15" i="4"/>
  <c r="BE15" i="4"/>
  <c r="BF15" i="4"/>
  <c r="BG15" i="4"/>
  <c r="BH15" i="4"/>
  <c r="BI15" i="4"/>
  <c r="BJ15" i="4"/>
  <c r="AM16" i="4"/>
  <c r="AN16" i="4"/>
  <c r="AO16" i="4"/>
  <c r="AP16" i="4"/>
  <c r="AQ16" i="4"/>
  <c r="AR16" i="4"/>
  <c r="AS16" i="4"/>
  <c r="AT16" i="4"/>
  <c r="AU16" i="4"/>
  <c r="AV16" i="4"/>
  <c r="AW16" i="4"/>
  <c r="AX16" i="4"/>
  <c r="AY16" i="4"/>
  <c r="AZ16" i="4"/>
  <c r="BA16" i="4"/>
  <c r="BB16" i="4"/>
  <c r="BC16" i="4"/>
  <c r="BD16" i="4"/>
  <c r="BE16" i="4"/>
  <c r="BF16" i="4"/>
  <c r="BG16" i="4"/>
  <c r="BH16" i="4"/>
  <c r="BI16" i="4"/>
  <c r="BJ16" i="4"/>
  <c r="AM17" i="4"/>
  <c r="AN17" i="4"/>
  <c r="AO17" i="4"/>
  <c r="AP17" i="4"/>
  <c r="AQ17" i="4"/>
  <c r="AR17" i="4"/>
  <c r="AS17" i="4"/>
  <c r="AT17" i="4"/>
  <c r="AU17" i="4"/>
  <c r="AV17" i="4"/>
  <c r="AW17" i="4"/>
  <c r="AX17" i="4"/>
  <c r="AY17" i="4"/>
  <c r="AZ17" i="4"/>
  <c r="BA17" i="4"/>
  <c r="BB17" i="4"/>
  <c r="BC17" i="4"/>
  <c r="BD17" i="4"/>
  <c r="BE17" i="4"/>
  <c r="BF17" i="4"/>
  <c r="BG17" i="4"/>
  <c r="BH17" i="4"/>
  <c r="BI17" i="4"/>
  <c r="BJ17" i="4"/>
  <c r="AM18" i="4"/>
  <c r="AN18" i="4"/>
  <c r="AO18" i="4"/>
  <c r="AP18" i="4"/>
  <c r="AQ18" i="4"/>
  <c r="AR18" i="4"/>
  <c r="AS18" i="4"/>
  <c r="AT18" i="4"/>
  <c r="AU18" i="4"/>
  <c r="AV18" i="4"/>
  <c r="AW18" i="4"/>
  <c r="AX18" i="4"/>
  <c r="AY18" i="4"/>
  <c r="AZ18" i="4"/>
  <c r="BA18" i="4"/>
  <c r="BB18" i="4"/>
  <c r="BC18" i="4"/>
  <c r="BD18" i="4"/>
  <c r="BE18" i="4"/>
  <c r="BF18" i="4"/>
  <c r="BG18" i="4"/>
  <c r="BH18" i="4"/>
  <c r="BI18" i="4"/>
  <c r="BJ18" i="4"/>
  <c r="AM19" i="4"/>
  <c r="AN19" i="4"/>
  <c r="AO19" i="4"/>
  <c r="AP19" i="4"/>
  <c r="AQ19" i="4"/>
  <c r="AR19" i="4"/>
  <c r="AS19" i="4"/>
  <c r="AT19" i="4"/>
  <c r="AU19" i="4"/>
  <c r="AV19" i="4"/>
  <c r="AW19" i="4"/>
  <c r="AX19" i="4"/>
  <c r="AY19" i="4"/>
  <c r="AZ19" i="4"/>
  <c r="BA19" i="4"/>
  <c r="BB19" i="4"/>
  <c r="BC19" i="4"/>
  <c r="BD19" i="4"/>
  <c r="BE19" i="4"/>
  <c r="BF19" i="4"/>
  <c r="BG19" i="4"/>
  <c r="BH19" i="4"/>
  <c r="BI19" i="4"/>
  <c r="BJ19" i="4"/>
  <c r="AM20" i="4"/>
  <c r="AN20" i="4"/>
  <c r="AO20" i="4"/>
  <c r="AP20" i="4"/>
  <c r="AQ20" i="4"/>
  <c r="AR20" i="4"/>
  <c r="AS20" i="4"/>
  <c r="AT20" i="4"/>
  <c r="AU20" i="4"/>
  <c r="AV20" i="4"/>
  <c r="AW20" i="4"/>
  <c r="AX20" i="4"/>
  <c r="AY20" i="4"/>
  <c r="AZ20" i="4"/>
  <c r="BA20" i="4"/>
  <c r="BB20" i="4"/>
  <c r="BC20" i="4"/>
  <c r="BD20" i="4"/>
  <c r="BE20" i="4"/>
  <c r="BF20" i="4"/>
  <c r="BG20" i="4"/>
  <c r="BH20" i="4"/>
  <c r="BI20" i="4"/>
  <c r="BJ20" i="4"/>
  <c r="AM21" i="4"/>
  <c r="AN21" i="4"/>
  <c r="AO21" i="4"/>
  <c r="AP21" i="4"/>
  <c r="AQ21" i="4"/>
  <c r="AR21" i="4"/>
  <c r="AS21" i="4"/>
  <c r="AT21" i="4"/>
  <c r="AU21" i="4"/>
  <c r="AV21" i="4"/>
  <c r="AW21" i="4"/>
  <c r="AX21" i="4"/>
  <c r="AY21" i="4"/>
  <c r="AZ21" i="4"/>
  <c r="BA21" i="4"/>
  <c r="BB21" i="4"/>
  <c r="BC21" i="4"/>
  <c r="BD21" i="4"/>
  <c r="BE21" i="4"/>
  <c r="BF21" i="4"/>
  <c r="BG21" i="4"/>
  <c r="BH21" i="4"/>
  <c r="BI21" i="4"/>
  <c r="BJ21" i="4"/>
  <c r="AM22" i="4"/>
  <c r="AN22" i="4"/>
  <c r="AO22" i="4"/>
  <c r="AP22" i="4"/>
  <c r="AQ22" i="4"/>
  <c r="AR22" i="4"/>
  <c r="AS22" i="4"/>
  <c r="AT22" i="4"/>
  <c r="AU22" i="4"/>
  <c r="AV22" i="4"/>
  <c r="AW22" i="4"/>
  <c r="AX22" i="4"/>
  <c r="AY22" i="4"/>
  <c r="AZ22" i="4"/>
  <c r="BA22" i="4"/>
  <c r="BB22" i="4"/>
  <c r="BC22" i="4"/>
  <c r="BD22" i="4"/>
  <c r="BE22" i="4"/>
  <c r="BF22" i="4"/>
  <c r="BG22" i="4"/>
  <c r="BH22" i="4"/>
  <c r="BI22" i="4"/>
  <c r="BJ22" i="4"/>
  <c r="AM23" i="4"/>
  <c r="AN23" i="4"/>
  <c r="AO23" i="4"/>
  <c r="AP23" i="4"/>
  <c r="AQ23" i="4"/>
  <c r="AR23" i="4"/>
  <c r="AS23" i="4"/>
  <c r="AT23" i="4"/>
  <c r="AU23" i="4"/>
  <c r="AV23" i="4"/>
  <c r="AW23" i="4"/>
  <c r="AX23" i="4"/>
  <c r="AY23" i="4"/>
  <c r="AZ23" i="4"/>
  <c r="BA23" i="4"/>
  <c r="BB23" i="4"/>
  <c r="BC23" i="4"/>
  <c r="BD23" i="4"/>
  <c r="BE23" i="4"/>
  <c r="BF23" i="4"/>
  <c r="BG23" i="4"/>
  <c r="BH23" i="4"/>
  <c r="BI23" i="4"/>
  <c r="BJ23" i="4"/>
  <c r="AM24" i="4"/>
  <c r="AN24" i="4"/>
  <c r="AO24" i="4"/>
  <c r="AP24" i="4"/>
  <c r="AQ24" i="4"/>
  <c r="AR24" i="4"/>
  <c r="AS24" i="4"/>
  <c r="AT24" i="4"/>
  <c r="AU24" i="4"/>
  <c r="AV24" i="4"/>
  <c r="AW24" i="4"/>
  <c r="AX24" i="4"/>
  <c r="AY24" i="4"/>
  <c r="AZ24" i="4"/>
  <c r="BA24" i="4"/>
  <c r="BB24" i="4"/>
  <c r="BC24" i="4"/>
  <c r="BD24" i="4"/>
  <c r="BE24" i="4"/>
  <c r="BF24" i="4"/>
  <c r="BG24" i="4"/>
  <c r="BH24" i="4"/>
  <c r="BI24" i="4"/>
  <c r="BJ24" i="4"/>
  <c r="AM25" i="4"/>
  <c r="AN25" i="4"/>
  <c r="AO25" i="4"/>
  <c r="AP25" i="4"/>
  <c r="AQ25" i="4"/>
  <c r="AR25" i="4"/>
  <c r="AS25" i="4"/>
  <c r="AT25" i="4"/>
  <c r="AU25" i="4"/>
  <c r="AV25" i="4"/>
  <c r="AW25" i="4"/>
  <c r="AX25" i="4"/>
  <c r="AY25" i="4"/>
  <c r="AZ25" i="4"/>
  <c r="BA25" i="4"/>
  <c r="BB25" i="4"/>
  <c r="BC25" i="4"/>
  <c r="BD25" i="4"/>
  <c r="BE25" i="4"/>
  <c r="BF25" i="4"/>
  <c r="BG25" i="4"/>
  <c r="BH25" i="4"/>
  <c r="BI25" i="4"/>
  <c r="BJ25" i="4"/>
  <c r="AM26" i="4"/>
  <c r="AN26" i="4"/>
  <c r="AO26" i="4"/>
  <c r="AP26" i="4"/>
  <c r="AQ26" i="4"/>
  <c r="AR26" i="4"/>
  <c r="AS26" i="4"/>
  <c r="AT26" i="4"/>
  <c r="AU26" i="4"/>
  <c r="AV26" i="4"/>
  <c r="AW26" i="4"/>
  <c r="AX26" i="4"/>
  <c r="AY26" i="4"/>
  <c r="AZ26" i="4"/>
  <c r="BA26" i="4"/>
  <c r="BB26" i="4"/>
  <c r="BC26" i="4"/>
  <c r="BD26" i="4"/>
  <c r="BE26" i="4"/>
  <c r="BF26" i="4"/>
  <c r="BG26" i="4"/>
  <c r="BH26" i="4"/>
  <c r="BI26" i="4"/>
  <c r="BJ26" i="4"/>
  <c r="AM27" i="4"/>
  <c r="AN27" i="4"/>
  <c r="AO27" i="4"/>
  <c r="AP27" i="4"/>
  <c r="AQ27" i="4"/>
  <c r="AR27" i="4"/>
  <c r="AS27" i="4"/>
  <c r="AT27" i="4"/>
  <c r="AU27" i="4"/>
  <c r="AV27" i="4"/>
  <c r="AW27" i="4"/>
  <c r="AX27" i="4"/>
  <c r="AY27" i="4"/>
  <c r="AZ27" i="4"/>
  <c r="BA27" i="4"/>
  <c r="BB27" i="4"/>
  <c r="BC27" i="4"/>
  <c r="BD27" i="4"/>
  <c r="BE27" i="4"/>
  <c r="BF27" i="4"/>
  <c r="BG27" i="4"/>
  <c r="BH27" i="4"/>
  <c r="BI27" i="4"/>
  <c r="BJ27" i="4"/>
  <c r="AM28" i="4"/>
  <c r="AN28" i="4"/>
  <c r="AO28" i="4"/>
  <c r="AP28" i="4"/>
  <c r="AQ28" i="4"/>
  <c r="AR28" i="4"/>
  <c r="AS28" i="4"/>
  <c r="AT28" i="4"/>
  <c r="AU28" i="4"/>
  <c r="AV28" i="4"/>
  <c r="AW28" i="4"/>
  <c r="AX28" i="4"/>
  <c r="AY28" i="4"/>
  <c r="AZ28" i="4"/>
  <c r="BA28" i="4"/>
  <c r="BB28" i="4"/>
  <c r="BC28" i="4"/>
  <c r="BD28" i="4"/>
  <c r="BE28" i="4"/>
  <c r="BF28" i="4"/>
  <c r="BG28" i="4"/>
  <c r="BH28" i="4"/>
  <c r="BI28" i="4"/>
  <c r="BJ28" i="4"/>
  <c r="AM29" i="4"/>
  <c r="AN29" i="4"/>
  <c r="AO29" i="4"/>
  <c r="AP29" i="4"/>
  <c r="AQ29" i="4"/>
  <c r="AR29" i="4"/>
  <c r="AS29" i="4"/>
  <c r="AT29" i="4"/>
  <c r="AU29" i="4"/>
  <c r="AV29" i="4"/>
  <c r="AW29" i="4"/>
  <c r="AX29" i="4"/>
  <c r="AY29" i="4"/>
  <c r="AZ29" i="4"/>
  <c r="BA29" i="4"/>
  <c r="BB29" i="4"/>
  <c r="BC29" i="4"/>
  <c r="BD29" i="4"/>
  <c r="BE29" i="4"/>
  <c r="BF29" i="4"/>
  <c r="BG29" i="4"/>
  <c r="BH29" i="4"/>
  <c r="BI29" i="4"/>
  <c r="BJ29" i="4"/>
  <c r="AM30" i="4"/>
  <c r="AN30" i="4"/>
  <c r="AO30" i="4"/>
  <c r="AP30" i="4"/>
  <c r="AQ30" i="4"/>
  <c r="AR30" i="4"/>
  <c r="AS30" i="4"/>
  <c r="AT30" i="4"/>
  <c r="AU30" i="4"/>
  <c r="AV30" i="4"/>
  <c r="AW30" i="4"/>
  <c r="AX30" i="4"/>
  <c r="AY30" i="4"/>
  <c r="AZ30" i="4"/>
  <c r="BA30" i="4"/>
  <c r="BB30" i="4"/>
  <c r="BC30" i="4"/>
  <c r="BD30" i="4"/>
  <c r="BE30" i="4"/>
  <c r="BF30" i="4"/>
  <c r="BG30" i="4"/>
  <c r="BH30" i="4"/>
  <c r="BI30" i="4"/>
  <c r="BJ30" i="4"/>
  <c r="AM31" i="4"/>
  <c r="AN31" i="4"/>
  <c r="AO31" i="4"/>
  <c r="AP31" i="4"/>
  <c r="AQ31" i="4"/>
  <c r="AR31" i="4"/>
  <c r="AS31" i="4"/>
  <c r="AT31" i="4"/>
  <c r="AU31" i="4"/>
  <c r="AV31" i="4"/>
  <c r="AW31" i="4"/>
  <c r="AX31" i="4"/>
  <c r="AY31" i="4"/>
  <c r="AZ31" i="4"/>
  <c r="BA31" i="4"/>
  <c r="BB31" i="4"/>
  <c r="BC31" i="4"/>
  <c r="BD31" i="4"/>
  <c r="BE31" i="4"/>
  <c r="BF31" i="4"/>
  <c r="BG31" i="4"/>
  <c r="BH31" i="4"/>
  <c r="BI31" i="4"/>
  <c r="BJ31" i="4"/>
  <c r="AM32" i="4"/>
  <c r="AN32" i="4"/>
  <c r="AO32" i="4"/>
  <c r="AP32" i="4"/>
  <c r="AQ32" i="4"/>
  <c r="AR32" i="4"/>
  <c r="AS32" i="4"/>
  <c r="AT32" i="4"/>
  <c r="AU32" i="4"/>
  <c r="AV32" i="4"/>
  <c r="AW32" i="4"/>
  <c r="AX32" i="4"/>
  <c r="AY32" i="4"/>
  <c r="AZ32" i="4"/>
  <c r="BA32" i="4"/>
  <c r="BB32" i="4"/>
  <c r="BC32" i="4"/>
  <c r="BD32" i="4"/>
  <c r="BE32" i="4"/>
  <c r="BF32" i="4"/>
  <c r="BG32" i="4"/>
  <c r="BH32" i="4"/>
  <c r="BI32" i="4"/>
  <c r="BJ32" i="4"/>
  <c r="AM33" i="4"/>
  <c r="AN33" i="4"/>
  <c r="AO33" i="4"/>
  <c r="AP33" i="4"/>
  <c r="AQ33" i="4"/>
  <c r="AR33" i="4"/>
  <c r="AS33" i="4"/>
  <c r="AT33" i="4"/>
  <c r="AU33" i="4"/>
  <c r="AV33" i="4"/>
  <c r="AW33" i="4"/>
  <c r="AX33" i="4"/>
  <c r="AY33" i="4"/>
  <c r="AZ33" i="4"/>
  <c r="BA33" i="4"/>
  <c r="BB33" i="4"/>
  <c r="BC33" i="4"/>
  <c r="BD33" i="4"/>
  <c r="BE33" i="4"/>
  <c r="BF33" i="4"/>
  <c r="BG33" i="4"/>
  <c r="BH33" i="4"/>
  <c r="BI33" i="4"/>
  <c r="BJ33" i="4"/>
  <c r="AM34" i="4"/>
  <c r="AN34" i="4"/>
  <c r="AO34" i="4"/>
  <c r="AP34" i="4"/>
  <c r="AQ34" i="4"/>
  <c r="AR34" i="4"/>
  <c r="AS34" i="4"/>
  <c r="AT34" i="4"/>
  <c r="AU34" i="4"/>
  <c r="AV34" i="4"/>
  <c r="AW34" i="4"/>
  <c r="AX34" i="4"/>
  <c r="AY34" i="4"/>
  <c r="AZ34" i="4"/>
  <c r="BA34" i="4"/>
  <c r="BB34" i="4"/>
  <c r="BC34" i="4"/>
  <c r="BD34" i="4"/>
  <c r="BE34" i="4"/>
  <c r="BF34" i="4"/>
  <c r="BG34" i="4"/>
  <c r="BH34" i="4"/>
  <c r="BI34" i="4"/>
  <c r="BJ34" i="4"/>
  <c r="AM35" i="4"/>
  <c r="AN35" i="4"/>
  <c r="AO35" i="4"/>
  <c r="AP35" i="4"/>
  <c r="AQ35" i="4"/>
  <c r="AR35" i="4"/>
  <c r="AS35" i="4"/>
  <c r="AT35" i="4"/>
  <c r="AU35" i="4"/>
  <c r="AV35" i="4"/>
  <c r="AW35" i="4"/>
  <c r="AX35" i="4"/>
  <c r="AY35" i="4"/>
  <c r="AZ35" i="4"/>
  <c r="BA35" i="4"/>
  <c r="BB35" i="4"/>
  <c r="BC35" i="4"/>
  <c r="BD35" i="4"/>
  <c r="BE35" i="4"/>
  <c r="BF35" i="4"/>
  <c r="BG35" i="4"/>
  <c r="BH35" i="4"/>
  <c r="BI35" i="4"/>
  <c r="BJ35" i="4"/>
  <c r="AM36" i="4"/>
  <c r="AN36" i="4"/>
  <c r="AO36" i="4"/>
  <c r="AP36" i="4"/>
  <c r="AQ36" i="4"/>
  <c r="AR36" i="4"/>
  <c r="AS36" i="4"/>
  <c r="AT36" i="4"/>
  <c r="AU36" i="4"/>
  <c r="AV36" i="4"/>
  <c r="AW36" i="4"/>
  <c r="AX36" i="4"/>
  <c r="AY36" i="4"/>
  <c r="AZ36" i="4"/>
  <c r="BA36" i="4"/>
  <c r="BB36" i="4"/>
  <c r="BC36" i="4"/>
  <c r="BD36" i="4"/>
  <c r="BE36" i="4"/>
  <c r="BF36" i="4"/>
  <c r="BG36" i="4"/>
  <c r="BH36" i="4"/>
  <c r="BI36" i="4"/>
  <c r="BJ36" i="4"/>
  <c r="AM37" i="4"/>
  <c r="AN37" i="4"/>
  <c r="AO37" i="4"/>
  <c r="AP37" i="4"/>
  <c r="AQ37" i="4"/>
  <c r="AR37" i="4"/>
  <c r="AS37" i="4"/>
  <c r="AT37" i="4"/>
  <c r="AU37" i="4"/>
  <c r="AV37" i="4"/>
  <c r="AW37" i="4"/>
  <c r="AX37" i="4"/>
  <c r="AY37" i="4"/>
  <c r="AZ37" i="4"/>
  <c r="BA37" i="4"/>
  <c r="BB37" i="4"/>
  <c r="BC37" i="4"/>
  <c r="BD37" i="4"/>
  <c r="BE37" i="4"/>
  <c r="BF37" i="4"/>
  <c r="BG37" i="4"/>
  <c r="BH37" i="4"/>
  <c r="BI37" i="4"/>
  <c r="BJ37" i="4"/>
  <c r="AM38" i="4"/>
  <c r="AN38" i="4"/>
  <c r="AO38" i="4"/>
  <c r="AP38" i="4"/>
  <c r="AQ38" i="4"/>
  <c r="AR38" i="4"/>
  <c r="AS38" i="4"/>
  <c r="AT38" i="4"/>
  <c r="AU38" i="4"/>
  <c r="AV38" i="4"/>
  <c r="AW38" i="4"/>
  <c r="AX38" i="4"/>
  <c r="AY38" i="4"/>
  <c r="AZ38" i="4"/>
  <c r="BA38" i="4"/>
  <c r="BB38" i="4"/>
  <c r="BC38" i="4"/>
  <c r="BD38" i="4"/>
  <c r="BE38" i="4"/>
  <c r="BF38" i="4"/>
  <c r="BG38" i="4"/>
  <c r="BH38" i="4"/>
  <c r="BI38" i="4"/>
  <c r="BJ38" i="4"/>
  <c r="AM39" i="4"/>
  <c r="AN39" i="4"/>
  <c r="AO39" i="4"/>
  <c r="AP39" i="4"/>
  <c r="AQ39" i="4"/>
  <c r="AR39" i="4"/>
  <c r="AS39" i="4"/>
  <c r="AT39" i="4"/>
  <c r="AU39" i="4"/>
  <c r="AV39" i="4"/>
  <c r="AW39" i="4"/>
  <c r="AX39" i="4"/>
  <c r="AY39" i="4"/>
  <c r="AZ39" i="4"/>
  <c r="BA39" i="4"/>
  <c r="BB39" i="4"/>
  <c r="BC39" i="4"/>
  <c r="BD39" i="4"/>
  <c r="BE39" i="4"/>
  <c r="BF39" i="4"/>
  <c r="BG39" i="4"/>
  <c r="BH39" i="4"/>
  <c r="BI39" i="4"/>
  <c r="BJ39" i="4"/>
  <c r="AM40" i="4"/>
  <c r="AN40" i="4"/>
  <c r="AO40" i="4"/>
  <c r="AP40" i="4"/>
  <c r="AQ40" i="4"/>
  <c r="AR40" i="4"/>
  <c r="AS40" i="4"/>
  <c r="AT40" i="4"/>
  <c r="AU40" i="4"/>
  <c r="AV40" i="4"/>
  <c r="AW40" i="4"/>
  <c r="AX40" i="4"/>
  <c r="AY40" i="4"/>
  <c r="AZ40" i="4"/>
  <c r="BA40" i="4"/>
  <c r="BB40" i="4"/>
  <c r="BC40" i="4"/>
  <c r="BD40" i="4"/>
  <c r="BE40" i="4"/>
  <c r="BF40" i="4"/>
  <c r="BG40" i="4"/>
  <c r="BH40" i="4"/>
  <c r="BI40" i="4"/>
  <c r="BJ40" i="4"/>
  <c r="AM41" i="4"/>
  <c r="AN41" i="4"/>
  <c r="AO41" i="4"/>
  <c r="AP41" i="4"/>
  <c r="AQ41" i="4"/>
  <c r="AR41" i="4"/>
  <c r="AS41" i="4"/>
  <c r="AT41" i="4"/>
  <c r="AU41" i="4"/>
  <c r="AV41" i="4"/>
  <c r="AW41" i="4"/>
  <c r="AX41" i="4"/>
  <c r="AY41" i="4"/>
  <c r="AZ41" i="4"/>
  <c r="BA41" i="4"/>
  <c r="BB41" i="4"/>
  <c r="BC41" i="4"/>
  <c r="BD41" i="4"/>
  <c r="BE41" i="4"/>
  <c r="BF41" i="4"/>
  <c r="BG41" i="4"/>
  <c r="BH41" i="4"/>
  <c r="BI41" i="4"/>
  <c r="BJ41" i="4"/>
  <c r="AM42" i="4"/>
  <c r="AN42" i="4"/>
  <c r="AO42" i="4"/>
  <c r="AP42" i="4"/>
  <c r="AQ42" i="4"/>
  <c r="AR42" i="4"/>
  <c r="AS42" i="4"/>
  <c r="AT42" i="4"/>
  <c r="AU42" i="4"/>
  <c r="AV42" i="4"/>
  <c r="AW42" i="4"/>
  <c r="AX42" i="4"/>
  <c r="AY42" i="4"/>
  <c r="AZ42" i="4"/>
  <c r="BA42" i="4"/>
  <c r="BB42" i="4"/>
  <c r="BC42" i="4"/>
  <c r="BD42" i="4"/>
  <c r="BE42" i="4"/>
  <c r="BF42" i="4"/>
  <c r="BG42" i="4"/>
  <c r="BH42" i="4"/>
  <c r="BI42" i="4"/>
  <c r="BJ42" i="4"/>
  <c r="AM43" i="4"/>
  <c r="AN43" i="4"/>
  <c r="AO43" i="4"/>
  <c r="AP43" i="4"/>
  <c r="AQ43" i="4"/>
  <c r="AR43" i="4"/>
  <c r="AS43" i="4"/>
  <c r="AT43" i="4"/>
  <c r="AU43" i="4"/>
  <c r="AV43" i="4"/>
  <c r="AW43" i="4"/>
  <c r="AX43" i="4"/>
  <c r="AY43" i="4"/>
  <c r="AZ43" i="4"/>
  <c r="BA43" i="4"/>
  <c r="BB43" i="4"/>
  <c r="BC43" i="4"/>
  <c r="BD43" i="4"/>
  <c r="BE43" i="4"/>
  <c r="BF43" i="4"/>
  <c r="BG43" i="4"/>
  <c r="BH43" i="4"/>
  <c r="BI43" i="4"/>
  <c r="BJ43" i="4"/>
  <c r="AM44" i="4"/>
  <c r="AN44" i="4"/>
  <c r="AO44" i="4"/>
  <c r="AP44" i="4"/>
  <c r="AQ44" i="4"/>
  <c r="AR44" i="4"/>
  <c r="AS44" i="4"/>
  <c r="AT44" i="4"/>
  <c r="AU44" i="4"/>
  <c r="AV44" i="4"/>
  <c r="AW44" i="4"/>
  <c r="AX44" i="4"/>
  <c r="AY44" i="4"/>
  <c r="AZ44" i="4"/>
  <c r="BA44" i="4"/>
  <c r="BB44" i="4"/>
  <c r="BC44" i="4"/>
  <c r="BD44" i="4"/>
  <c r="BE44" i="4"/>
  <c r="BF44" i="4"/>
  <c r="BG44" i="4"/>
  <c r="BH44" i="4"/>
  <c r="BI44" i="4"/>
  <c r="BJ44" i="4"/>
  <c r="AM45" i="4"/>
  <c r="AN45" i="4"/>
  <c r="AO45" i="4"/>
  <c r="AP45" i="4"/>
  <c r="AQ45" i="4"/>
  <c r="AR45" i="4"/>
  <c r="AS45" i="4"/>
  <c r="AT45" i="4"/>
  <c r="AU45" i="4"/>
  <c r="AV45" i="4"/>
  <c r="AW45" i="4"/>
  <c r="AX45" i="4"/>
  <c r="AY45" i="4"/>
  <c r="AZ45" i="4"/>
  <c r="BA45" i="4"/>
  <c r="BB45" i="4"/>
  <c r="BC45" i="4"/>
  <c r="BD45" i="4"/>
  <c r="BE45" i="4"/>
  <c r="BF45" i="4"/>
  <c r="BG45" i="4"/>
  <c r="BH45" i="4"/>
  <c r="BI45" i="4"/>
  <c r="BJ45" i="4"/>
  <c r="AM46" i="4"/>
  <c r="AN46" i="4"/>
  <c r="AO46" i="4"/>
  <c r="AP46" i="4"/>
  <c r="AQ46" i="4"/>
  <c r="AR46" i="4"/>
  <c r="AS46" i="4"/>
  <c r="AT46" i="4"/>
  <c r="AU46" i="4"/>
  <c r="AV46" i="4"/>
  <c r="AW46" i="4"/>
  <c r="AX46" i="4"/>
  <c r="AY46" i="4"/>
  <c r="AZ46" i="4"/>
  <c r="BA46" i="4"/>
  <c r="BB46" i="4"/>
  <c r="BC46" i="4"/>
  <c r="BD46" i="4"/>
  <c r="BE46" i="4"/>
  <c r="BF46" i="4"/>
  <c r="BG46" i="4"/>
  <c r="BH46" i="4"/>
  <c r="BI46" i="4"/>
  <c r="BJ46" i="4"/>
  <c r="AM47" i="4"/>
  <c r="AN47" i="4"/>
  <c r="AO47" i="4"/>
  <c r="AP47" i="4"/>
  <c r="AQ47" i="4"/>
  <c r="AR47" i="4"/>
  <c r="AS47" i="4"/>
  <c r="AT47" i="4"/>
  <c r="AV47" i="4"/>
  <c r="AW47" i="4"/>
  <c r="AX47" i="4"/>
  <c r="AY47" i="4"/>
  <c r="AZ47" i="4"/>
  <c r="BA47" i="4"/>
  <c r="BB47" i="4"/>
  <c r="BC47" i="4"/>
  <c r="BD47" i="4"/>
  <c r="BE47" i="4"/>
  <c r="BF47" i="4"/>
  <c r="BG47" i="4"/>
  <c r="BH47" i="4"/>
  <c r="BI47" i="4"/>
  <c r="BJ47" i="4"/>
  <c r="AM48" i="4"/>
  <c r="AN48" i="4"/>
  <c r="AO48" i="4"/>
  <c r="AP48" i="4"/>
  <c r="AQ48" i="4"/>
  <c r="AR48" i="4"/>
  <c r="AS48" i="4"/>
  <c r="AT48" i="4"/>
  <c r="AU48" i="4"/>
  <c r="AV48" i="4"/>
  <c r="AW48" i="4"/>
  <c r="AX48" i="4"/>
  <c r="AY48" i="4"/>
  <c r="AZ48" i="4"/>
  <c r="BA48" i="4"/>
  <c r="BB48" i="4"/>
  <c r="BC48" i="4"/>
  <c r="BD48" i="4"/>
  <c r="BE48" i="4"/>
  <c r="BF48" i="4"/>
  <c r="BG48" i="4"/>
  <c r="BH48" i="4"/>
  <c r="BI48" i="4"/>
  <c r="BJ48" i="4"/>
  <c r="AM49" i="4"/>
  <c r="AN49" i="4"/>
  <c r="AO49" i="4"/>
  <c r="AP49" i="4"/>
  <c r="AQ49" i="4"/>
  <c r="AR49" i="4"/>
  <c r="AS49" i="4"/>
  <c r="AT49" i="4"/>
  <c r="AU49" i="4"/>
  <c r="AV49" i="4"/>
  <c r="AW49" i="4"/>
  <c r="AX49" i="4"/>
  <c r="AY49" i="4"/>
  <c r="AZ49" i="4"/>
  <c r="BA49" i="4"/>
  <c r="BB49" i="4"/>
  <c r="BC49" i="4"/>
  <c r="BD49" i="4"/>
  <c r="BE49" i="4"/>
  <c r="BF49" i="4"/>
  <c r="BG49" i="4"/>
  <c r="BH49" i="4"/>
  <c r="BI49" i="4"/>
  <c r="BJ49" i="4"/>
  <c r="AM50" i="4"/>
  <c r="AN50" i="4"/>
  <c r="AO50" i="4"/>
  <c r="AP50" i="4"/>
  <c r="AQ50" i="4"/>
  <c r="AR50" i="4"/>
  <c r="AS50" i="4"/>
  <c r="AT50" i="4"/>
  <c r="AU50" i="4"/>
  <c r="AV50" i="4"/>
  <c r="AW50" i="4"/>
  <c r="AX50" i="4"/>
  <c r="AY50" i="4"/>
  <c r="AZ50" i="4"/>
  <c r="BA50" i="4"/>
  <c r="BB50" i="4"/>
  <c r="BC50" i="4"/>
  <c r="BD50" i="4"/>
  <c r="BE50" i="4"/>
  <c r="BF50" i="4"/>
  <c r="BG50" i="4"/>
  <c r="BH50" i="4"/>
  <c r="BI50" i="4"/>
  <c r="BJ50" i="4"/>
  <c r="AM51" i="4"/>
  <c r="AN51" i="4"/>
  <c r="AO51" i="4"/>
  <c r="AP51" i="4"/>
  <c r="AQ51" i="4"/>
  <c r="AR51" i="4"/>
  <c r="AS51" i="4"/>
  <c r="AT51" i="4"/>
  <c r="AU51" i="4"/>
  <c r="AV51" i="4"/>
  <c r="AW51" i="4"/>
  <c r="AX51" i="4"/>
  <c r="AY51" i="4"/>
  <c r="AZ51" i="4"/>
  <c r="BA51" i="4"/>
  <c r="BB51" i="4"/>
  <c r="BC51" i="4"/>
  <c r="BD51" i="4"/>
  <c r="BE51" i="4"/>
  <c r="BF51" i="4"/>
  <c r="BG51" i="4"/>
  <c r="BH51" i="4"/>
  <c r="BI51" i="4"/>
  <c r="BJ51" i="4"/>
  <c r="AM58" i="4"/>
  <c r="AN58" i="4"/>
  <c r="AO58" i="4"/>
  <c r="AP58" i="4"/>
  <c r="AQ58" i="4"/>
  <c r="AR58" i="4"/>
  <c r="AS58" i="4"/>
  <c r="AT58" i="4"/>
  <c r="AU58" i="4"/>
  <c r="AV58" i="4"/>
  <c r="AW58" i="4"/>
  <c r="AX58" i="4"/>
  <c r="AY58" i="4"/>
  <c r="AZ58" i="4"/>
  <c r="BA58" i="4"/>
  <c r="BB58" i="4"/>
  <c r="BC58" i="4"/>
  <c r="BD58" i="4"/>
  <c r="BE58" i="4"/>
  <c r="BF58" i="4"/>
  <c r="BG58" i="4"/>
  <c r="BH58" i="4"/>
  <c r="BI58" i="4"/>
  <c r="BJ58" i="4"/>
  <c r="AM59" i="4"/>
  <c r="AN59" i="4"/>
  <c r="AO59" i="4"/>
  <c r="AP59" i="4"/>
  <c r="AQ59" i="4"/>
  <c r="AR59" i="4"/>
  <c r="AS59" i="4"/>
  <c r="AT59" i="4"/>
  <c r="AU59" i="4"/>
  <c r="AV59" i="4"/>
  <c r="AW59" i="4"/>
  <c r="AX59" i="4"/>
  <c r="AY59" i="4"/>
  <c r="AZ59" i="4"/>
  <c r="BA59" i="4"/>
  <c r="BB59" i="4"/>
  <c r="BC59" i="4"/>
  <c r="BD59" i="4"/>
  <c r="BE59" i="4"/>
  <c r="BF59" i="4"/>
  <c r="BG59" i="4"/>
  <c r="BH59" i="4"/>
  <c r="BI59" i="4"/>
  <c r="BJ59" i="4"/>
  <c r="AM60" i="4"/>
  <c r="AN60" i="4"/>
  <c r="AO60" i="4"/>
  <c r="AP60" i="4"/>
  <c r="AQ60" i="4"/>
  <c r="AR60" i="4"/>
  <c r="AS60" i="4"/>
  <c r="AT60" i="4"/>
  <c r="AU60" i="4"/>
  <c r="AV60" i="4"/>
  <c r="AW60" i="4"/>
  <c r="AX60" i="4"/>
  <c r="AY60" i="4"/>
  <c r="AZ60" i="4"/>
  <c r="BA60" i="4"/>
  <c r="BB60" i="4"/>
  <c r="BC60" i="4"/>
  <c r="BD60" i="4"/>
  <c r="BE60" i="4"/>
  <c r="BF60" i="4"/>
  <c r="BG60" i="4"/>
  <c r="BH60" i="4"/>
  <c r="BI60" i="4"/>
  <c r="BJ60" i="4"/>
  <c r="AM61" i="4"/>
  <c r="AN61" i="4"/>
  <c r="AO61" i="4"/>
  <c r="AP61" i="4"/>
  <c r="AQ61" i="4"/>
  <c r="AR61" i="4"/>
  <c r="AS61" i="4"/>
  <c r="AT61" i="4"/>
  <c r="AU61" i="4"/>
  <c r="AV61" i="4"/>
  <c r="AW61" i="4"/>
  <c r="AX61" i="4"/>
  <c r="AY61" i="4"/>
  <c r="AZ61" i="4"/>
  <c r="BA61" i="4"/>
  <c r="BB61" i="4"/>
  <c r="BC61" i="4"/>
  <c r="BD61" i="4"/>
  <c r="BE61" i="4"/>
  <c r="BF61" i="4"/>
  <c r="BG61" i="4"/>
  <c r="BH61" i="4"/>
  <c r="BI61" i="4"/>
  <c r="BJ61" i="4"/>
  <c r="AM62" i="4"/>
  <c r="AN62" i="4"/>
  <c r="AO62" i="4"/>
  <c r="AP62" i="4"/>
  <c r="AQ62" i="4"/>
  <c r="AR62" i="4"/>
  <c r="AS62" i="4"/>
  <c r="AT62" i="4"/>
  <c r="AU62" i="4"/>
  <c r="AV62" i="4"/>
  <c r="AW62" i="4"/>
  <c r="AX62" i="4"/>
  <c r="AY62" i="4"/>
  <c r="AZ62" i="4"/>
  <c r="BA62" i="4"/>
  <c r="BB62" i="4"/>
  <c r="BC62" i="4"/>
  <c r="BD62" i="4"/>
  <c r="BE62" i="4"/>
  <c r="BF62" i="4"/>
  <c r="BG62" i="4"/>
  <c r="BH62" i="4"/>
  <c r="BI62" i="4"/>
  <c r="BJ62" i="4"/>
  <c r="AM63" i="4"/>
  <c r="AN63" i="4"/>
  <c r="AO63" i="4"/>
  <c r="AP63" i="4"/>
  <c r="AQ63" i="4"/>
  <c r="AR63" i="4"/>
  <c r="AS63" i="4"/>
  <c r="AT63" i="4"/>
  <c r="AU63" i="4"/>
  <c r="AV63" i="4"/>
  <c r="AW63" i="4"/>
  <c r="AX63" i="4"/>
  <c r="AY63" i="4"/>
  <c r="AZ63" i="4"/>
  <c r="BA63" i="4"/>
  <c r="BB63" i="4"/>
  <c r="BC63" i="4"/>
  <c r="BD63" i="4"/>
  <c r="BE63" i="4"/>
  <c r="BF63" i="4"/>
  <c r="BG63" i="4"/>
  <c r="BH63" i="4"/>
  <c r="BI63" i="4"/>
  <c r="BJ63" i="4"/>
  <c r="AM64" i="4"/>
  <c r="AN64" i="4"/>
  <c r="AO64" i="4"/>
  <c r="AP64" i="4"/>
  <c r="AQ64" i="4"/>
  <c r="AR64" i="4"/>
  <c r="AS64" i="4"/>
  <c r="AT64" i="4"/>
  <c r="AU64" i="4"/>
  <c r="AV64" i="4"/>
  <c r="AW64" i="4"/>
  <c r="AX64" i="4"/>
  <c r="AY64" i="4"/>
  <c r="AZ64" i="4"/>
  <c r="BA64" i="4"/>
  <c r="BB64" i="4"/>
  <c r="BC64" i="4"/>
  <c r="BD64" i="4"/>
  <c r="BE64" i="4"/>
  <c r="BF64" i="4"/>
  <c r="BG64" i="4"/>
  <c r="BH64" i="4"/>
  <c r="BI64" i="4"/>
  <c r="BJ64" i="4"/>
  <c r="AM65" i="4"/>
  <c r="AN65" i="4"/>
  <c r="AO65" i="4"/>
  <c r="AP65" i="4"/>
  <c r="AQ65" i="4"/>
  <c r="AR65" i="4"/>
  <c r="AS65" i="4"/>
  <c r="AT65" i="4"/>
  <c r="AU65" i="4"/>
  <c r="AV65" i="4"/>
  <c r="AW65" i="4"/>
  <c r="AX65" i="4"/>
  <c r="AY65" i="4"/>
  <c r="AZ65" i="4"/>
  <c r="BA65" i="4"/>
  <c r="BB65" i="4"/>
  <c r="BC65" i="4"/>
  <c r="BD65" i="4"/>
  <c r="BE65" i="4"/>
  <c r="BF65" i="4"/>
  <c r="BG65" i="4"/>
  <c r="BH65" i="4"/>
  <c r="BI65" i="4"/>
  <c r="BJ65" i="4"/>
  <c r="AM66" i="4"/>
  <c r="AN66" i="4"/>
  <c r="AO66" i="4"/>
  <c r="AP66" i="4"/>
  <c r="AQ66" i="4"/>
  <c r="AR66" i="4"/>
  <c r="AS66" i="4"/>
  <c r="AT66" i="4"/>
  <c r="AU66" i="4"/>
  <c r="AV66" i="4"/>
  <c r="AW66" i="4"/>
  <c r="AX66" i="4"/>
  <c r="AY66" i="4"/>
  <c r="AZ66" i="4"/>
  <c r="BA66" i="4"/>
  <c r="BB66" i="4"/>
  <c r="BC66" i="4"/>
  <c r="BD66" i="4"/>
  <c r="BE66" i="4"/>
  <c r="BF66" i="4"/>
  <c r="BG66" i="4"/>
  <c r="BH66" i="4"/>
  <c r="BI66" i="4"/>
  <c r="BJ66" i="4"/>
  <c r="AM67" i="4"/>
  <c r="AN67" i="4"/>
  <c r="AO67" i="4"/>
  <c r="AP67" i="4"/>
  <c r="AQ67" i="4"/>
  <c r="AR67" i="4"/>
  <c r="AS67" i="4"/>
  <c r="AT67" i="4"/>
  <c r="AU67" i="4"/>
  <c r="AV67" i="4"/>
  <c r="AW67" i="4"/>
  <c r="AX67" i="4"/>
  <c r="AY67" i="4"/>
  <c r="AZ67" i="4"/>
  <c r="BA67" i="4"/>
  <c r="BB67" i="4"/>
  <c r="BC67" i="4"/>
  <c r="BD67" i="4"/>
  <c r="BE67" i="4"/>
  <c r="BF67" i="4"/>
  <c r="BG67" i="4"/>
  <c r="BH67" i="4"/>
  <c r="BI67" i="4"/>
  <c r="BJ67" i="4"/>
  <c r="AM68" i="4"/>
  <c r="AN68" i="4"/>
  <c r="AO68" i="4"/>
  <c r="AP68" i="4"/>
  <c r="AQ68" i="4"/>
  <c r="AR68" i="4"/>
  <c r="AS68" i="4"/>
  <c r="AT68" i="4"/>
  <c r="AU68" i="4"/>
  <c r="AV68" i="4"/>
  <c r="AW68" i="4"/>
  <c r="AX68" i="4"/>
  <c r="AY68" i="4"/>
  <c r="AZ68" i="4"/>
  <c r="BA68" i="4"/>
  <c r="BB68" i="4"/>
  <c r="BC68" i="4"/>
  <c r="BD68" i="4"/>
  <c r="BE68" i="4"/>
  <c r="BF68" i="4"/>
  <c r="BG68" i="4"/>
  <c r="BH68" i="4"/>
  <c r="BI68" i="4"/>
  <c r="BJ68" i="4"/>
  <c r="AM69" i="4"/>
  <c r="AN69" i="4"/>
  <c r="AO69" i="4"/>
  <c r="AP69" i="4"/>
  <c r="AQ69" i="4"/>
  <c r="AR69" i="4"/>
  <c r="AS69" i="4"/>
  <c r="AT69" i="4"/>
  <c r="AU69" i="4"/>
  <c r="AV69" i="4"/>
  <c r="AW69" i="4"/>
  <c r="AX69" i="4"/>
  <c r="AY69" i="4"/>
  <c r="AZ69" i="4"/>
  <c r="BA69" i="4"/>
  <c r="BB69" i="4"/>
  <c r="BC69" i="4"/>
  <c r="BD69" i="4"/>
  <c r="BE69" i="4"/>
  <c r="BF69" i="4"/>
  <c r="BG69" i="4"/>
  <c r="BH69" i="4"/>
  <c r="BI69" i="4"/>
  <c r="BJ69" i="4"/>
  <c r="AM70" i="4"/>
  <c r="AN70" i="4"/>
  <c r="AO70" i="4"/>
  <c r="AP70" i="4"/>
  <c r="AQ70" i="4"/>
  <c r="AR70" i="4"/>
  <c r="AS70" i="4"/>
  <c r="AT70" i="4"/>
  <c r="AU70" i="4"/>
  <c r="AV70" i="4"/>
  <c r="AW70" i="4"/>
  <c r="AX70" i="4"/>
  <c r="AY70" i="4"/>
  <c r="AZ70" i="4"/>
  <c r="BA70" i="4"/>
  <c r="BB70" i="4"/>
  <c r="BC70" i="4"/>
  <c r="BD70" i="4"/>
  <c r="BE70" i="4"/>
  <c r="BF70" i="4"/>
  <c r="BG70" i="4"/>
  <c r="BH70" i="4"/>
  <c r="BI70" i="4"/>
  <c r="BJ70" i="4"/>
  <c r="AM71" i="4"/>
  <c r="AN71" i="4"/>
  <c r="AO71" i="4"/>
  <c r="AP71" i="4"/>
  <c r="AQ71" i="4"/>
  <c r="AR71" i="4"/>
  <c r="AS71" i="4"/>
  <c r="AT71" i="4"/>
  <c r="AU71" i="4"/>
  <c r="AV71" i="4"/>
  <c r="AW71" i="4"/>
  <c r="AX71" i="4"/>
  <c r="AY71" i="4"/>
  <c r="AZ71" i="4"/>
  <c r="BA71" i="4"/>
  <c r="BB71" i="4"/>
  <c r="BC71" i="4"/>
  <c r="BD71" i="4"/>
  <c r="BE71" i="4"/>
  <c r="BF71" i="4"/>
  <c r="BG71" i="4"/>
  <c r="BH71" i="4"/>
  <c r="BI71" i="4"/>
  <c r="BJ71" i="4"/>
  <c r="AM72" i="4"/>
  <c r="AN72" i="4"/>
  <c r="AO72" i="4"/>
  <c r="AP72" i="4"/>
  <c r="AQ72" i="4"/>
  <c r="AR72" i="4"/>
  <c r="AS72" i="4"/>
  <c r="AT72" i="4"/>
  <c r="AU72" i="4"/>
  <c r="AV72" i="4"/>
  <c r="AW72" i="4"/>
  <c r="AX72" i="4"/>
  <c r="AY72" i="4"/>
  <c r="AZ72" i="4"/>
  <c r="BA72" i="4"/>
  <c r="BB72" i="4"/>
  <c r="BC72" i="4"/>
  <c r="BD72" i="4"/>
  <c r="BE72" i="4"/>
  <c r="BF72" i="4"/>
  <c r="BG72" i="4"/>
  <c r="BH72" i="4"/>
  <c r="BI72" i="4"/>
  <c r="BJ72" i="4"/>
  <c r="AM73" i="4"/>
  <c r="AN73" i="4"/>
  <c r="AO73" i="4"/>
  <c r="AP73" i="4"/>
  <c r="AQ73" i="4"/>
  <c r="AR73" i="4"/>
  <c r="AS73" i="4"/>
  <c r="AT73" i="4"/>
  <c r="AU73" i="4"/>
  <c r="AV73" i="4"/>
  <c r="AW73" i="4"/>
  <c r="AX73" i="4"/>
  <c r="AY73" i="4"/>
  <c r="AZ73" i="4"/>
  <c r="BA73" i="4"/>
  <c r="BB73" i="4"/>
  <c r="BC73" i="4"/>
  <c r="BD73" i="4"/>
  <c r="BE73" i="4"/>
  <c r="BF73" i="4"/>
  <c r="BG73" i="4"/>
  <c r="BH73" i="4"/>
  <c r="BI73" i="4"/>
  <c r="BJ73" i="4"/>
  <c r="AM74" i="4"/>
  <c r="AN74" i="4"/>
  <c r="AO74" i="4"/>
  <c r="AP74" i="4"/>
  <c r="AQ74" i="4"/>
  <c r="AR74" i="4"/>
  <c r="AS74" i="4"/>
  <c r="AT74" i="4"/>
  <c r="AU74" i="4"/>
  <c r="AV74" i="4"/>
  <c r="AW74" i="4"/>
  <c r="AX74" i="4"/>
  <c r="AY74" i="4"/>
  <c r="AZ74" i="4"/>
  <c r="BA74" i="4"/>
  <c r="BB74" i="4"/>
  <c r="BC74" i="4"/>
  <c r="BD74" i="4"/>
  <c r="BE74" i="4"/>
  <c r="BF74" i="4"/>
  <c r="BG74" i="4"/>
  <c r="BH74" i="4"/>
  <c r="BI74" i="4"/>
  <c r="BJ74" i="4"/>
  <c r="AM75" i="4"/>
  <c r="AN75" i="4"/>
  <c r="AO75" i="4"/>
  <c r="AP75" i="4"/>
  <c r="AQ75" i="4"/>
  <c r="AR75" i="4"/>
  <c r="AS75" i="4"/>
  <c r="AT75" i="4"/>
  <c r="AU75" i="4"/>
  <c r="AV75" i="4"/>
  <c r="AW75" i="4"/>
  <c r="AX75" i="4"/>
  <c r="AY75" i="4"/>
  <c r="AZ75" i="4"/>
  <c r="BA75" i="4"/>
  <c r="BB75" i="4"/>
  <c r="BC75" i="4"/>
  <c r="BD75" i="4"/>
  <c r="BE75" i="4"/>
  <c r="BF75" i="4"/>
  <c r="BG75" i="4"/>
  <c r="BH75" i="4"/>
  <c r="BI75" i="4"/>
  <c r="BJ75" i="4"/>
  <c r="AM77" i="4"/>
  <c r="AN77" i="4"/>
  <c r="AO77" i="4"/>
  <c r="AP77" i="4"/>
  <c r="AQ77" i="4"/>
  <c r="AR77" i="4"/>
  <c r="AS77" i="4"/>
  <c r="AT77" i="4"/>
  <c r="AU77" i="4"/>
  <c r="AV77" i="4"/>
  <c r="AW77" i="4"/>
  <c r="AX77" i="4"/>
  <c r="AY77" i="4"/>
  <c r="AZ77" i="4"/>
  <c r="BA77" i="4"/>
  <c r="BB77" i="4"/>
  <c r="BC77" i="4"/>
  <c r="BD77" i="4"/>
  <c r="BE77" i="4"/>
  <c r="BF77" i="4"/>
  <c r="BG77" i="4"/>
  <c r="BH77" i="4"/>
  <c r="BI77" i="4"/>
  <c r="BJ77" i="4"/>
  <c r="AM78" i="4"/>
  <c r="AN78" i="4"/>
  <c r="AO78" i="4"/>
  <c r="AP78" i="4"/>
  <c r="AQ78" i="4"/>
  <c r="AR78" i="4"/>
  <c r="AS78" i="4"/>
  <c r="AT78" i="4"/>
  <c r="AU78" i="4"/>
  <c r="AV78" i="4"/>
  <c r="AW78" i="4"/>
  <c r="AX78" i="4"/>
  <c r="AY78" i="4"/>
  <c r="AZ78" i="4"/>
  <c r="BA78" i="4"/>
  <c r="BB78" i="4"/>
  <c r="BC78" i="4"/>
  <c r="BD78" i="4"/>
  <c r="BE78" i="4"/>
  <c r="BF78" i="4"/>
  <c r="BG78" i="4"/>
  <c r="BH78" i="4"/>
  <c r="BI78" i="4"/>
  <c r="BJ78" i="4"/>
  <c r="AM79" i="4"/>
  <c r="AN79" i="4"/>
  <c r="AO79" i="4"/>
  <c r="AP79" i="4"/>
  <c r="AQ79" i="4"/>
  <c r="AR79" i="4"/>
  <c r="AS79" i="4"/>
  <c r="AT79" i="4"/>
  <c r="AU79" i="4"/>
  <c r="AV79" i="4"/>
  <c r="AW79" i="4"/>
  <c r="AX79" i="4"/>
  <c r="AY79" i="4"/>
  <c r="AZ79" i="4"/>
  <c r="BA79" i="4"/>
  <c r="BB79" i="4"/>
  <c r="BC79" i="4"/>
  <c r="BD79" i="4"/>
  <c r="BE79" i="4"/>
  <c r="BF79" i="4"/>
  <c r="BG79" i="4"/>
  <c r="BH79" i="4"/>
  <c r="BI79" i="4"/>
  <c r="BJ79" i="4"/>
  <c r="AM80" i="4"/>
  <c r="AN80" i="4"/>
  <c r="AO80" i="4"/>
  <c r="AP80" i="4"/>
  <c r="AQ80" i="4"/>
  <c r="AR80" i="4"/>
  <c r="AS80" i="4"/>
  <c r="AT80" i="4"/>
  <c r="AU80" i="4"/>
  <c r="AV80" i="4"/>
  <c r="AW80" i="4"/>
  <c r="AX80" i="4"/>
  <c r="AY80" i="4"/>
  <c r="AZ80" i="4"/>
  <c r="BA80" i="4"/>
  <c r="BB80" i="4"/>
  <c r="BC80" i="4"/>
  <c r="BD80" i="4"/>
  <c r="BE80" i="4"/>
  <c r="BF80" i="4"/>
  <c r="BG80" i="4"/>
  <c r="BH80" i="4"/>
  <c r="BI80" i="4"/>
  <c r="BJ80" i="4"/>
  <c r="AM81" i="4"/>
  <c r="AN81" i="4"/>
  <c r="AO81" i="4"/>
  <c r="AP81" i="4"/>
  <c r="AQ81" i="4"/>
  <c r="AR81" i="4"/>
  <c r="AS81" i="4"/>
  <c r="AT81" i="4"/>
  <c r="AU81" i="4"/>
  <c r="AV81" i="4"/>
  <c r="AW81" i="4"/>
  <c r="AX81" i="4"/>
  <c r="AY81" i="4"/>
  <c r="AZ81" i="4"/>
  <c r="BA81" i="4"/>
  <c r="BB81" i="4"/>
  <c r="BC81" i="4"/>
  <c r="BD81" i="4"/>
  <c r="BE81" i="4"/>
  <c r="BF81" i="4"/>
  <c r="BG81" i="4"/>
  <c r="BH81" i="4"/>
  <c r="BI81" i="4"/>
  <c r="BJ81" i="4"/>
  <c r="AM82" i="4"/>
  <c r="AN82" i="4"/>
  <c r="AO82" i="4"/>
  <c r="AP82" i="4"/>
  <c r="AQ82" i="4"/>
  <c r="AR82" i="4"/>
  <c r="AS82" i="4"/>
  <c r="AT82" i="4"/>
  <c r="AU82" i="4"/>
  <c r="AV82" i="4"/>
  <c r="AW82" i="4"/>
  <c r="AX82" i="4"/>
  <c r="AY82" i="4"/>
  <c r="AZ82" i="4"/>
  <c r="BA82" i="4"/>
  <c r="BB82" i="4"/>
  <c r="BC82" i="4"/>
  <c r="BD82" i="4"/>
  <c r="BE82" i="4"/>
  <c r="BF82" i="4"/>
  <c r="BG82" i="4"/>
  <c r="BH82" i="4"/>
  <c r="BI82" i="4"/>
  <c r="BJ82" i="4"/>
  <c r="AM83" i="4"/>
  <c r="AN83" i="4"/>
  <c r="AO83" i="4"/>
  <c r="AP83" i="4"/>
  <c r="AQ83" i="4"/>
  <c r="AR83" i="4"/>
  <c r="AS83" i="4"/>
  <c r="AT83" i="4"/>
  <c r="AU83" i="4"/>
  <c r="AV83" i="4"/>
  <c r="AW83" i="4"/>
  <c r="AX83" i="4"/>
  <c r="AY83" i="4"/>
  <c r="AZ83" i="4"/>
  <c r="BA83" i="4"/>
  <c r="BB83" i="4"/>
  <c r="BC83" i="4"/>
  <c r="BD83" i="4"/>
  <c r="BE83" i="4"/>
  <c r="BF83" i="4"/>
  <c r="BG83" i="4"/>
  <c r="BH83" i="4"/>
  <c r="BI83" i="4"/>
  <c r="BJ83" i="4"/>
  <c r="AM84" i="4"/>
  <c r="AN84" i="4"/>
  <c r="AO84" i="4"/>
  <c r="AP84" i="4"/>
  <c r="AQ84" i="4"/>
  <c r="AR84" i="4"/>
  <c r="AS84" i="4"/>
  <c r="AT84" i="4"/>
  <c r="AU84" i="4"/>
  <c r="AV84" i="4"/>
  <c r="AW84" i="4"/>
  <c r="AX84" i="4"/>
  <c r="AY84" i="4"/>
  <c r="AZ84" i="4"/>
  <c r="BA84" i="4"/>
  <c r="BB84" i="4"/>
  <c r="BC84" i="4"/>
  <c r="BD84" i="4"/>
  <c r="BE84" i="4"/>
  <c r="BF84" i="4"/>
  <c r="BG84" i="4"/>
  <c r="BH84" i="4"/>
  <c r="BI84" i="4"/>
  <c r="BJ84" i="4"/>
  <c r="AM85" i="4"/>
  <c r="AN85" i="4"/>
  <c r="AO85" i="4"/>
  <c r="AP85" i="4"/>
  <c r="AQ85" i="4"/>
  <c r="AR85" i="4"/>
  <c r="AS85" i="4"/>
  <c r="AT85" i="4"/>
  <c r="AU85" i="4"/>
  <c r="AV85" i="4"/>
  <c r="AW85" i="4"/>
  <c r="AX85" i="4"/>
  <c r="AY85" i="4"/>
  <c r="AZ85" i="4"/>
  <c r="BA85" i="4"/>
  <c r="BB85" i="4"/>
  <c r="BC85" i="4"/>
  <c r="BD85" i="4"/>
  <c r="BE85" i="4"/>
  <c r="BF85" i="4"/>
  <c r="BG85" i="4"/>
  <c r="BH85" i="4"/>
  <c r="BI85" i="4"/>
  <c r="BJ85" i="4"/>
  <c r="AM95" i="4"/>
  <c r="AN95" i="4"/>
  <c r="AO95" i="4"/>
  <c r="AP95" i="4"/>
  <c r="AQ95" i="4"/>
  <c r="AR95" i="4"/>
  <c r="AS95" i="4"/>
  <c r="AT95" i="4"/>
  <c r="AU95" i="4"/>
  <c r="AV95" i="4"/>
  <c r="AW95" i="4"/>
  <c r="AX95" i="4"/>
  <c r="AY95" i="4"/>
  <c r="AZ95" i="4"/>
  <c r="BA95" i="4"/>
  <c r="BB95" i="4"/>
  <c r="BC95" i="4"/>
  <c r="BD95" i="4"/>
  <c r="BE95" i="4"/>
  <c r="BF95" i="4"/>
  <c r="BG95" i="4"/>
  <c r="BH95" i="4"/>
  <c r="BI95" i="4"/>
  <c r="BJ95" i="4"/>
  <c r="AM96" i="4"/>
  <c r="AN96" i="4"/>
  <c r="AO96" i="4"/>
  <c r="AP96" i="4"/>
  <c r="AQ96" i="4"/>
  <c r="AR96" i="4"/>
  <c r="AS96" i="4"/>
  <c r="AT96" i="4"/>
  <c r="AU96" i="4"/>
  <c r="AV96" i="4"/>
  <c r="AW96" i="4"/>
  <c r="AX96" i="4"/>
  <c r="AY96" i="4"/>
  <c r="AZ96" i="4"/>
  <c r="BA96" i="4"/>
  <c r="BB96" i="4"/>
  <c r="BC96" i="4"/>
  <c r="BD96" i="4"/>
  <c r="BE96" i="4"/>
  <c r="BF96" i="4"/>
  <c r="BG96" i="4"/>
  <c r="BH96" i="4"/>
  <c r="BI96" i="4"/>
  <c r="BJ96" i="4"/>
  <c r="AM97" i="4"/>
  <c r="AN97" i="4"/>
  <c r="AO97" i="4"/>
  <c r="AP97" i="4"/>
  <c r="AQ97" i="4"/>
  <c r="AR97" i="4"/>
  <c r="AS97" i="4"/>
  <c r="AT97" i="4"/>
  <c r="AU97" i="4"/>
  <c r="AV97" i="4"/>
  <c r="AW97" i="4"/>
  <c r="AX97" i="4"/>
  <c r="AY97" i="4"/>
  <c r="AZ97" i="4"/>
  <c r="BA97" i="4"/>
  <c r="BB97" i="4"/>
  <c r="BC97" i="4"/>
  <c r="BD97" i="4"/>
  <c r="BE97" i="4"/>
  <c r="BF97" i="4"/>
  <c r="BG97" i="4"/>
  <c r="BH97" i="4"/>
  <c r="BI97" i="4"/>
  <c r="BJ97" i="4"/>
  <c r="AM98" i="4"/>
  <c r="AN98" i="4"/>
  <c r="AO98" i="4"/>
  <c r="AP98" i="4"/>
  <c r="AQ98" i="4"/>
  <c r="AR98" i="4"/>
  <c r="AS98" i="4"/>
  <c r="AT98" i="4"/>
  <c r="AU98" i="4"/>
  <c r="AV98" i="4"/>
  <c r="AW98" i="4"/>
  <c r="AX98" i="4"/>
  <c r="AY98" i="4"/>
  <c r="AZ98" i="4"/>
  <c r="BA98" i="4"/>
  <c r="BB98" i="4"/>
  <c r="BC98" i="4"/>
  <c r="BD98" i="4"/>
  <c r="BE98" i="4"/>
  <c r="BF98" i="4"/>
  <c r="BG98" i="4"/>
  <c r="BH98" i="4"/>
  <c r="BI98" i="4"/>
  <c r="BJ98" i="4"/>
  <c r="AM99" i="4"/>
  <c r="AN99" i="4"/>
  <c r="AO99" i="4"/>
  <c r="AP99" i="4"/>
  <c r="AQ99" i="4"/>
  <c r="AR99" i="4"/>
  <c r="AS99" i="4"/>
  <c r="AT99" i="4"/>
  <c r="AU99" i="4"/>
  <c r="AV99" i="4"/>
  <c r="AW99" i="4"/>
  <c r="AX99" i="4"/>
  <c r="AY99" i="4"/>
  <c r="AZ99" i="4"/>
  <c r="BA99" i="4"/>
  <c r="BB99" i="4"/>
  <c r="BC99" i="4"/>
  <c r="BD99" i="4"/>
  <c r="BE99" i="4"/>
  <c r="BF99" i="4"/>
  <c r="BG99" i="4"/>
  <c r="BH99" i="4"/>
  <c r="BI99" i="4"/>
  <c r="BJ99" i="4"/>
  <c r="AM100" i="4"/>
  <c r="AN100" i="4"/>
  <c r="AO100" i="4"/>
  <c r="AP100" i="4"/>
  <c r="AQ100" i="4"/>
  <c r="AR100" i="4"/>
  <c r="AS100" i="4"/>
  <c r="AT100" i="4"/>
  <c r="AU100" i="4"/>
  <c r="AV100" i="4"/>
  <c r="AW100" i="4"/>
  <c r="AX100" i="4"/>
  <c r="AY100" i="4"/>
  <c r="AZ100" i="4"/>
  <c r="BA100" i="4"/>
  <c r="BB100" i="4"/>
  <c r="BC100" i="4"/>
  <c r="BD100" i="4"/>
  <c r="BE100" i="4"/>
  <c r="BF100" i="4"/>
  <c r="BG100" i="4"/>
  <c r="BH100" i="4"/>
  <c r="BI100" i="4"/>
  <c r="BJ100" i="4"/>
  <c r="AM101" i="4"/>
  <c r="AN101" i="4"/>
  <c r="AO101" i="4"/>
  <c r="AP101" i="4"/>
  <c r="AQ101" i="4"/>
  <c r="AR101" i="4"/>
  <c r="AS101" i="4"/>
  <c r="AT101" i="4"/>
  <c r="AU101" i="4"/>
  <c r="AV101" i="4"/>
  <c r="AW101" i="4"/>
  <c r="AX101" i="4"/>
  <c r="AY101" i="4"/>
  <c r="AZ101" i="4"/>
  <c r="BA101" i="4"/>
  <c r="BB101" i="4"/>
  <c r="BC101" i="4"/>
  <c r="BD101" i="4"/>
  <c r="BE101" i="4"/>
  <c r="BF101" i="4"/>
  <c r="BG101" i="4"/>
  <c r="BH101" i="4"/>
  <c r="BI101" i="4"/>
  <c r="BJ101" i="4"/>
  <c r="AM102" i="4"/>
  <c r="AN102" i="4"/>
  <c r="AO102" i="4"/>
  <c r="AP102" i="4"/>
  <c r="AQ102" i="4"/>
  <c r="AR102" i="4"/>
  <c r="AS102" i="4"/>
  <c r="AT102" i="4"/>
  <c r="AU102" i="4"/>
  <c r="AV102" i="4"/>
  <c r="AW102" i="4"/>
  <c r="AX102" i="4"/>
  <c r="AY102" i="4"/>
  <c r="AZ102" i="4"/>
  <c r="BA102" i="4"/>
  <c r="BB102" i="4"/>
  <c r="BC102" i="4"/>
  <c r="BD102" i="4"/>
  <c r="BE102" i="4"/>
  <c r="BF102" i="4"/>
  <c r="BG102" i="4"/>
  <c r="BH102" i="4"/>
  <c r="BI102" i="4"/>
  <c r="BJ102" i="4"/>
  <c r="AM109" i="4"/>
  <c r="AN109" i="4"/>
  <c r="AO109" i="4"/>
  <c r="AP109" i="4"/>
  <c r="AQ109" i="4"/>
  <c r="AR109" i="4"/>
  <c r="AS109" i="4"/>
  <c r="AT109" i="4"/>
  <c r="AU109" i="4"/>
  <c r="AV109" i="4"/>
  <c r="AW109" i="4"/>
  <c r="AX109" i="4"/>
  <c r="AY109" i="4"/>
  <c r="AZ109" i="4"/>
  <c r="BA109" i="4"/>
  <c r="BB109" i="4"/>
  <c r="BC109" i="4"/>
  <c r="BD109" i="4"/>
  <c r="BE109" i="4"/>
  <c r="BF109" i="4"/>
  <c r="BG109" i="4"/>
  <c r="BH109" i="4"/>
  <c r="BI109" i="4"/>
  <c r="BJ109" i="4"/>
  <c r="AM110" i="4"/>
  <c r="AN110" i="4"/>
  <c r="AO110" i="4"/>
  <c r="AP110" i="4"/>
  <c r="AQ110" i="4"/>
  <c r="AR110" i="4"/>
  <c r="AS110" i="4"/>
  <c r="AT110" i="4"/>
  <c r="AU110" i="4"/>
  <c r="AV110" i="4"/>
  <c r="AW110" i="4"/>
  <c r="AX110" i="4"/>
  <c r="AY110" i="4"/>
  <c r="AZ110" i="4"/>
  <c r="BA110" i="4"/>
  <c r="BB110" i="4"/>
  <c r="BC110" i="4"/>
  <c r="BD110" i="4"/>
  <c r="BE110" i="4"/>
  <c r="BF110" i="4"/>
  <c r="BG110" i="4"/>
  <c r="BH110" i="4"/>
  <c r="BI110" i="4"/>
  <c r="BJ110" i="4"/>
  <c r="AM111" i="4"/>
  <c r="AN111" i="4"/>
  <c r="AO111" i="4"/>
  <c r="AP111" i="4"/>
  <c r="AQ111" i="4"/>
  <c r="AR111" i="4"/>
  <c r="AS111" i="4"/>
  <c r="AT111" i="4"/>
  <c r="AU111" i="4"/>
  <c r="AV111" i="4"/>
  <c r="AW111" i="4"/>
  <c r="AX111" i="4"/>
  <c r="AY111" i="4"/>
  <c r="AZ111" i="4"/>
  <c r="BA111" i="4"/>
  <c r="BB111" i="4"/>
  <c r="BC111" i="4"/>
  <c r="BD111" i="4"/>
  <c r="BE111" i="4"/>
  <c r="BF111" i="4"/>
  <c r="BG111" i="4"/>
  <c r="BH111" i="4"/>
  <c r="BI111" i="4"/>
  <c r="BJ111" i="4"/>
  <c r="AM119" i="4"/>
  <c r="AN119" i="4"/>
  <c r="AO119" i="4"/>
  <c r="AP119" i="4"/>
  <c r="AQ119" i="4"/>
  <c r="AR119" i="4"/>
  <c r="AS119" i="4"/>
  <c r="AT119" i="4"/>
  <c r="AU119" i="4"/>
  <c r="AV119" i="4"/>
  <c r="AW119" i="4"/>
  <c r="AX119" i="4"/>
  <c r="AY119" i="4"/>
  <c r="AZ119" i="4"/>
  <c r="BA119" i="4"/>
  <c r="BB119" i="4"/>
  <c r="BC119" i="4"/>
  <c r="BD119" i="4"/>
  <c r="BE119" i="4"/>
  <c r="BF119" i="4"/>
  <c r="BG119" i="4"/>
  <c r="BH119" i="4"/>
  <c r="BI119" i="4"/>
  <c r="BJ119" i="4"/>
  <c r="AM120" i="4"/>
  <c r="AN120" i="4"/>
  <c r="AO120" i="4"/>
  <c r="AP120" i="4"/>
  <c r="AQ120" i="4"/>
  <c r="AR120" i="4"/>
  <c r="AS120" i="4"/>
  <c r="AT120" i="4"/>
  <c r="AU120" i="4"/>
  <c r="AV120" i="4"/>
  <c r="AW120" i="4"/>
  <c r="AX120" i="4"/>
  <c r="AY120" i="4"/>
  <c r="AZ120" i="4"/>
  <c r="BA120" i="4"/>
  <c r="BB120" i="4"/>
  <c r="BC120" i="4"/>
  <c r="BD120" i="4"/>
  <c r="BE120" i="4"/>
  <c r="BF120" i="4"/>
  <c r="BG120" i="4"/>
  <c r="BH120" i="4"/>
  <c r="BI120" i="4"/>
  <c r="BJ120" i="4"/>
  <c r="AM121" i="4"/>
  <c r="AN121" i="4"/>
  <c r="AO121" i="4"/>
  <c r="AP121" i="4"/>
  <c r="AQ121" i="4"/>
  <c r="AR121" i="4"/>
  <c r="AS121" i="4"/>
  <c r="AT121" i="4"/>
  <c r="AU121" i="4"/>
  <c r="AV121" i="4"/>
  <c r="AW121" i="4"/>
  <c r="AX121" i="4"/>
  <c r="AY121" i="4"/>
  <c r="AZ121" i="4"/>
  <c r="BA121" i="4"/>
  <c r="BB121" i="4"/>
  <c r="BC121" i="4"/>
  <c r="BD121" i="4"/>
  <c r="BE121" i="4"/>
  <c r="BF121" i="4"/>
  <c r="BG121" i="4"/>
  <c r="BH121" i="4"/>
  <c r="BI121" i="4"/>
  <c r="BJ121" i="4"/>
  <c r="AM122" i="4"/>
  <c r="AN122" i="4"/>
  <c r="AO122" i="4"/>
  <c r="AP122" i="4"/>
  <c r="AQ122" i="4"/>
  <c r="AR122" i="4"/>
  <c r="AS122" i="4"/>
  <c r="AT122" i="4"/>
  <c r="AU122" i="4"/>
  <c r="AV122" i="4"/>
  <c r="AW122" i="4"/>
  <c r="AX122" i="4"/>
  <c r="AY122" i="4"/>
  <c r="AZ122" i="4"/>
  <c r="BA122" i="4"/>
  <c r="BB122" i="4"/>
  <c r="BC122" i="4"/>
  <c r="BD122" i="4"/>
  <c r="BE122" i="4"/>
  <c r="BF122" i="4"/>
  <c r="BG122" i="4"/>
  <c r="BH122" i="4"/>
  <c r="BI122" i="4"/>
  <c r="BJ122" i="4"/>
  <c r="AM123" i="4"/>
  <c r="AN123" i="4"/>
  <c r="AO123" i="4"/>
  <c r="AP123" i="4"/>
  <c r="AQ123" i="4"/>
  <c r="AR123" i="4"/>
  <c r="AS123" i="4"/>
  <c r="AT123" i="4"/>
  <c r="AU123" i="4"/>
  <c r="AV123" i="4"/>
  <c r="AW123" i="4"/>
  <c r="AX123" i="4"/>
  <c r="AY123" i="4"/>
  <c r="AZ123" i="4"/>
  <c r="BA123" i="4"/>
  <c r="BB123" i="4"/>
  <c r="BC123" i="4"/>
  <c r="BD123" i="4"/>
  <c r="BE123" i="4"/>
  <c r="BF123" i="4"/>
  <c r="BG123" i="4"/>
  <c r="BH123" i="4"/>
  <c r="BI123" i="4"/>
  <c r="BJ123" i="4"/>
  <c r="AM124" i="4"/>
  <c r="AN124" i="4"/>
  <c r="AO124" i="4"/>
  <c r="AP124" i="4"/>
  <c r="AQ124" i="4"/>
  <c r="AR124" i="4"/>
  <c r="AS124" i="4"/>
  <c r="AT124" i="4"/>
  <c r="AU124" i="4"/>
  <c r="AV124" i="4"/>
  <c r="AW124" i="4"/>
  <c r="AX124" i="4"/>
  <c r="AY124" i="4"/>
  <c r="AZ124" i="4"/>
  <c r="BA124" i="4"/>
  <c r="BB124" i="4"/>
  <c r="BC124" i="4"/>
  <c r="BD124" i="4"/>
  <c r="BE124" i="4"/>
  <c r="BF124" i="4"/>
  <c r="BG124" i="4"/>
  <c r="BH124" i="4"/>
  <c r="BI124" i="4"/>
  <c r="BJ124" i="4"/>
  <c r="AM125" i="4"/>
  <c r="AN125" i="4"/>
  <c r="AO125" i="4"/>
  <c r="AP125" i="4"/>
  <c r="AQ125" i="4"/>
  <c r="AR125" i="4"/>
  <c r="AS125" i="4"/>
  <c r="AT125" i="4"/>
  <c r="AU125" i="4"/>
  <c r="AV125" i="4"/>
  <c r="AW125" i="4"/>
  <c r="AX125" i="4"/>
  <c r="AY125" i="4"/>
  <c r="AZ125" i="4"/>
  <c r="BA125" i="4"/>
  <c r="BB125" i="4"/>
  <c r="BC125" i="4"/>
  <c r="BD125" i="4"/>
  <c r="BE125" i="4"/>
  <c r="BF125" i="4"/>
  <c r="BG125" i="4"/>
  <c r="BH125" i="4"/>
  <c r="BI125" i="4"/>
  <c r="BJ125" i="4"/>
  <c r="AM126" i="4"/>
  <c r="AN126" i="4"/>
  <c r="AO126" i="4"/>
  <c r="AP126" i="4"/>
  <c r="AQ126" i="4"/>
  <c r="AR126" i="4"/>
  <c r="AS126" i="4"/>
  <c r="AT126" i="4"/>
  <c r="AU126" i="4"/>
  <c r="AV126" i="4"/>
  <c r="AW126" i="4"/>
  <c r="AX126" i="4"/>
  <c r="AY126" i="4"/>
  <c r="AZ126" i="4"/>
  <c r="BA126" i="4"/>
  <c r="BB126" i="4"/>
  <c r="BC126" i="4"/>
  <c r="BD126" i="4"/>
  <c r="BE126" i="4"/>
  <c r="BF126" i="4"/>
  <c r="BG126" i="4"/>
  <c r="BH126" i="4"/>
  <c r="BI126" i="4"/>
  <c r="BJ126" i="4"/>
  <c r="AM127" i="4"/>
  <c r="AN127" i="4"/>
  <c r="AO127" i="4"/>
  <c r="AP127" i="4"/>
  <c r="AQ127" i="4"/>
  <c r="AR127" i="4"/>
  <c r="AS127" i="4"/>
  <c r="AT127" i="4"/>
  <c r="AU127" i="4"/>
  <c r="AV127" i="4"/>
  <c r="AW127" i="4"/>
  <c r="AX127" i="4"/>
  <c r="AY127" i="4"/>
  <c r="AZ127" i="4"/>
  <c r="BA127" i="4"/>
  <c r="BB127" i="4"/>
  <c r="BC127" i="4"/>
  <c r="BD127" i="4"/>
  <c r="BE127" i="4"/>
  <c r="BF127" i="4"/>
  <c r="BG127" i="4"/>
  <c r="BH127" i="4"/>
  <c r="BI127" i="4"/>
  <c r="BJ127" i="4"/>
  <c r="AM128" i="4"/>
  <c r="AN128" i="4"/>
  <c r="AO128" i="4"/>
  <c r="AP128" i="4"/>
  <c r="AQ128" i="4"/>
  <c r="AR128" i="4"/>
  <c r="AS128" i="4"/>
  <c r="AT128" i="4"/>
  <c r="AU128" i="4"/>
  <c r="AV128" i="4"/>
  <c r="AW128" i="4"/>
  <c r="AX128" i="4"/>
  <c r="AY128" i="4"/>
  <c r="AZ128" i="4"/>
  <c r="BA128" i="4"/>
  <c r="BB128" i="4"/>
  <c r="BC128" i="4"/>
  <c r="BD128" i="4"/>
  <c r="BE128" i="4"/>
  <c r="BF128" i="4"/>
  <c r="BG128" i="4"/>
  <c r="BH128" i="4"/>
  <c r="BI128" i="4"/>
  <c r="BJ128" i="4"/>
  <c r="AM129" i="4"/>
  <c r="AN129" i="4"/>
  <c r="AO129" i="4"/>
  <c r="AP129" i="4"/>
  <c r="AQ129" i="4"/>
  <c r="AR129" i="4"/>
  <c r="AS129" i="4"/>
  <c r="AT129" i="4"/>
  <c r="AU129" i="4"/>
  <c r="AV129" i="4"/>
  <c r="AW129" i="4"/>
  <c r="AX129" i="4"/>
  <c r="AY129" i="4"/>
  <c r="AZ129" i="4"/>
  <c r="BA129" i="4"/>
  <c r="BB129" i="4"/>
  <c r="BC129" i="4"/>
  <c r="BD129" i="4"/>
  <c r="BE129" i="4"/>
  <c r="BF129" i="4"/>
  <c r="BG129" i="4"/>
  <c r="BH129" i="4"/>
  <c r="BI129" i="4"/>
  <c r="BJ129" i="4"/>
  <c r="AM130" i="4"/>
  <c r="AN130" i="4"/>
  <c r="AO130" i="4"/>
  <c r="AP130" i="4"/>
  <c r="AQ130" i="4"/>
  <c r="AR130" i="4"/>
  <c r="AS130" i="4"/>
  <c r="AT130" i="4"/>
  <c r="AU130" i="4"/>
  <c r="AV130" i="4"/>
  <c r="AW130" i="4"/>
  <c r="AX130" i="4"/>
  <c r="AY130" i="4"/>
  <c r="AZ130" i="4"/>
  <c r="BA130" i="4"/>
  <c r="BB130" i="4"/>
  <c r="BC130" i="4"/>
  <c r="BD130" i="4"/>
  <c r="BE130" i="4"/>
  <c r="BF130" i="4"/>
  <c r="BG130" i="4"/>
  <c r="BH130" i="4"/>
  <c r="BI130" i="4"/>
  <c r="BJ130" i="4"/>
  <c r="AM131" i="4"/>
  <c r="AN131" i="4"/>
  <c r="AO131" i="4"/>
  <c r="AP131" i="4"/>
  <c r="AQ131" i="4"/>
  <c r="AR131" i="4"/>
  <c r="AS131" i="4"/>
  <c r="AT131" i="4"/>
  <c r="AU131" i="4"/>
  <c r="AV131" i="4"/>
  <c r="AW131" i="4"/>
  <c r="AX131" i="4"/>
  <c r="AY131" i="4"/>
  <c r="AZ131" i="4"/>
  <c r="BA131" i="4"/>
  <c r="BB131" i="4"/>
  <c r="BC131" i="4"/>
  <c r="BD131" i="4"/>
  <c r="BE131" i="4"/>
  <c r="BF131" i="4"/>
  <c r="BG131" i="4"/>
  <c r="BH131" i="4"/>
  <c r="BI131" i="4"/>
  <c r="BJ131" i="4"/>
  <c r="AM132" i="4"/>
  <c r="AN132" i="4"/>
  <c r="AO132" i="4"/>
  <c r="AP132" i="4"/>
  <c r="AQ132" i="4"/>
  <c r="AR132" i="4"/>
  <c r="AS132" i="4"/>
  <c r="AT132" i="4"/>
  <c r="AU132" i="4"/>
  <c r="AV132" i="4"/>
  <c r="AW132" i="4"/>
  <c r="AX132" i="4"/>
  <c r="AY132" i="4"/>
  <c r="AZ132" i="4"/>
  <c r="BA132" i="4"/>
  <c r="BB132" i="4"/>
  <c r="BC132" i="4"/>
  <c r="BD132" i="4"/>
  <c r="BE132" i="4"/>
  <c r="BF132" i="4"/>
  <c r="BG132" i="4"/>
  <c r="BH132" i="4"/>
  <c r="BI132" i="4"/>
  <c r="BJ132" i="4"/>
  <c r="AM133" i="4"/>
  <c r="AN133" i="4"/>
  <c r="AO133" i="4"/>
  <c r="AP133" i="4"/>
  <c r="AQ133" i="4"/>
  <c r="AR133" i="4"/>
  <c r="AS133" i="4"/>
  <c r="AT133" i="4"/>
  <c r="AU133" i="4"/>
  <c r="AV133" i="4"/>
  <c r="AW133" i="4"/>
  <c r="AX133" i="4"/>
  <c r="AY133" i="4"/>
  <c r="AZ133" i="4"/>
  <c r="BA133" i="4"/>
  <c r="BB133" i="4"/>
  <c r="BC133" i="4"/>
  <c r="BD133" i="4"/>
  <c r="BE133" i="4"/>
  <c r="BF133" i="4"/>
  <c r="BG133" i="4"/>
  <c r="BH133" i="4"/>
  <c r="BI133" i="4"/>
  <c r="BJ133" i="4"/>
  <c r="AM134" i="4"/>
  <c r="AN134" i="4"/>
  <c r="AO134" i="4"/>
  <c r="AP134" i="4"/>
  <c r="AQ134" i="4"/>
  <c r="AR134" i="4"/>
  <c r="AS134" i="4"/>
  <c r="AT134" i="4"/>
  <c r="AU134" i="4"/>
  <c r="AV134" i="4"/>
  <c r="AW134" i="4"/>
  <c r="AX134" i="4"/>
  <c r="AY134" i="4"/>
  <c r="AZ134" i="4"/>
  <c r="BA134" i="4"/>
  <c r="BB134" i="4"/>
  <c r="BC134" i="4"/>
  <c r="BD134" i="4"/>
  <c r="BE134" i="4"/>
  <c r="BF134" i="4"/>
  <c r="BG134" i="4"/>
  <c r="BH134" i="4"/>
  <c r="BI134" i="4"/>
  <c r="BJ134" i="4"/>
  <c r="AM135" i="4"/>
  <c r="AN135" i="4"/>
  <c r="AO135" i="4"/>
  <c r="AP135" i="4"/>
  <c r="AQ135" i="4"/>
  <c r="AR135" i="4"/>
  <c r="AS135" i="4"/>
  <c r="AT135" i="4"/>
  <c r="AU135" i="4"/>
  <c r="AV135" i="4"/>
  <c r="AW135" i="4"/>
  <c r="AX135" i="4"/>
  <c r="AY135" i="4"/>
  <c r="AZ135" i="4"/>
  <c r="BA135" i="4"/>
  <c r="BB135" i="4"/>
  <c r="BC135" i="4"/>
  <c r="BD135" i="4"/>
  <c r="BE135" i="4"/>
  <c r="BF135" i="4"/>
  <c r="BG135" i="4"/>
  <c r="BH135" i="4"/>
  <c r="BI135" i="4"/>
  <c r="BJ135" i="4"/>
  <c r="AM136" i="4"/>
  <c r="AN136" i="4"/>
  <c r="AO136" i="4"/>
  <c r="AP136" i="4"/>
  <c r="AQ136" i="4"/>
  <c r="AR136" i="4"/>
  <c r="AS136" i="4"/>
  <c r="AT136" i="4"/>
  <c r="AU136" i="4"/>
  <c r="AV136" i="4"/>
  <c r="AW136" i="4"/>
  <c r="AX136" i="4"/>
  <c r="AY136" i="4"/>
  <c r="AZ136" i="4"/>
  <c r="BA136" i="4"/>
  <c r="BB136" i="4"/>
  <c r="BC136" i="4"/>
  <c r="BD136" i="4"/>
  <c r="BE136" i="4"/>
  <c r="BF136" i="4"/>
  <c r="BG136" i="4"/>
  <c r="BH136" i="4"/>
  <c r="BI136" i="4"/>
  <c r="BJ136" i="4"/>
  <c r="AM137" i="4"/>
  <c r="AN137" i="4"/>
  <c r="AO137" i="4"/>
  <c r="AP137" i="4"/>
  <c r="AQ137" i="4"/>
  <c r="AR137" i="4"/>
  <c r="AS137" i="4"/>
  <c r="AT137" i="4"/>
  <c r="AU137" i="4"/>
  <c r="AV137" i="4"/>
  <c r="AW137" i="4"/>
  <c r="AX137" i="4"/>
  <c r="AY137" i="4"/>
  <c r="AZ137" i="4"/>
  <c r="BA137" i="4"/>
  <c r="BB137" i="4"/>
  <c r="BC137" i="4"/>
  <c r="BD137" i="4"/>
  <c r="BE137" i="4"/>
  <c r="BF137" i="4"/>
  <c r="BG137" i="4"/>
  <c r="BH137" i="4"/>
  <c r="BI137" i="4"/>
  <c r="BJ137" i="4"/>
  <c r="AM138" i="4"/>
  <c r="AN138" i="4"/>
  <c r="AO138" i="4"/>
  <c r="AP138" i="4"/>
  <c r="AQ138" i="4"/>
  <c r="AR138" i="4"/>
  <c r="AS138" i="4"/>
  <c r="AT138" i="4"/>
  <c r="AU138" i="4"/>
  <c r="AV138" i="4"/>
  <c r="AW138" i="4"/>
  <c r="AX138" i="4"/>
  <c r="AY138" i="4"/>
  <c r="AZ138" i="4"/>
  <c r="BA138" i="4"/>
  <c r="BB138" i="4"/>
  <c r="BC138" i="4"/>
  <c r="BD138" i="4"/>
  <c r="BE138" i="4"/>
  <c r="BF138" i="4"/>
  <c r="BG138" i="4"/>
  <c r="BH138" i="4"/>
  <c r="BI138" i="4"/>
  <c r="BJ138" i="4"/>
  <c r="AM139" i="4"/>
  <c r="AN139" i="4"/>
  <c r="AO139" i="4"/>
  <c r="AP139" i="4"/>
  <c r="AQ139" i="4"/>
  <c r="AR139" i="4"/>
  <c r="AS139" i="4"/>
  <c r="AT139" i="4"/>
  <c r="AU139" i="4"/>
  <c r="AV139" i="4"/>
  <c r="AW139" i="4"/>
  <c r="AX139" i="4"/>
  <c r="AY139" i="4"/>
  <c r="AZ139" i="4"/>
  <c r="BA139" i="4"/>
  <c r="BB139" i="4"/>
  <c r="BC139" i="4"/>
  <c r="BD139" i="4"/>
  <c r="BE139" i="4"/>
  <c r="BF139" i="4"/>
  <c r="BG139" i="4"/>
  <c r="BH139" i="4"/>
  <c r="BI139" i="4"/>
  <c r="BJ139" i="4"/>
  <c r="AM140" i="4"/>
  <c r="AN140" i="4"/>
  <c r="AO140" i="4"/>
  <c r="AP140" i="4"/>
  <c r="AQ140" i="4"/>
  <c r="AR140" i="4"/>
  <c r="AS140" i="4"/>
  <c r="AT140" i="4"/>
  <c r="AU140" i="4"/>
  <c r="AV140" i="4"/>
  <c r="AW140" i="4"/>
  <c r="AX140" i="4"/>
  <c r="AY140" i="4"/>
  <c r="AZ140" i="4"/>
  <c r="BA140" i="4"/>
  <c r="BB140" i="4"/>
  <c r="BC140" i="4"/>
  <c r="BD140" i="4"/>
  <c r="BE140" i="4"/>
  <c r="BF140" i="4"/>
  <c r="BG140" i="4"/>
  <c r="BH140" i="4"/>
  <c r="BI140" i="4"/>
  <c r="BJ140" i="4"/>
  <c r="AM141" i="4"/>
  <c r="AN141" i="4"/>
  <c r="AO141" i="4"/>
  <c r="AP141" i="4"/>
  <c r="AQ141" i="4"/>
  <c r="AR141" i="4"/>
  <c r="AS141" i="4"/>
  <c r="AT141" i="4"/>
  <c r="AU141" i="4"/>
  <c r="AV141" i="4"/>
  <c r="AW141" i="4"/>
  <c r="AX141" i="4"/>
  <c r="AY141" i="4"/>
  <c r="AZ141" i="4"/>
  <c r="BA141" i="4"/>
  <c r="BB141" i="4"/>
  <c r="BC141" i="4"/>
  <c r="BD141" i="4"/>
  <c r="BE141" i="4"/>
  <c r="BF141" i="4"/>
  <c r="BG141" i="4"/>
  <c r="BH141" i="4"/>
  <c r="BI141" i="4"/>
  <c r="BJ141" i="4"/>
  <c r="AM142" i="4"/>
  <c r="AN142" i="4"/>
  <c r="AO142" i="4"/>
  <c r="AP142" i="4"/>
  <c r="AQ142" i="4"/>
  <c r="AR142" i="4"/>
  <c r="AS142" i="4"/>
  <c r="AT142" i="4"/>
  <c r="AU142" i="4"/>
  <c r="AV142" i="4"/>
  <c r="AW142" i="4"/>
  <c r="AX142" i="4"/>
  <c r="AY142" i="4"/>
  <c r="AZ142" i="4"/>
  <c r="BA142" i="4"/>
  <c r="BB142" i="4"/>
  <c r="BC142" i="4"/>
  <c r="BD142" i="4"/>
  <c r="BE142" i="4"/>
  <c r="BF142" i="4"/>
  <c r="BG142" i="4"/>
  <c r="BH142" i="4"/>
  <c r="BI142" i="4"/>
  <c r="BJ142" i="4"/>
  <c r="AM143" i="4"/>
  <c r="AN143" i="4"/>
  <c r="AO143" i="4"/>
  <c r="AP143" i="4"/>
  <c r="AQ143" i="4"/>
  <c r="AR143" i="4"/>
  <c r="AS143" i="4"/>
  <c r="AT143" i="4"/>
  <c r="AU143" i="4"/>
  <c r="AV143" i="4"/>
  <c r="AW143" i="4"/>
  <c r="AX143" i="4"/>
  <c r="AY143" i="4"/>
  <c r="AZ143" i="4"/>
  <c r="BA143" i="4"/>
  <c r="BB143" i="4"/>
  <c r="BC143" i="4"/>
  <c r="BD143" i="4"/>
  <c r="BE143" i="4"/>
  <c r="BF143" i="4"/>
  <c r="BG143" i="4"/>
  <c r="BH143" i="4"/>
  <c r="BI143" i="4"/>
  <c r="BJ143" i="4"/>
  <c r="AM144" i="4"/>
  <c r="AN144" i="4"/>
  <c r="AO144" i="4"/>
  <c r="AP144" i="4"/>
  <c r="AQ144" i="4"/>
  <c r="AR144" i="4"/>
  <c r="AS144" i="4"/>
  <c r="AT144" i="4"/>
  <c r="AU144" i="4"/>
  <c r="AV144" i="4"/>
  <c r="AW144" i="4"/>
  <c r="AX144" i="4"/>
  <c r="AY144" i="4"/>
  <c r="AZ144" i="4"/>
  <c r="BA144" i="4"/>
  <c r="BB144" i="4"/>
  <c r="BC144" i="4"/>
  <c r="BD144" i="4"/>
  <c r="BE144" i="4"/>
  <c r="BF144" i="4"/>
  <c r="BG144" i="4"/>
  <c r="BH144" i="4"/>
  <c r="BI144" i="4"/>
  <c r="BJ144" i="4"/>
  <c r="AM145" i="4"/>
  <c r="AN145" i="4"/>
  <c r="AO145" i="4"/>
  <c r="AP145" i="4"/>
  <c r="AQ145" i="4"/>
  <c r="AR145" i="4"/>
  <c r="AS145" i="4"/>
  <c r="AT145" i="4"/>
  <c r="AU145" i="4"/>
  <c r="AV145" i="4"/>
  <c r="AW145" i="4"/>
  <c r="AX145" i="4"/>
  <c r="AY145" i="4"/>
  <c r="AZ145" i="4"/>
  <c r="BA145" i="4"/>
  <c r="BB145" i="4"/>
  <c r="BC145" i="4"/>
  <c r="BD145" i="4"/>
  <c r="BE145" i="4"/>
  <c r="BF145" i="4"/>
  <c r="BG145" i="4"/>
  <c r="BH145" i="4"/>
  <c r="BI145" i="4"/>
  <c r="BJ145" i="4"/>
  <c r="AM146" i="4"/>
  <c r="AN146" i="4"/>
  <c r="AO146" i="4"/>
  <c r="AP146" i="4"/>
  <c r="AQ146" i="4"/>
  <c r="AR146" i="4"/>
  <c r="AS146" i="4"/>
  <c r="AT146" i="4"/>
  <c r="AU146" i="4"/>
  <c r="AV146" i="4"/>
  <c r="AW146" i="4"/>
  <c r="AX146" i="4"/>
  <c r="AY146" i="4"/>
  <c r="AZ146" i="4"/>
  <c r="BA146" i="4"/>
  <c r="BB146" i="4"/>
  <c r="BC146" i="4"/>
  <c r="BD146" i="4"/>
  <c r="BE146" i="4"/>
  <c r="BF146" i="4"/>
  <c r="BG146" i="4"/>
  <c r="BH146" i="4"/>
  <c r="BI146" i="4"/>
  <c r="BJ146" i="4"/>
  <c r="AM147" i="4"/>
  <c r="AN147" i="4"/>
  <c r="AO147" i="4"/>
  <c r="AP147" i="4"/>
  <c r="AQ147" i="4"/>
  <c r="AR147" i="4"/>
  <c r="AS147" i="4"/>
  <c r="AT147" i="4"/>
  <c r="AU147" i="4"/>
  <c r="AV147" i="4"/>
  <c r="AW147" i="4"/>
  <c r="AX147" i="4"/>
  <c r="AY147" i="4"/>
  <c r="AZ147" i="4"/>
  <c r="BA147" i="4"/>
  <c r="BB147" i="4"/>
  <c r="BC147" i="4"/>
  <c r="BD147" i="4"/>
  <c r="BE147" i="4"/>
  <c r="BF147" i="4"/>
  <c r="BG147" i="4"/>
  <c r="BH147" i="4"/>
  <c r="BI147" i="4"/>
  <c r="BJ147" i="4"/>
  <c r="AM148" i="4"/>
  <c r="AN148" i="4"/>
  <c r="AO148" i="4"/>
  <c r="AP148" i="4"/>
  <c r="AQ148" i="4"/>
  <c r="AR148" i="4"/>
  <c r="AS148" i="4"/>
  <c r="AT148" i="4"/>
  <c r="AU148" i="4"/>
  <c r="AV148" i="4"/>
  <c r="AW148" i="4"/>
  <c r="AX148" i="4"/>
  <c r="AY148" i="4"/>
  <c r="AZ148" i="4"/>
  <c r="BA148" i="4"/>
  <c r="BB148" i="4"/>
  <c r="BC148" i="4"/>
  <c r="BD148" i="4"/>
  <c r="BE148" i="4"/>
  <c r="BF148" i="4"/>
  <c r="BG148" i="4"/>
  <c r="BH148" i="4"/>
  <c r="BI148" i="4"/>
  <c r="BJ148" i="4"/>
  <c r="AM149" i="4"/>
  <c r="AN149" i="4"/>
  <c r="AO149" i="4"/>
  <c r="AP149" i="4"/>
  <c r="AQ149" i="4"/>
  <c r="AR149" i="4"/>
  <c r="AS149" i="4"/>
  <c r="AT149" i="4"/>
  <c r="AU149" i="4"/>
  <c r="AV149" i="4"/>
  <c r="AW149" i="4"/>
  <c r="AX149" i="4"/>
  <c r="AY149" i="4"/>
  <c r="AZ149" i="4"/>
  <c r="BA149" i="4"/>
  <c r="BB149" i="4"/>
  <c r="BC149" i="4"/>
  <c r="BD149" i="4"/>
  <c r="BE149" i="4"/>
  <c r="BF149" i="4"/>
  <c r="BG149" i="4"/>
  <c r="BH149" i="4"/>
  <c r="BI149" i="4"/>
  <c r="BJ149" i="4"/>
  <c r="AM150" i="4"/>
  <c r="AN150" i="4"/>
  <c r="AO150" i="4"/>
  <c r="AP150" i="4"/>
  <c r="AQ150" i="4"/>
  <c r="AR150" i="4"/>
  <c r="AS150" i="4"/>
  <c r="AT150" i="4"/>
  <c r="AU150" i="4"/>
  <c r="AV150" i="4"/>
  <c r="AW150" i="4"/>
  <c r="AX150" i="4"/>
  <c r="AY150" i="4"/>
  <c r="AZ150" i="4"/>
  <c r="BA150" i="4"/>
  <c r="BB150" i="4"/>
  <c r="BC150" i="4"/>
  <c r="BD150" i="4"/>
  <c r="BE150" i="4"/>
  <c r="BF150" i="4"/>
  <c r="BG150" i="4"/>
  <c r="BH150" i="4"/>
  <c r="BI150" i="4"/>
  <c r="BJ150" i="4"/>
  <c r="AM151" i="4"/>
  <c r="AN151" i="4"/>
  <c r="AO151" i="4"/>
  <c r="AP151" i="4"/>
  <c r="AQ151" i="4"/>
  <c r="AR151" i="4"/>
  <c r="AS151" i="4"/>
  <c r="AT151" i="4"/>
  <c r="AU151" i="4"/>
  <c r="AV151" i="4"/>
  <c r="AW151" i="4"/>
  <c r="AX151" i="4"/>
  <c r="AY151" i="4"/>
  <c r="AZ151" i="4"/>
  <c r="BA151" i="4"/>
  <c r="BB151" i="4"/>
  <c r="BC151" i="4"/>
  <c r="BD151" i="4"/>
  <c r="BE151" i="4"/>
  <c r="BF151" i="4"/>
  <c r="BG151" i="4"/>
  <c r="BH151" i="4"/>
  <c r="BI151" i="4"/>
  <c r="BJ151" i="4"/>
  <c r="AM152" i="4"/>
  <c r="AN152" i="4"/>
  <c r="AO152" i="4"/>
  <c r="AP152" i="4"/>
  <c r="AQ152" i="4"/>
  <c r="AR152" i="4"/>
  <c r="AS152" i="4"/>
  <c r="AT152" i="4"/>
  <c r="AU152" i="4"/>
  <c r="AV152" i="4"/>
  <c r="AW152" i="4"/>
  <c r="AX152" i="4"/>
  <c r="AY152" i="4"/>
  <c r="AZ152" i="4"/>
  <c r="BA152" i="4"/>
  <c r="BB152" i="4"/>
  <c r="BC152" i="4"/>
  <c r="BD152" i="4"/>
  <c r="BE152" i="4"/>
  <c r="BF152" i="4"/>
  <c r="BG152" i="4"/>
  <c r="BH152" i="4"/>
  <c r="BI152" i="4"/>
  <c r="BJ152" i="4"/>
  <c r="AM153" i="4"/>
  <c r="AN153" i="4"/>
  <c r="AO153" i="4"/>
  <c r="AP153" i="4"/>
  <c r="AQ153" i="4"/>
  <c r="AR153" i="4"/>
  <c r="AS153" i="4"/>
  <c r="AT153" i="4"/>
  <c r="AU153" i="4"/>
  <c r="AV153" i="4"/>
  <c r="AW153" i="4"/>
  <c r="AX153" i="4"/>
  <c r="AY153" i="4"/>
  <c r="AZ153" i="4"/>
  <c r="BA153" i="4"/>
  <c r="BB153" i="4"/>
  <c r="BC153" i="4"/>
  <c r="BD153" i="4"/>
  <c r="BE153" i="4"/>
  <c r="BF153" i="4"/>
  <c r="BG153" i="4"/>
  <c r="BH153" i="4"/>
  <c r="BI153" i="4"/>
  <c r="BJ153" i="4"/>
  <c r="AM154" i="4"/>
  <c r="AN154" i="4"/>
  <c r="AO154" i="4"/>
  <c r="AP154" i="4"/>
  <c r="AQ154" i="4"/>
  <c r="AR154" i="4"/>
  <c r="AS154" i="4"/>
  <c r="AT154" i="4"/>
  <c r="AU154" i="4"/>
  <c r="AV154" i="4"/>
  <c r="AW154" i="4"/>
  <c r="AX154" i="4"/>
  <c r="AY154" i="4"/>
  <c r="AZ154" i="4"/>
  <c r="BA154" i="4"/>
  <c r="BB154" i="4"/>
  <c r="BC154" i="4"/>
  <c r="BD154" i="4"/>
  <c r="BE154" i="4"/>
  <c r="BF154" i="4"/>
  <c r="BG154" i="4"/>
  <c r="BH154" i="4"/>
  <c r="BI154" i="4"/>
  <c r="BJ154" i="4"/>
  <c r="AM155" i="4"/>
  <c r="AN155" i="4"/>
  <c r="AO155" i="4"/>
  <c r="AP155" i="4"/>
  <c r="AQ155" i="4"/>
  <c r="AR155" i="4"/>
  <c r="AS155" i="4"/>
  <c r="AT155" i="4"/>
  <c r="AU155" i="4"/>
  <c r="AV155" i="4"/>
  <c r="AW155" i="4"/>
  <c r="AX155" i="4"/>
  <c r="AY155" i="4"/>
  <c r="AZ155" i="4"/>
  <c r="BA155" i="4"/>
  <c r="BB155" i="4"/>
  <c r="BC155" i="4"/>
  <c r="BD155" i="4"/>
  <c r="BE155" i="4"/>
  <c r="BF155" i="4"/>
  <c r="BG155" i="4"/>
  <c r="BH155" i="4"/>
  <c r="BI155" i="4"/>
  <c r="BJ155" i="4"/>
  <c r="AM156" i="4"/>
  <c r="AN156" i="4"/>
  <c r="AO156" i="4"/>
  <c r="AP156" i="4"/>
  <c r="AQ156" i="4"/>
  <c r="AR156" i="4"/>
  <c r="AS156" i="4"/>
  <c r="AT156" i="4"/>
  <c r="AU156" i="4"/>
  <c r="AV156" i="4"/>
  <c r="AW156" i="4"/>
  <c r="AX156" i="4"/>
  <c r="AY156" i="4"/>
  <c r="AZ156" i="4"/>
  <c r="BA156" i="4"/>
  <c r="BB156" i="4"/>
  <c r="BC156" i="4"/>
  <c r="BD156" i="4"/>
  <c r="BE156" i="4"/>
  <c r="BF156" i="4"/>
  <c r="BG156" i="4"/>
  <c r="BH156" i="4"/>
  <c r="BI156" i="4"/>
  <c r="BJ156" i="4"/>
  <c r="AM157" i="4"/>
  <c r="AN157" i="4"/>
  <c r="AO157" i="4"/>
  <c r="AP157" i="4"/>
  <c r="AQ157" i="4"/>
  <c r="AR157" i="4"/>
  <c r="AS157" i="4"/>
  <c r="AT157" i="4"/>
  <c r="AU157" i="4"/>
  <c r="AV157" i="4"/>
  <c r="AW157" i="4"/>
  <c r="AX157" i="4"/>
  <c r="AY157" i="4"/>
  <c r="AZ157" i="4"/>
  <c r="BA157" i="4"/>
  <c r="BB157" i="4"/>
  <c r="BC157" i="4"/>
  <c r="BD157" i="4"/>
  <c r="BE157" i="4"/>
  <c r="BF157" i="4"/>
  <c r="BG157" i="4"/>
  <c r="BH157" i="4"/>
  <c r="BI157" i="4"/>
  <c r="BJ157" i="4"/>
  <c r="AM158" i="4"/>
  <c r="AN158" i="4"/>
  <c r="AO158" i="4"/>
  <c r="AP158" i="4"/>
  <c r="AQ158" i="4"/>
  <c r="AR158" i="4"/>
  <c r="AS158" i="4"/>
  <c r="AT158" i="4"/>
  <c r="AU158" i="4"/>
  <c r="AV158" i="4"/>
  <c r="AW158" i="4"/>
  <c r="AX158" i="4"/>
  <c r="AY158" i="4"/>
  <c r="AZ158" i="4"/>
  <c r="BA158" i="4"/>
  <c r="BB158" i="4"/>
  <c r="BC158" i="4"/>
  <c r="BD158" i="4"/>
  <c r="BE158" i="4"/>
  <c r="BF158" i="4"/>
  <c r="BG158" i="4"/>
  <c r="BH158" i="4"/>
  <c r="BI158" i="4"/>
  <c r="BJ158" i="4"/>
  <c r="AM159" i="4"/>
  <c r="AN159" i="4"/>
  <c r="AO159" i="4"/>
  <c r="AP159" i="4"/>
  <c r="AQ159" i="4"/>
  <c r="AR159" i="4"/>
  <c r="AS159" i="4"/>
  <c r="AT159" i="4"/>
  <c r="AU159" i="4"/>
  <c r="AV159" i="4"/>
  <c r="AW159" i="4"/>
  <c r="AX159" i="4"/>
  <c r="AY159" i="4"/>
  <c r="AZ159" i="4"/>
  <c r="BA159" i="4"/>
  <c r="BB159" i="4"/>
  <c r="BC159" i="4"/>
  <c r="BD159" i="4"/>
  <c r="BE159" i="4"/>
  <c r="BF159" i="4"/>
  <c r="BG159" i="4"/>
  <c r="BH159" i="4"/>
  <c r="BI159" i="4"/>
  <c r="BJ159" i="4"/>
  <c r="AM160" i="4"/>
  <c r="AN160" i="4"/>
  <c r="AO160" i="4"/>
  <c r="AP160" i="4"/>
  <c r="AQ160" i="4"/>
  <c r="AR160" i="4"/>
  <c r="AS160" i="4"/>
  <c r="AT160" i="4"/>
  <c r="AU160" i="4"/>
  <c r="AV160" i="4"/>
  <c r="AW160" i="4"/>
  <c r="AX160" i="4"/>
  <c r="AY160" i="4"/>
  <c r="AZ160" i="4"/>
  <c r="BA160" i="4"/>
  <c r="BB160" i="4"/>
  <c r="BC160" i="4"/>
  <c r="BD160" i="4"/>
  <c r="BE160" i="4"/>
  <c r="BF160" i="4"/>
  <c r="BG160" i="4"/>
  <c r="BH160" i="4"/>
  <c r="BI160" i="4"/>
  <c r="BJ160" i="4"/>
  <c r="AM161" i="4"/>
  <c r="AN161" i="4"/>
  <c r="AO161" i="4"/>
  <c r="AP161" i="4"/>
  <c r="AQ161" i="4"/>
  <c r="AR161" i="4"/>
  <c r="AS161" i="4"/>
  <c r="AT161" i="4"/>
  <c r="AU161" i="4"/>
  <c r="AV161" i="4"/>
  <c r="AW161" i="4"/>
  <c r="AX161" i="4"/>
  <c r="AY161" i="4"/>
  <c r="AZ161" i="4"/>
  <c r="BA161" i="4"/>
  <c r="BB161" i="4"/>
  <c r="BC161" i="4"/>
  <c r="BD161" i="4"/>
  <c r="BE161" i="4"/>
  <c r="BF161" i="4"/>
  <c r="BG161" i="4"/>
  <c r="BH161" i="4"/>
  <c r="BI161" i="4"/>
  <c r="BJ161" i="4"/>
  <c r="AM162" i="4"/>
  <c r="AN162" i="4"/>
  <c r="AO162" i="4"/>
  <c r="AP162" i="4"/>
  <c r="AQ162" i="4"/>
  <c r="AR162" i="4"/>
  <c r="AS162" i="4"/>
  <c r="AT162" i="4"/>
  <c r="AU162" i="4"/>
  <c r="AV162" i="4"/>
  <c r="AW162" i="4"/>
  <c r="AX162" i="4"/>
  <c r="AY162" i="4"/>
  <c r="AZ162" i="4"/>
  <c r="BA162" i="4"/>
  <c r="BB162" i="4"/>
  <c r="BC162" i="4"/>
  <c r="BD162" i="4"/>
  <c r="BE162" i="4"/>
  <c r="BF162" i="4"/>
  <c r="BG162" i="4"/>
  <c r="BH162" i="4"/>
  <c r="BI162" i="4"/>
  <c r="BJ162" i="4"/>
  <c r="AM163" i="4"/>
  <c r="AN163" i="4"/>
  <c r="AO163" i="4"/>
  <c r="AP163" i="4"/>
  <c r="AQ163" i="4"/>
  <c r="AR163" i="4"/>
  <c r="AS163" i="4"/>
  <c r="AT163" i="4"/>
  <c r="AU163" i="4"/>
  <c r="AV163" i="4"/>
  <c r="AW163" i="4"/>
  <c r="AX163" i="4"/>
  <c r="AY163" i="4"/>
  <c r="AZ163" i="4"/>
  <c r="BA163" i="4"/>
  <c r="BB163" i="4"/>
  <c r="BC163" i="4"/>
  <c r="BD163" i="4"/>
  <c r="BE163" i="4"/>
  <c r="BF163" i="4"/>
  <c r="BG163" i="4"/>
  <c r="BH163" i="4"/>
  <c r="BI163" i="4"/>
  <c r="BJ163" i="4"/>
  <c r="AM164" i="4"/>
  <c r="AN164" i="4"/>
  <c r="AO164" i="4"/>
  <c r="AP164" i="4"/>
  <c r="AQ164" i="4"/>
  <c r="AR164" i="4"/>
  <c r="AS164" i="4"/>
  <c r="AT164" i="4"/>
  <c r="AU164" i="4"/>
  <c r="AV164" i="4"/>
  <c r="AW164" i="4"/>
  <c r="AX164" i="4"/>
  <c r="AY164" i="4"/>
  <c r="AZ164" i="4"/>
  <c r="BA164" i="4"/>
  <c r="BB164" i="4"/>
  <c r="BC164" i="4"/>
  <c r="BD164" i="4"/>
  <c r="BE164" i="4"/>
  <c r="BF164" i="4"/>
  <c r="BG164" i="4"/>
  <c r="BH164" i="4"/>
  <c r="BI164" i="4"/>
  <c r="BJ164" i="4"/>
  <c r="AM165" i="4"/>
  <c r="AN165" i="4"/>
  <c r="AO165" i="4"/>
  <c r="AP165" i="4"/>
  <c r="AQ165" i="4"/>
  <c r="AR165" i="4"/>
  <c r="AS165" i="4"/>
  <c r="AT165" i="4"/>
  <c r="AU165" i="4"/>
  <c r="AV165" i="4"/>
  <c r="AW165" i="4"/>
  <c r="AX165" i="4"/>
  <c r="AY165" i="4"/>
  <c r="AZ165" i="4"/>
  <c r="BA165" i="4"/>
  <c r="BB165" i="4"/>
  <c r="BC165" i="4"/>
  <c r="BD165" i="4"/>
  <c r="BE165" i="4"/>
  <c r="BF165" i="4"/>
  <c r="BG165" i="4"/>
  <c r="BH165" i="4"/>
  <c r="BI165" i="4"/>
  <c r="BJ165" i="4"/>
  <c r="AM166" i="4"/>
  <c r="AN166" i="4"/>
  <c r="AO166" i="4"/>
  <c r="AP166" i="4"/>
  <c r="AQ166" i="4"/>
  <c r="AR166" i="4"/>
  <c r="AS166" i="4"/>
  <c r="AT166" i="4"/>
  <c r="AU166" i="4"/>
  <c r="AV166" i="4"/>
  <c r="AW166" i="4"/>
  <c r="AX166" i="4"/>
  <c r="AY166" i="4"/>
  <c r="AZ166" i="4"/>
  <c r="BA166" i="4"/>
  <c r="BB166" i="4"/>
  <c r="BC166" i="4"/>
  <c r="BD166" i="4"/>
  <c r="BE166" i="4"/>
  <c r="BF166" i="4"/>
  <c r="BG166" i="4"/>
  <c r="BH166" i="4"/>
  <c r="BI166" i="4"/>
  <c r="BJ166" i="4"/>
  <c r="AM183" i="4"/>
  <c r="AN183" i="4"/>
  <c r="AO183" i="4"/>
  <c r="AP183" i="4"/>
  <c r="AQ183" i="4"/>
  <c r="AR183" i="4"/>
  <c r="AS183" i="4"/>
  <c r="AT183" i="4"/>
  <c r="AU183" i="4"/>
  <c r="AV183" i="4"/>
  <c r="AW183" i="4"/>
  <c r="AX183" i="4"/>
  <c r="AY183" i="4"/>
  <c r="AZ183" i="4"/>
  <c r="BA183" i="4"/>
  <c r="BB183" i="4"/>
  <c r="BC183" i="4"/>
  <c r="BD183" i="4"/>
  <c r="BE183" i="4"/>
  <c r="BF183" i="4"/>
  <c r="BG183" i="4"/>
  <c r="BH183" i="4"/>
  <c r="BI183" i="4"/>
  <c r="BJ183" i="4"/>
  <c r="AM188" i="4"/>
  <c r="AN188" i="4"/>
  <c r="AO188" i="4"/>
  <c r="AP188" i="4"/>
  <c r="AQ188" i="4"/>
  <c r="AR188" i="4"/>
  <c r="AS188" i="4"/>
  <c r="AT188" i="4"/>
  <c r="AU188" i="4"/>
  <c r="AV188" i="4"/>
  <c r="AW188" i="4"/>
  <c r="AX188" i="4"/>
  <c r="AY188" i="4"/>
  <c r="AZ188" i="4"/>
  <c r="BA188" i="4"/>
  <c r="BB188" i="4"/>
  <c r="BC188" i="4"/>
  <c r="BD188" i="4"/>
  <c r="BE188" i="4"/>
  <c r="BF188" i="4"/>
  <c r="BG188" i="4"/>
  <c r="BH188" i="4"/>
  <c r="BI188" i="4"/>
  <c r="BJ188" i="4"/>
  <c r="AM189" i="4"/>
  <c r="AN189" i="4"/>
  <c r="AO189" i="4"/>
  <c r="AP189" i="4"/>
  <c r="AQ189" i="4"/>
  <c r="AR189" i="4"/>
  <c r="AS189" i="4"/>
  <c r="AT189" i="4"/>
  <c r="AU189" i="4"/>
  <c r="AV189" i="4"/>
  <c r="AW189" i="4"/>
  <c r="AX189" i="4"/>
  <c r="AY189" i="4"/>
  <c r="AZ189" i="4"/>
  <c r="BA189" i="4"/>
  <c r="BB189" i="4"/>
  <c r="BC189" i="4"/>
  <c r="BD189" i="4"/>
  <c r="BE189" i="4"/>
  <c r="BF189" i="4"/>
  <c r="BG189" i="4"/>
  <c r="BH189" i="4"/>
  <c r="BI189" i="4"/>
  <c r="BJ189" i="4"/>
  <c r="AM179" i="4"/>
  <c r="AN179" i="4"/>
  <c r="AO179" i="4"/>
  <c r="AP179" i="4"/>
  <c r="AQ179" i="4"/>
  <c r="AR179" i="4"/>
  <c r="AS179" i="4"/>
  <c r="AT179" i="4"/>
  <c r="AU179" i="4"/>
  <c r="AV179" i="4"/>
  <c r="AW179" i="4"/>
  <c r="AX179" i="4"/>
  <c r="AY179" i="4"/>
  <c r="AZ179" i="4"/>
  <c r="BA179" i="4"/>
  <c r="BB179" i="4"/>
  <c r="BC179" i="4"/>
  <c r="BD179" i="4"/>
  <c r="BE179" i="4"/>
  <c r="BF179" i="4"/>
  <c r="BG179" i="4"/>
  <c r="BH179" i="4"/>
  <c r="BI179" i="4"/>
  <c r="BJ179" i="4"/>
  <c r="AM180" i="4"/>
  <c r="AN180" i="4"/>
  <c r="AO180" i="4"/>
  <c r="AP180" i="4"/>
  <c r="AQ180" i="4"/>
  <c r="AR180" i="4"/>
  <c r="AS180" i="4"/>
  <c r="AT180" i="4"/>
  <c r="AU180" i="4"/>
  <c r="AV180" i="4"/>
  <c r="AW180" i="4"/>
  <c r="AX180" i="4"/>
  <c r="AY180" i="4"/>
  <c r="AZ180" i="4"/>
  <c r="BA180" i="4"/>
  <c r="BB180" i="4"/>
  <c r="BC180" i="4"/>
  <c r="BD180" i="4"/>
  <c r="BE180" i="4"/>
  <c r="BF180" i="4"/>
  <c r="BG180" i="4"/>
  <c r="BH180" i="4"/>
  <c r="BI180" i="4"/>
  <c r="BJ180" i="4"/>
  <c r="AM186" i="4"/>
  <c r="AN186" i="4"/>
  <c r="AO186" i="4"/>
  <c r="AP186" i="4"/>
  <c r="AQ186" i="4"/>
  <c r="AR186" i="4"/>
  <c r="AS186" i="4"/>
  <c r="AT186" i="4"/>
  <c r="AU186" i="4"/>
  <c r="AV186" i="4"/>
  <c r="AW186" i="4"/>
  <c r="AX186" i="4"/>
  <c r="AY186" i="4"/>
  <c r="AZ186" i="4"/>
  <c r="BA186" i="4"/>
  <c r="BB186" i="4"/>
  <c r="BC186" i="4"/>
  <c r="BD186" i="4"/>
  <c r="BE186" i="4"/>
  <c r="BF186" i="4"/>
  <c r="BG186" i="4"/>
  <c r="BH186" i="4"/>
  <c r="BI186" i="4"/>
  <c r="BJ186" i="4"/>
  <c r="AM187" i="4"/>
  <c r="AN187" i="4"/>
  <c r="AO187" i="4"/>
  <c r="AP187" i="4"/>
  <c r="AQ187" i="4"/>
  <c r="AR187" i="4"/>
  <c r="AS187" i="4"/>
  <c r="AT187" i="4"/>
  <c r="AU187" i="4"/>
  <c r="AV187" i="4"/>
  <c r="AW187" i="4"/>
  <c r="AX187" i="4"/>
  <c r="AY187" i="4"/>
  <c r="AZ187" i="4"/>
  <c r="BA187" i="4"/>
  <c r="BB187" i="4"/>
  <c r="BC187" i="4"/>
  <c r="BD187" i="4"/>
  <c r="BE187" i="4"/>
  <c r="BF187" i="4"/>
  <c r="BG187" i="4"/>
  <c r="BH187" i="4"/>
  <c r="BI187" i="4"/>
  <c r="BJ187" i="4"/>
  <c r="AM181" i="4"/>
  <c r="AN181" i="4"/>
  <c r="AO181" i="4"/>
  <c r="AP181" i="4"/>
  <c r="AQ181" i="4"/>
  <c r="AR181" i="4"/>
  <c r="AS181" i="4"/>
  <c r="AT181" i="4"/>
  <c r="AU181" i="4"/>
  <c r="AV181" i="4"/>
  <c r="AW181" i="4"/>
  <c r="AX181" i="4"/>
  <c r="AY181" i="4"/>
  <c r="AZ181" i="4"/>
  <c r="BA181" i="4"/>
  <c r="BB181" i="4"/>
  <c r="BC181" i="4"/>
  <c r="BD181" i="4"/>
  <c r="BE181" i="4"/>
  <c r="BF181" i="4"/>
  <c r="BG181" i="4"/>
  <c r="BH181" i="4"/>
  <c r="BI181" i="4"/>
  <c r="BJ181" i="4"/>
  <c r="AM182" i="4"/>
  <c r="AN182" i="4"/>
  <c r="AO182" i="4"/>
  <c r="AP182" i="4"/>
  <c r="AQ182" i="4"/>
  <c r="AR182" i="4"/>
  <c r="AS182" i="4"/>
  <c r="AT182" i="4"/>
  <c r="AU182" i="4"/>
  <c r="AV182" i="4"/>
  <c r="AW182" i="4"/>
  <c r="AX182" i="4"/>
  <c r="AY182" i="4"/>
  <c r="AZ182" i="4"/>
  <c r="BA182" i="4"/>
  <c r="BB182" i="4"/>
  <c r="BC182" i="4"/>
  <c r="BD182" i="4"/>
  <c r="BE182" i="4"/>
  <c r="BF182" i="4"/>
  <c r="BG182" i="4"/>
  <c r="BH182" i="4"/>
  <c r="BI182" i="4"/>
  <c r="BJ182" i="4"/>
  <c r="AM184" i="4"/>
  <c r="AN184" i="4"/>
  <c r="AO184" i="4"/>
  <c r="AP184" i="4"/>
  <c r="AQ184" i="4"/>
  <c r="AR184" i="4"/>
  <c r="AS184" i="4"/>
  <c r="AT184" i="4"/>
  <c r="AU184" i="4"/>
  <c r="AV184" i="4"/>
  <c r="AW184" i="4"/>
  <c r="AX184" i="4"/>
  <c r="AY184" i="4"/>
  <c r="AZ184" i="4"/>
  <c r="BA184" i="4"/>
  <c r="BB184" i="4"/>
  <c r="BC184" i="4"/>
  <c r="BD184" i="4"/>
  <c r="BE184" i="4"/>
  <c r="BF184" i="4"/>
  <c r="BG184" i="4"/>
  <c r="BH184" i="4"/>
  <c r="BI184" i="4"/>
  <c r="BJ184" i="4"/>
  <c r="AM185" i="4"/>
  <c r="AN185" i="4"/>
  <c r="AO185" i="4"/>
  <c r="AP185" i="4"/>
  <c r="AQ185" i="4"/>
  <c r="AR185" i="4"/>
  <c r="AS185" i="4"/>
  <c r="AT185" i="4"/>
  <c r="AU185" i="4"/>
  <c r="AV185" i="4"/>
  <c r="AW185" i="4"/>
  <c r="AX185" i="4"/>
  <c r="AY185" i="4"/>
  <c r="AZ185" i="4"/>
  <c r="BA185" i="4"/>
  <c r="BB185" i="4"/>
  <c r="BC185" i="4"/>
  <c r="BD185" i="4"/>
  <c r="BE185" i="4"/>
  <c r="BF185" i="4"/>
  <c r="BG185" i="4"/>
  <c r="BH185" i="4"/>
  <c r="BI185" i="4"/>
  <c r="BJ185" i="4"/>
  <c r="AM175" i="4"/>
  <c r="AN175" i="4"/>
  <c r="AO175" i="4"/>
  <c r="AP175" i="4"/>
  <c r="AQ175" i="4"/>
  <c r="AR175" i="4"/>
  <c r="AS175" i="4"/>
  <c r="AT175" i="4"/>
  <c r="AU175" i="4"/>
  <c r="AV175" i="4"/>
  <c r="AW175" i="4"/>
  <c r="AX175" i="4"/>
  <c r="AY175" i="4"/>
  <c r="AZ175" i="4"/>
  <c r="BA175" i="4"/>
  <c r="BB175" i="4"/>
  <c r="BC175" i="4"/>
  <c r="BD175" i="4"/>
  <c r="BE175" i="4"/>
  <c r="BF175" i="4"/>
  <c r="BG175" i="4"/>
  <c r="BH175" i="4"/>
  <c r="BI175" i="4"/>
  <c r="BJ175" i="4"/>
  <c r="AM176" i="4"/>
  <c r="AN176" i="4"/>
  <c r="AO176" i="4"/>
  <c r="AP176" i="4"/>
  <c r="AQ176" i="4"/>
  <c r="AR176" i="4"/>
  <c r="AS176" i="4"/>
  <c r="AT176" i="4"/>
  <c r="AU176" i="4"/>
  <c r="AV176" i="4"/>
  <c r="AW176" i="4"/>
  <c r="AX176" i="4"/>
  <c r="AY176" i="4"/>
  <c r="AZ176" i="4"/>
  <c r="BA176" i="4"/>
  <c r="BB176" i="4"/>
  <c r="BC176" i="4"/>
  <c r="BD176" i="4"/>
  <c r="BE176" i="4"/>
  <c r="BF176" i="4"/>
  <c r="BG176" i="4"/>
  <c r="BH176" i="4"/>
  <c r="BI176" i="4"/>
  <c r="BJ176" i="4"/>
  <c r="AM173" i="4"/>
  <c r="AN173" i="4"/>
  <c r="AO173" i="4"/>
  <c r="AP173" i="4"/>
  <c r="AQ173" i="4"/>
  <c r="AR173" i="4"/>
  <c r="AS173" i="4"/>
  <c r="AT173" i="4"/>
  <c r="AU173" i="4"/>
  <c r="AV173" i="4"/>
  <c r="AW173" i="4"/>
  <c r="AX173" i="4"/>
  <c r="AY173" i="4"/>
  <c r="AZ173" i="4"/>
  <c r="BA173" i="4"/>
  <c r="BB173" i="4"/>
  <c r="BC173" i="4"/>
  <c r="BD173" i="4"/>
  <c r="BE173" i="4"/>
  <c r="BF173" i="4"/>
  <c r="BG173" i="4"/>
  <c r="BH173" i="4"/>
  <c r="BI173" i="4"/>
  <c r="BJ173" i="4"/>
  <c r="AM174" i="4"/>
  <c r="AN174" i="4"/>
  <c r="AO174" i="4"/>
  <c r="AP174" i="4"/>
  <c r="AQ174" i="4"/>
  <c r="AR174" i="4"/>
  <c r="AS174" i="4"/>
  <c r="AT174" i="4"/>
  <c r="AU174" i="4"/>
  <c r="AV174" i="4"/>
  <c r="AW174" i="4"/>
  <c r="AX174" i="4"/>
  <c r="AY174" i="4"/>
  <c r="AZ174" i="4"/>
  <c r="BA174" i="4"/>
  <c r="BB174" i="4"/>
  <c r="BC174" i="4"/>
  <c r="BD174" i="4"/>
  <c r="BE174" i="4"/>
  <c r="BF174" i="4"/>
  <c r="BG174" i="4"/>
  <c r="BH174" i="4"/>
  <c r="BI174" i="4"/>
  <c r="BJ174" i="4"/>
  <c r="AM171" i="4"/>
  <c r="AN171" i="4"/>
  <c r="AO171" i="4"/>
  <c r="AP171" i="4"/>
  <c r="AQ171" i="4"/>
  <c r="AR171" i="4"/>
  <c r="AS171" i="4"/>
  <c r="AT171" i="4"/>
  <c r="AU171" i="4"/>
  <c r="AV171" i="4"/>
  <c r="AW171" i="4"/>
  <c r="AX171" i="4"/>
  <c r="AY171" i="4"/>
  <c r="AZ171" i="4"/>
  <c r="BA171" i="4"/>
  <c r="BB171" i="4"/>
  <c r="BC171" i="4"/>
  <c r="BD171" i="4"/>
  <c r="BE171" i="4"/>
  <c r="BF171" i="4"/>
  <c r="BG171" i="4"/>
  <c r="BH171" i="4"/>
  <c r="BI171" i="4"/>
  <c r="BJ171" i="4"/>
  <c r="AM172" i="4"/>
  <c r="AN172" i="4"/>
  <c r="AO172" i="4"/>
  <c r="AP172" i="4"/>
  <c r="AQ172" i="4"/>
  <c r="AR172" i="4"/>
  <c r="AS172" i="4"/>
  <c r="AT172" i="4"/>
  <c r="AU172" i="4"/>
  <c r="AV172" i="4"/>
  <c r="AW172" i="4"/>
  <c r="AX172" i="4"/>
  <c r="AY172" i="4"/>
  <c r="AZ172" i="4"/>
  <c r="BA172" i="4"/>
  <c r="BB172" i="4"/>
  <c r="BC172" i="4"/>
  <c r="BD172" i="4"/>
  <c r="BE172" i="4"/>
  <c r="BF172" i="4"/>
  <c r="BG172" i="4"/>
  <c r="BH172" i="4"/>
  <c r="BI172" i="4"/>
  <c r="BJ172" i="4"/>
  <c r="AM177" i="4"/>
  <c r="AN177" i="4"/>
  <c r="AO177" i="4"/>
  <c r="AP177" i="4"/>
  <c r="AQ177" i="4"/>
  <c r="AR177" i="4"/>
  <c r="AS177" i="4"/>
  <c r="AT177" i="4"/>
  <c r="AU177" i="4"/>
  <c r="AV177" i="4"/>
  <c r="AW177" i="4"/>
  <c r="AX177" i="4"/>
  <c r="AY177" i="4"/>
  <c r="AZ177" i="4"/>
  <c r="BA177" i="4"/>
  <c r="BB177" i="4"/>
  <c r="BC177" i="4"/>
  <c r="BD177" i="4"/>
  <c r="BE177" i="4"/>
  <c r="BF177" i="4"/>
  <c r="BG177" i="4"/>
  <c r="BH177" i="4"/>
  <c r="BI177" i="4"/>
  <c r="BJ177" i="4"/>
  <c r="AM178" i="4"/>
  <c r="AN178" i="4"/>
  <c r="AO178" i="4"/>
  <c r="AP178" i="4"/>
  <c r="AQ178" i="4"/>
  <c r="AR178" i="4"/>
  <c r="AS178" i="4"/>
  <c r="AT178" i="4"/>
  <c r="AU178" i="4"/>
  <c r="AV178" i="4"/>
  <c r="AW178" i="4"/>
  <c r="AX178" i="4"/>
  <c r="AY178" i="4"/>
  <c r="AZ178" i="4"/>
  <c r="BA178" i="4"/>
  <c r="BB178" i="4"/>
  <c r="BC178" i="4"/>
  <c r="BD178" i="4"/>
  <c r="BE178" i="4"/>
  <c r="BF178" i="4"/>
  <c r="BG178" i="4"/>
  <c r="BH178" i="4"/>
  <c r="BI178" i="4"/>
  <c r="BJ178" i="4"/>
  <c r="AM167" i="4"/>
  <c r="AN167" i="4"/>
  <c r="AO167" i="4"/>
  <c r="AP167" i="4"/>
  <c r="AQ167" i="4"/>
  <c r="AR167" i="4"/>
  <c r="AS167" i="4"/>
  <c r="AT167" i="4"/>
  <c r="AU167" i="4"/>
  <c r="AV167" i="4"/>
  <c r="AW167" i="4"/>
  <c r="AX167" i="4"/>
  <c r="AY167" i="4"/>
  <c r="AZ167" i="4"/>
  <c r="BA167" i="4"/>
  <c r="BB167" i="4"/>
  <c r="BC167" i="4"/>
  <c r="BD167" i="4"/>
  <c r="BE167" i="4"/>
  <c r="BF167" i="4"/>
  <c r="BG167" i="4"/>
  <c r="BH167" i="4"/>
  <c r="BI167" i="4"/>
  <c r="BJ167" i="4"/>
  <c r="AM168" i="4"/>
  <c r="AN168" i="4"/>
  <c r="AO168" i="4"/>
  <c r="AP168" i="4"/>
  <c r="AQ168" i="4"/>
  <c r="AR168" i="4"/>
  <c r="AS168" i="4"/>
  <c r="AT168" i="4"/>
  <c r="AU168" i="4"/>
  <c r="AV168" i="4"/>
  <c r="AW168" i="4"/>
  <c r="AX168" i="4"/>
  <c r="AY168" i="4"/>
  <c r="AZ168" i="4"/>
  <c r="BA168" i="4"/>
  <c r="BB168" i="4"/>
  <c r="BC168" i="4"/>
  <c r="BD168" i="4"/>
  <c r="BE168" i="4"/>
  <c r="BF168" i="4"/>
  <c r="BG168" i="4"/>
  <c r="BH168" i="4"/>
  <c r="BI168" i="4"/>
  <c r="BJ168" i="4"/>
  <c r="AM169" i="4"/>
  <c r="AN169" i="4"/>
  <c r="AO169" i="4"/>
  <c r="AP169" i="4"/>
  <c r="AQ169" i="4"/>
  <c r="AR169" i="4"/>
  <c r="AS169" i="4"/>
  <c r="AT169" i="4"/>
  <c r="AU169" i="4"/>
  <c r="AV169" i="4"/>
  <c r="AW169" i="4"/>
  <c r="AX169" i="4"/>
  <c r="AY169" i="4"/>
  <c r="AZ169" i="4"/>
  <c r="BA169" i="4"/>
  <c r="BB169" i="4"/>
  <c r="BC169" i="4"/>
  <c r="BD169" i="4"/>
  <c r="BE169" i="4"/>
  <c r="BF169" i="4"/>
  <c r="BG169" i="4"/>
  <c r="BH169" i="4"/>
  <c r="BI169" i="4"/>
  <c r="BJ169" i="4"/>
  <c r="AM170" i="4"/>
  <c r="AN170" i="4"/>
  <c r="AO170" i="4"/>
  <c r="AP170" i="4"/>
  <c r="AQ170" i="4"/>
  <c r="AR170" i="4"/>
  <c r="AS170" i="4"/>
  <c r="AT170" i="4"/>
  <c r="AU170" i="4"/>
  <c r="AV170" i="4"/>
  <c r="AW170" i="4"/>
  <c r="AX170" i="4"/>
  <c r="AY170" i="4"/>
  <c r="AZ170" i="4"/>
  <c r="BA170" i="4"/>
  <c r="BB170" i="4"/>
  <c r="BC170" i="4"/>
  <c r="BD170" i="4"/>
  <c r="BE170" i="4"/>
  <c r="BF170" i="4"/>
  <c r="BG170" i="4"/>
  <c r="BH170" i="4"/>
  <c r="BI170" i="4"/>
  <c r="BJ170" i="4"/>
  <c r="AM190" i="4"/>
  <c r="AN190" i="4"/>
  <c r="AO190" i="4"/>
  <c r="AP190" i="4"/>
  <c r="AQ190" i="4"/>
  <c r="AR190" i="4"/>
  <c r="AS190" i="4"/>
  <c r="AT190" i="4"/>
  <c r="AU190" i="4"/>
  <c r="AV190" i="4"/>
  <c r="AW190" i="4"/>
  <c r="AX190" i="4"/>
  <c r="AY190" i="4"/>
  <c r="AZ190" i="4"/>
  <c r="BA190" i="4"/>
  <c r="BB190" i="4"/>
  <c r="BC190" i="4"/>
  <c r="BD190" i="4"/>
  <c r="BE190" i="4"/>
  <c r="BF190" i="4"/>
  <c r="BG190" i="4"/>
  <c r="BH190" i="4"/>
  <c r="BI190" i="4"/>
  <c r="BJ190" i="4"/>
  <c r="AM198" i="4"/>
  <c r="AN198" i="4"/>
  <c r="AO198" i="4"/>
  <c r="AP198" i="4"/>
  <c r="AQ198" i="4"/>
  <c r="AR198" i="4"/>
  <c r="AS198" i="4"/>
  <c r="AT198" i="4"/>
  <c r="AU198" i="4"/>
  <c r="AV198" i="4"/>
  <c r="AW198" i="4"/>
  <c r="AX198" i="4"/>
  <c r="AY198" i="4"/>
  <c r="AZ198" i="4"/>
  <c r="BA198" i="4"/>
  <c r="BB198" i="4"/>
  <c r="BC198" i="4"/>
  <c r="BD198" i="4"/>
  <c r="BE198" i="4"/>
  <c r="BF198" i="4"/>
  <c r="BG198" i="4"/>
  <c r="BH198" i="4"/>
  <c r="BI198" i="4"/>
  <c r="BJ198" i="4"/>
  <c r="AM199" i="4"/>
  <c r="AN199" i="4"/>
  <c r="AO199" i="4"/>
  <c r="AP199" i="4"/>
  <c r="AQ199" i="4"/>
  <c r="AR199" i="4"/>
  <c r="AS199" i="4"/>
  <c r="AT199" i="4"/>
  <c r="AU199" i="4"/>
  <c r="AV199" i="4"/>
  <c r="AW199" i="4"/>
  <c r="AX199" i="4"/>
  <c r="AY199" i="4"/>
  <c r="AZ199" i="4"/>
  <c r="BA199" i="4"/>
  <c r="BB199" i="4"/>
  <c r="BC199" i="4"/>
  <c r="BD199" i="4"/>
  <c r="BE199" i="4"/>
  <c r="BF199" i="4"/>
  <c r="BG199" i="4"/>
  <c r="BH199" i="4"/>
  <c r="BI199" i="4"/>
  <c r="BJ199" i="4"/>
  <c r="AM200" i="4"/>
  <c r="AN200" i="4"/>
  <c r="AO200" i="4"/>
  <c r="AP200" i="4"/>
  <c r="AQ200" i="4"/>
  <c r="AR200" i="4"/>
  <c r="AS200" i="4"/>
  <c r="AT200" i="4"/>
  <c r="AU200" i="4"/>
  <c r="AV200" i="4"/>
  <c r="AW200" i="4"/>
  <c r="AX200" i="4"/>
  <c r="AY200" i="4"/>
  <c r="AZ200" i="4"/>
  <c r="BA200" i="4"/>
  <c r="BB200" i="4"/>
  <c r="BC200" i="4"/>
  <c r="BD200" i="4"/>
  <c r="BE200" i="4"/>
  <c r="BF200" i="4"/>
  <c r="BG200" i="4"/>
  <c r="BH200" i="4"/>
  <c r="BI200" i="4"/>
  <c r="BJ200" i="4"/>
  <c r="AM201" i="4"/>
  <c r="AN201" i="4"/>
  <c r="AO201" i="4"/>
  <c r="AP201" i="4"/>
  <c r="AQ201" i="4"/>
  <c r="AR201" i="4"/>
  <c r="AS201" i="4"/>
  <c r="AT201" i="4"/>
  <c r="AU201" i="4"/>
  <c r="AV201" i="4"/>
  <c r="AW201" i="4"/>
  <c r="AX201" i="4"/>
  <c r="AY201" i="4"/>
  <c r="AZ201" i="4"/>
  <c r="BA201" i="4"/>
  <c r="BB201" i="4"/>
  <c r="BC201" i="4"/>
  <c r="BD201" i="4"/>
  <c r="BE201" i="4"/>
  <c r="BF201" i="4"/>
  <c r="BG201" i="4"/>
  <c r="BH201" i="4"/>
  <c r="BI201" i="4"/>
  <c r="BJ201" i="4"/>
  <c r="AM202" i="4"/>
  <c r="AN202" i="4"/>
  <c r="AO202" i="4"/>
  <c r="AP202" i="4"/>
  <c r="AQ202" i="4"/>
  <c r="AR202" i="4"/>
  <c r="AS202" i="4"/>
  <c r="AT202" i="4"/>
  <c r="AU202" i="4"/>
  <c r="AV202" i="4"/>
  <c r="AW202" i="4"/>
  <c r="AX202" i="4"/>
  <c r="AY202" i="4"/>
  <c r="AZ202" i="4"/>
  <c r="BA202" i="4"/>
  <c r="BB202" i="4"/>
  <c r="BC202" i="4"/>
  <c r="BD202" i="4"/>
  <c r="BE202" i="4"/>
  <c r="BF202" i="4"/>
  <c r="BG202" i="4"/>
  <c r="BH202" i="4"/>
  <c r="BI202" i="4"/>
  <c r="BJ202" i="4"/>
  <c r="AM203" i="4"/>
  <c r="AN203" i="4"/>
  <c r="AO203" i="4"/>
  <c r="AP203" i="4"/>
  <c r="AQ203" i="4"/>
  <c r="AR203" i="4"/>
  <c r="AS203" i="4"/>
  <c r="AT203" i="4"/>
  <c r="AU203" i="4"/>
  <c r="AV203" i="4"/>
  <c r="AW203" i="4"/>
  <c r="AX203" i="4"/>
  <c r="AY203" i="4"/>
  <c r="AZ203" i="4"/>
  <c r="BA203" i="4"/>
  <c r="BB203" i="4"/>
  <c r="BC203" i="4"/>
  <c r="BD203" i="4"/>
  <c r="BE203" i="4"/>
  <c r="BF203" i="4"/>
  <c r="BG203" i="4"/>
  <c r="BH203" i="4"/>
  <c r="BI203" i="4"/>
  <c r="BJ203" i="4"/>
  <c r="AM204" i="4"/>
  <c r="AN204" i="4"/>
  <c r="AO204" i="4"/>
  <c r="AP204" i="4"/>
  <c r="AQ204" i="4"/>
  <c r="AR204" i="4"/>
  <c r="AS204" i="4"/>
  <c r="AT204" i="4"/>
  <c r="AU204" i="4"/>
  <c r="AV204" i="4"/>
  <c r="AW204" i="4"/>
  <c r="AX204" i="4"/>
  <c r="AY204" i="4"/>
  <c r="AZ204" i="4"/>
  <c r="BA204" i="4"/>
  <c r="BB204" i="4"/>
  <c r="BC204" i="4"/>
  <c r="BD204" i="4"/>
  <c r="BE204" i="4"/>
  <c r="BF204" i="4"/>
  <c r="BG204" i="4"/>
  <c r="BH204" i="4"/>
  <c r="BI204" i="4"/>
  <c r="BJ204" i="4"/>
  <c r="AM205" i="4"/>
  <c r="AN205" i="4"/>
  <c r="AO205" i="4"/>
  <c r="AP205" i="4"/>
  <c r="AQ205" i="4"/>
  <c r="AR205" i="4"/>
  <c r="AS205" i="4"/>
  <c r="AT205" i="4"/>
  <c r="AU205" i="4"/>
  <c r="AV205" i="4"/>
  <c r="AW205" i="4"/>
  <c r="AX205" i="4"/>
  <c r="AY205" i="4"/>
  <c r="AZ205" i="4"/>
  <c r="BA205" i="4"/>
  <c r="BB205" i="4"/>
  <c r="BC205" i="4"/>
  <c r="BD205" i="4"/>
  <c r="BE205" i="4"/>
  <c r="BF205" i="4"/>
  <c r="BG205" i="4"/>
  <c r="BH205" i="4"/>
  <c r="BI205" i="4"/>
  <c r="BJ205" i="4"/>
  <c r="AM206" i="4"/>
  <c r="AN206" i="4"/>
  <c r="AO206" i="4"/>
  <c r="AP206" i="4"/>
  <c r="AQ206" i="4"/>
  <c r="AR206" i="4"/>
  <c r="AS206" i="4"/>
  <c r="AT206" i="4"/>
  <c r="AU206" i="4"/>
  <c r="AV206" i="4"/>
  <c r="AW206" i="4"/>
  <c r="AX206" i="4"/>
  <c r="AY206" i="4"/>
  <c r="AZ206" i="4"/>
  <c r="BA206" i="4"/>
  <c r="BB206" i="4"/>
  <c r="BC206" i="4"/>
  <c r="BD206" i="4"/>
  <c r="BE206" i="4"/>
  <c r="BF206" i="4"/>
  <c r="BG206" i="4"/>
  <c r="BH206" i="4"/>
  <c r="BI206" i="4"/>
  <c r="BJ206" i="4"/>
  <c r="AM214" i="4"/>
  <c r="AN214" i="4"/>
  <c r="AO214" i="4"/>
  <c r="AP214" i="4"/>
  <c r="AQ214" i="4"/>
  <c r="AR214" i="4"/>
  <c r="AS214" i="4"/>
  <c r="AT214" i="4"/>
  <c r="AU214" i="4"/>
  <c r="AV214" i="4"/>
  <c r="AW214" i="4"/>
  <c r="AX214" i="4"/>
  <c r="AY214" i="4"/>
  <c r="AZ214" i="4"/>
  <c r="BA214" i="4"/>
  <c r="BB214" i="4"/>
  <c r="BC214" i="4"/>
  <c r="BD214" i="4"/>
  <c r="BE214" i="4"/>
  <c r="BF214" i="4"/>
  <c r="BG214" i="4"/>
  <c r="BH214" i="4"/>
  <c r="BI214" i="4"/>
  <c r="BJ214" i="4"/>
  <c r="AM215" i="4"/>
  <c r="AN215" i="4"/>
  <c r="AO215" i="4"/>
  <c r="AP215" i="4"/>
  <c r="AQ215" i="4"/>
  <c r="AR215" i="4"/>
  <c r="AS215" i="4"/>
  <c r="AT215" i="4"/>
  <c r="AU215" i="4"/>
  <c r="AV215" i="4"/>
  <c r="AW215" i="4"/>
  <c r="AX215" i="4"/>
  <c r="AY215" i="4"/>
  <c r="AZ215" i="4"/>
  <c r="BA215" i="4"/>
  <c r="BB215" i="4"/>
  <c r="BC215" i="4"/>
  <c r="BD215" i="4"/>
  <c r="BE215" i="4"/>
  <c r="BF215" i="4"/>
  <c r="BG215" i="4"/>
  <c r="BH215" i="4"/>
  <c r="BI215" i="4"/>
  <c r="BJ215" i="4"/>
  <c r="AM216" i="4"/>
  <c r="AN216" i="4"/>
  <c r="AO216" i="4"/>
  <c r="AP216" i="4"/>
  <c r="AQ216" i="4"/>
  <c r="AR216" i="4"/>
  <c r="AS216" i="4"/>
  <c r="AT216" i="4"/>
  <c r="AU216" i="4"/>
  <c r="AV216" i="4"/>
  <c r="AW216" i="4"/>
  <c r="AX216" i="4"/>
  <c r="AY216" i="4"/>
  <c r="AZ216" i="4"/>
  <c r="BA216" i="4"/>
  <c r="BB216" i="4"/>
  <c r="BC216" i="4"/>
  <c r="BD216" i="4"/>
  <c r="BE216" i="4"/>
  <c r="BF216" i="4"/>
  <c r="BG216" i="4"/>
  <c r="BH216" i="4"/>
  <c r="BI216" i="4"/>
  <c r="BJ216" i="4"/>
  <c r="AM224" i="4"/>
  <c r="AN224" i="4"/>
  <c r="AO224" i="4"/>
  <c r="AP224" i="4"/>
  <c r="AQ224" i="4"/>
  <c r="AR224" i="4"/>
  <c r="AS224" i="4"/>
  <c r="AT224" i="4"/>
  <c r="AU224" i="4"/>
  <c r="AV224" i="4"/>
  <c r="AW224" i="4"/>
  <c r="AX224" i="4"/>
  <c r="AY224" i="4"/>
  <c r="AZ224" i="4"/>
  <c r="BA224" i="4"/>
  <c r="BB224" i="4"/>
  <c r="BC224" i="4"/>
  <c r="BD224" i="4"/>
  <c r="BE224" i="4"/>
  <c r="BF224" i="4"/>
  <c r="BG224" i="4"/>
  <c r="BH224" i="4"/>
  <c r="BI224" i="4"/>
  <c r="BJ224" i="4"/>
  <c r="AM225" i="4"/>
  <c r="AN225" i="4"/>
  <c r="AO225" i="4"/>
  <c r="AP225" i="4"/>
  <c r="AQ225" i="4"/>
  <c r="AR225" i="4"/>
  <c r="AS225" i="4"/>
  <c r="AT225" i="4"/>
  <c r="AU225" i="4"/>
  <c r="AV225" i="4"/>
  <c r="AW225" i="4"/>
  <c r="AX225" i="4"/>
  <c r="AY225" i="4"/>
  <c r="AZ225" i="4"/>
  <c r="BA225" i="4"/>
  <c r="BB225" i="4"/>
  <c r="BC225" i="4"/>
  <c r="BD225" i="4"/>
  <c r="BE225" i="4"/>
  <c r="BF225" i="4"/>
  <c r="BG225" i="4"/>
  <c r="BH225" i="4"/>
  <c r="BI225" i="4"/>
  <c r="BJ225" i="4"/>
  <c r="AM232" i="4"/>
  <c r="AN232" i="4"/>
  <c r="AO232" i="4"/>
  <c r="AP232" i="4"/>
  <c r="AQ232" i="4"/>
  <c r="AR232" i="4"/>
  <c r="AS232" i="4"/>
  <c r="AT232" i="4"/>
  <c r="AU232" i="4"/>
  <c r="AV232" i="4"/>
  <c r="AW232" i="4"/>
  <c r="AX232" i="4"/>
  <c r="AY232" i="4"/>
  <c r="AZ232" i="4"/>
  <c r="BA232" i="4"/>
  <c r="BB232" i="4"/>
  <c r="BC232" i="4"/>
  <c r="BD232" i="4"/>
  <c r="BE232" i="4"/>
  <c r="BF232" i="4"/>
  <c r="BG232" i="4"/>
  <c r="BH232" i="4"/>
  <c r="BI232" i="4"/>
  <c r="BJ232" i="4"/>
  <c r="AM233" i="4"/>
  <c r="AN233" i="4"/>
  <c r="AO233" i="4"/>
  <c r="AP233" i="4"/>
  <c r="AQ233" i="4"/>
  <c r="AR233" i="4"/>
  <c r="AS233" i="4"/>
  <c r="AT233" i="4"/>
  <c r="AU233" i="4"/>
  <c r="AV233" i="4"/>
  <c r="AW233" i="4"/>
  <c r="AX233" i="4"/>
  <c r="AY233" i="4"/>
  <c r="AZ233" i="4"/>
  <c r="BA233" i="4"/>
  <c r="BB233" i="4"/>
  <c r="BC233" i="4"/>
  <c r="BD233" i="4"/>
  <c r="BE233" i="4"/>
  <c r="BF233" i="4"/>
  <c r="BG233" i="4"/>
  <c r="BH233" i="4"/>
  <c r="BI233" i="4"/>
  <c r="BJ233" i="4"/>
  <c r="AM234" i="4"/>
  <c r="AN234" i="4"/>
  <c r="AO234" i="4"/>
  <c r="AP234" i="4"/>
  <c r="AQ234" i="4"/>
  <c r="AR234" i="4"/>
  <c r="AS234" i="4"/>
  <c r="AT234" i="4"/>
  <c r="AU234" i="4"/>
  <c r="AV234" i="4"/>
  <c r="AW234" i="4"/>
  <c r="AX234" i="4"/>
  <c r="AY234" i="4"/>
  <c r="AZ234" i="4"/>
  <c r="BA234" i="4"/>
  <c r="BB234" i="4"/>
  <c r="BC234" i="4"/>
  <c r="BD234" i="4"/>
  <c r="BE234" i="4"/>
  <c r="BF234" i="4"/>
  <c r="BG234" i="4"/>
  <c r="BH234" i="4"/>
  <c r="BI234" i="4"/>
  <c r="BJ234" i="4"/>
  <c r="AM235" i="4"/>
  <c r="AN235" i="4"/>
  <c r="AO235" i="4"/>
  <c r="AP235" i="4"/>
  <c r="AQ235" i="4"/>
  <c r="AR235" i="4"/>
  <c r="AS235" i="4"/>
  <c r="AT235" i="4"/>
  <c r="AU235" i="4"/>
  <c r="AV235" i="4"/>
  <c r="AW235" i="4"/>
  <c r="AX235" i="4"/>
  <c r="AY235" i="4"/>
  <c r="AZ235" i="4"/>
  <c r="BA235" i="4"/>
  <c r="BB235" i="4"/>
  <c r="BC235" i="4"/>
  <c r="BD235" i="4"/>
  <c r="BE235" i="4"/>
  <c r="BF235" i="4"/>
  <c r="BG235" i="4"/>
  <c r="BH235" i="4"/>
  <c r="BI235" i="4"/>
  <c r="BJ235" i="4"/>
  <c r="AM236" i="4"/>
  <c r="AN236" i="4"/>
  <c r="AO236" i="4"/>
  <c r="AP236" i="4"/>
  <c r="AQ236" i="4"/>
  <c r="AR236" i="4"/>
  <c r="AS236" i="4"/>
  <c r="AT236" i="4"/>
  <c r="AU236" i="4"/>
  <c r="AV236" i="4"/>
  <c r="AW236" i="4"/>
  <c r="AX236" i="4"/>
  <c r="AY236" i="4"/>
  <c r="AZ236" i="4"/>
  <c r="BA236" i="4"/>
  <c r="BB236" i="4"/>
  <c r="BC236" i="4"/>
  <c r="BD236" i="4"/>
  <c r="BE236" i="4"/>
  <c r="BF236" i="4"/>
  <c r="BG236" i="4"/>
  <c r="BH236" i="4"/>
  <c r="BI236" i="4"/>
  <c r="BJ236" i="4"/>
  <c r="AM237" i="4"/>
  <c r="AN237" i="4"/>
  <c r="AO237" i="4"/>
  <c r="AP237" i="4"/>
  <c r="AQ237" i="4"/>
  <c r="AR237" i="4"/>
  <c r="AS237" i="4"/>
  <c r="AT237" i="4"/>
  <c r="AU237" i="4"/>
  <c r="AV237" i="4"/>
  <c r="AW237" i="4"/>
  <c r="AX237" i="4"/>
  <c r="AY237" i="4"/>
  <c r="AZ237" i="4"/>
  <c r="BA237" i="4"/>
  <c r="BB237" i="4"/>
  <c r="BC237" i="4"/>
  <c r="BD237" i="4"/>
  <c r="BE237" i="4"/>
  <c r="BF237" i="4"/>
  <c r="BG237" i="4"/>
  <c r="BH237" i="4"/>
  <c r="BI237" i="4"/>
  <c r="BJ237" i="4"/>
  <c r="AM238" i="4"/>
  <c r="AN238" i="4"/>
  <c r="AO238" i="4"/>
  <c r="AP238" i="4"/>
  <c r="AQ238" i="4"/>
  <c r="AR238" i="4"/>
  <c r="AS238" i="4"/>
  <c r="AT238" i="4"/>
  <c r="AU238" i="4"/>
  <c r="AV238" i="4"/>
  <c r="AW238" i="4"/>
  <c r="AX238" i="4"/>
  <c r="AY238" i="4"/>
  <c r="AZ238" i="4"/>
  <c r="BA238" i="4"/>
  <c r="BB238" i="4"/>
  <c r="BC238" i="4"/>
  <c r="BD238" i="4"/>
  <c r="BE238" i="4"/>
  <c r="BF238" i="4"/>
  <c r="BG238" i="4"/>
  <c r="BH238" i="4"/>
  <c r="BI238" i="4"/>
  <c r="BJ238" i="4"/>
  <c r="AM239" i="4"/>
  <c r="AN239" i="4"/>
  <c r="AO239" i="4"/>
  <c r="AP239" i="4"/>
  <c r="AQ239" i="4"/>
  <c r="AR239" i="4"/>
  <c r="AS239" i="4"/>
  <c r="AT239" i="4"/>
  <c r="AU239" i="4"/>
  <c r="AV239" i="4"/>
  <c r="AW239" i="4"/>
  <c r="AX239" i="4"/>
  <c r="AY239" i="4"/>
  <c r="AZ239" i="4"/>
  <c r="BA239" i="4"/>
  <c r="BB239" i="4"/>
  <c r="BC239" i="4"/>
  <c r="BD239" i="4"/>
  <c r="BE239" i="4"/>
  <c r="BF239" i="4"/>
  <c r="BG239" i="4"/>
  <c r="BH239" i="4"/>
  <c r="BI239" i="4"/>
  <c r="BJ239" i="4"/>
  <c r="AM240" i="4"/>
  <c r="AN240" i="4"/>
  <c r="AO240" i="4"/>
  <c r="AP240" i="4"/>
  <c r="AQ240" i="4"/>
  <c r="AR240" i="4"/>
  <c r="AS240" i="4"/>
  <c r="AT240" i="4"/>
  <c r="AU240" i="4"/>
  <c r="AV240" i="4"/>
  <c r="AW240" i="4"/>
  <c r="AX240" i="4"/>
  <c r="AY240" i="4"/>
  <c r="AZ240" i="4"/>
  <c r="BA240" i="4"/>
  <c r="BB240" i="4"/>
  <c r="BC240" i="4"/>
  <c r="BD240" i="4"/>
  <c r="BE240" i="4"/>
  <c r="BF240" i="4"/>
  <c r="BG240" i="4"/>
  <c r="BH240" i="4"/>
  <c r="BI240" i="4"/>
  <c r="BJ240" i="4"/>
  <c r="AM241" i="4"/>
  <c r="AN241" i="4"/>
  <c r="AO241" i="4"/>
  <c r="AP241" i="4"/>
  <c r="AQ241" i="4"/>
  <c r="AR241" i="4"/>
  <c r="AS241" i="4"/>
  <c r="AT241" i="4"/>
  <c r="AU241" i="4"/>
  <c r="AV241" i="4"/>
  <c r="AW241" i="4"/>
  <c r="AX241" i="4"/>
  <c r="AY241" i="4"/>
  <c r="AZ241" i="4"/>
  <c r="BA241" i="4"/>
  <c r="BB241" i="4"/>
  <c r="BC241" i="4"/>
  <c r="BD241" i="4"/>
  <c r="BE241" i="4"/>
  <c r="BF241" i="4"/>
  <c r="BG241" i="4"/>
  <c r="BH241" i="4"/>
  <c r="BI241" i="4"/>
  <c r="BJ241" i="4"/>
  <c r="AM242" i="4"/>
  <c r="AN242" i="4"/>
  <c r="AO242" i="4"/>
  <c r="AP242" i="4"/>
  <c r="AQ242" i="4"/>
  <c r="AR242" i="4"/>
  <c r="AS242" i="4"/>
  <c r="AT242" i="4"/>
  <c r="AU242" i="4"/>
  <c r="AV242" i="4"/>
  <c r="AW242" i="4"/>
  <c r="AX242" i="4"/>
  <c r="AY242" i="4"/>
  <c r="AZ242" i="4"/>
  <c r="BA242" i="4"/>
  <c r="BB242" i="4"/>
  <c r="BC242" i="4"/>
  <c r="BD242" i="4"/>
  <c r="BE242" i="4"/>
  <c r="BF242" i="4"/>
  <c r="BG242" i="4"/>
  <c r="BH242" i="4"/>
  <c r="BI242" i="4"/>
  <c r="BJ242" i="4"/>
  <c r="AM243" i="4"/>
  <c r="AN243" i="4"/>
  <c r="AO243" i="4"/>
  <c r="AP243" i="4"/>
  <c r="AQ243" i="4"/>
  <c r="AR243" i="4"/>
  <c r="AS243" i="4"/>
  <c r="AT243" i="4"/>
  <c r="AU243" i="4"/>
  <c r="AV243" i="4"/>
  <c r="AW243" i="4"/>
  <c r="AX243" i="4"/>
  <c r="AY243" i="4"/>
  <c r="AZ243" i="4"/>
  <c r="BA243" i="4"/>
  <c r="BB243" i="4"/>
  <c r="BC243" i="4"/>
  <c r="BD243" i="4"/>
  <c r="BE243" i="4"/>
  <c r="BF243" i="4"/>
  <c r="BG243" i="4"/>
  <c r="BH243" i="4"/>
  <c r="BI243" i="4"/>
  <c r="BJ243" i="4"/>
  <c r="AM244" i="4"/>
  <c r="AN244" i="4"/>
  <c r="AO244" i="4"/>
  <c r="AP244" i="4"/>
  <c r="AQ244" i="4"/>
  <c r="AR244" i="4"/>
  <c r="AS244" i="4"/>
  <c r="AT244" i="4"/>
  <c r="AU244" i="4"/>
  <c r="AV244" i="4"/>
  <c r="AW244" i="4"/>
  <c r="AX244" i="4"/>
  <c r="AY244" i="4"/>
  <c r="AZ244" i="4"/>
  <c r="BA244" i="4"/>
  <c r="BB244" i="4"/>
  <c r="BC244" i="4"/>
  <c r="BD244" i="4"/>
  <c r="BE244" i="4"/>
  <c r="BF244" i="4"/>
  <c r="BG244" i="4"/>
  <c r="BH244" i="4"/>
  <c r="BI244" i="4"/>
  <c r="BJ244" i="4"/>
  <c r="AM245" i="4"/>
  <c r="AN245" i="4"/>
  <c r="AO245" i="4"/>
  <c r="AP245" i="4"/>
  <c r="AQ245" i="4"/>
  <c r="AR245" i="4"/>
  <c r="AS245" i="4"/>
  <c r="AT245" i="4"/>
  <c r="AU245" i="4"/>
  <c r="AV245" i="4"/>
  <c r="AW245" i="4"/>
  <c r="AX245" i="4"/>
  <c r="AY245" i="4"/>
  <c r="AZ245" i="4"/>
  <c r="BA245" i="4"/>
  <c r="BB245" i="4"/>
  <c r="BC245" i="4"/>
  <c r="BD245" i="4"/>
  <c r="BE245" i="4"/>
  <c r="BF245" i="4"/>
  <c r="BG245" i="4"/>
  <c r="BH245" i="4"/>
  <c r="BI245" i="4"/>
  <c r="BJ245" i="4"/>
  <c r="AM246" i="4"/>
  <c r="AN246" i="4"/>
  <c r="AO246" i="4"/>
  <c r="AP246" i="4"/>
  <c r="AQ246" i="4"/>
  <c r="AR246" i="4"/>
  <c r="AS246" i="4"/>
  <c r="AT246" i="4"/>
  <c r="AU246" i="4"/>
  <c r="AV246" i="4"/>
  <c r="AW246" i="4"/>
  <c r="AX246" i="4"/>
  <c r="AY246" i="4"/>
  <c r="AZ246" i="4"/>
  <c r="BA246" i="4"/>
  <c r="BB246" i="4"/>
  <c r="BC246" i="4"/>
  <c r="BD246" i="4"/>
  <c r="BE246" i="4"/>
  <c r="BF246" i="4"/>
  <c r="BG246" i="4"/>
  <c r="BH246" i="4"/>
  <c r="BI246" i="4"/>
  <c r="BJ246" i="4"/>
  <c r="AM247" i="4"/>
  <c r="AN247" i="4"/>
  <c r="AO247" i="4"/>
  <c r="AP247" i="4"/>
  <c r="AQ247" i="4"/>
  <c r="AR247" i="4"/>
  <c r="AS247" i="4"/>
  <c r="AT247" i="4"/>
  <c r="AU247" i="4"/>
  <c r="AV247" i="4"/>
  <c r="AW247" i="4"/>
  <c r="AX247" i="4"/>
  <c r="AY247" i="4"/>
  <c r="AZ247" i="4"/>
  <c r="BA247" i="4"/>
  <c r="BB247" i="4"/>
  <c r="BC247" i="4"/>
  <c r="BD247" i="4"/>
  <c r="BE247" i="4"/>
  <c r="BF247" i="4"/>
  <c r="BG247" i="4"/>
  <c r="BH247" i="4"/>
  <c r="BI247" i="4"/>
  <c r="BJ247" i="4"/>
  <c r="AM248" i="4"/>
  <c r="AN248" i="4"/>
  <c r="AO248" i="4"/>
  <c r="AP248" i="4"/>
  <c r="AQ248" i="4"/>
  <c r="AR248" i="4"/>
  <c r="AS248" i="4"/>
  <c r="AT248" i="4"/>
  <c r="AU248" i="4"/>
  <c r="AV248" i="4"/>
  <c r="AW248" i="4"/>
  <c r="AX248" i="4"/>
  <c r="AY248" i="4"/>
  <c r="AZ248" i="4"/>
  <c r="BA248" i="4"/>
  <c r="BB248" i="4"/>
  <c r="BC248" i="4"/>
  <c r="BD248" i="4"/>
  <c r="BE248" i="4"/>
  <c r="BF248" i="4"/>
  <c r="BG248" i="4"/>
  <c r="BH248" i="4"/>
  <c r="BI248" i="4"/>
  <c r="BJ248" i="4"/>
  <c r="AM249" i="4"/>
  <c r="AN249" i="4"/>
  <c r="AO249" i="4"/>
  <c r="AP249" i="4"/>
  <c r="AQ249" i="4"/>
  <c r="AR249" i="4"/>
  <c r="AS249" i="4"/>
  <c r="AT249" i="4"/>
  <c r="AU249" i="4"/>
  <c r="AV249" i="4"/>
  <c r="AW249" i="4"/>
  <c r="AX249" i="4"/>
  <c r="AY249" i="4"/>
  <c r="AZ249" i="4"/>
  <c r="BA249" i="4"/>
  <c r="BB249" i="4"/>
  <c r="BC249" i="4"/>
  <c r="BD249" i="4"/>
  <c r="BE249" i="4"/>
  <c r="BF249" i="4"/>
  <c r="BG249" i="4"/>
  <c r="BH249" i="4"/>
  <c r="BI249" i="4"/>
  <c r="BJ249" i="4"/>
  <c r="AM250" i="4"/>
  <c r="AN250" i="4"/>
  <c r="AO250" i="4"/>
  <c r="AP250" i="4"/>
  <c r="AQ250" i="4"/>
  <c r="AR250" i="4"/>
  <c r="AS250" i="4"/>
  <c r="AT250" i="4"/>
  <c r="AU250" i="4"/>
  <c r="AV250" i="4"/>
  <c r="AW250" i="4"/>
  <c r="AX250" i="4"/>
  <c r="AY250" i="4"/>
  <c r="AZ250" i="4"/>
  <c r="BA250" i="4"/>
  <c r="BB250" i="4"/>
  <c r="BC250" i="4"/>
  <c r="BD250" i="4"/>
  <c r="BE250" i="4"/>
  <c r="BF250" i="4"/>
  <c r="BG250" i="4"/>
  <c r="BH250" i="4"/>
  <c r="BI250" i="4"/>
  <c r="BJ250" i="4"/>
  <c r="AM251" i="4"/>
  <c r="AN251" i="4"/>
  <c r="AO251" i="4"/>
  <c r="AP251" i="4"/>
  <c r="AQ251" i="4"/>
  <c r="AR251" i="4"/>
  <c r="AS251" i="4"/>
  <c r="AT251" i="4"/>
  <c r="AU251" i="4"/>
  <c r="AV251" i="4"/>
  <c r="AW251" i="4"/>
  <c r="AX251" i="4"/>
  <c r="AY251" i="4"/>
  <c r="AZ251" i="4"/>
  <c r="BA251" i="4"/>
  <c r="BB251" i="4"/>
  <c r="BC251" i="4"/>
  <c r="BD251" i="4"/>
  <c r="BE251" i="4"/>
  <c r="BF251" i="4"/>
  <c r="BG251" i="4"/>
  <c r="BH251" i="4"/>
  <c r="BI251" i="4"/>
  <c r="BJ251" i="4"/>
  <c r="AM252" i="4"/>
  <c r="AN252" i="4"/>
  <c r="AO252" i="4"/>
  <c r="AP252" i="4"/>
  <c r="AQ252" i="4"/>
  <c r="AR252" i="4"/>
  <c r="AS252" i="4"/>
  <c r="AT252" i="4"/>
  <c r="AU252" i="4"/>
  <c r="AV252" i="4"/>
  <c r="AW252" i="4"/>
  <c r="AX252" i="4"/>
  <c r="AY252" i="4"/>
  <c r="AZ252" i="4"/>
  <c r="BA252" i="4"/>
  <c r="BB252" i="4"/>
  <c r="BC252" i="4"/>
  <c r="BD252" i="4"/>
  <c r="BE252" i="4"/>
  <c r="BF252" i="4"/>
  <c r="BG252" i="4"/>
  <c r="BH252" i="4"/>
  <c r="BI252" i="4"/>
  <c r="BJ252" i="4"/>
  <c r="AM253" i="4"/>
  <c r="AN253" i="4"/>
  <c r="AO253" i="4"/>
  <c r="AP253" i="4"/>
  <c r="AQ253" i="4"/>
  <c r="AR253" i="4"/>
  <c r="AS253" i="4"/>
  <c r="AT253" i="4"/>
  <c r="AU253" i="4"/>
  <c r="AV253" i="4"/>
  <c r="AW253" i="4"/>
  <c r="AX253" i="4"/>
  <c r="AY253" i="4"/>
  <c r="AZ253" i="4"/>
  <c r="BA253" i="4"/>
  <c r="BB253" i="4"/>
  <c r="BC253" i="4"/>
  <c r="BD253" i="4"/>
  <c r="BE253" i="4"/>
  <c r="BF253" i="4"/>
  <c r="BG253" i="4"/>
  <c r="BH253" i="4"/>
  <c r="BI253" i="4"/>
  <c r="BJ253" i="4"/>
  <c r="AM254" i="4"/>
  <c r="AN254" i="4"/>
  <c r="AO254" i="4"/>
  <c r="AP254" i="4"/>
  <c r="AQ254" i="4"/>
  <c r="AR254" i="4"/>
  <c r="AS254" i="4"/>
  <c r="AT254" i="4"/>
  <c r="AU254" i="4"/>
  <c r="AV254" i="4"/>
  <c r="AW254" i="4"/>
  <c r="AX254" i="4"/>
  <c r="AY254" i="4"/>
  <c r="AZ254" i="4"/>
  <c r="BA254" i="4"/>
  <c r="BB254" i="4"/>
  <c r="BC254" i="4"/>
  <c r="BD254" i="4"/>
  <c r="BE254" i="4"/>
  <c r="BF254" i="4"/>
  <c r="BG254" i="4"/>
  <c r="BH254" i="4"/>
  <c r="BI254" i="4"/>
  <c r="BJ254" i="4"/>
  <c r="AM255" i="4"/>
  <c r="AN255" i="4"/>
  <c r="AO255" i="4"/>
  <c r="AP255" i="4"/>
  <c r="AQ255" i="4"/>
  <c r="AR255" i="4"/>
  <c r="AS255" i="4"/>
  <c r="AT255" i="4"/>
  <c r="AU255" i="4"/>
  <c r="AV255" i="4"/>
  <c r="AW255" i="4"/>
  <c r="AX255" i="4"/>
  <c r="AY255" i="4"/>
  <c r="AZ255" i="4"/>
  <c r="BA255" i="4"/>
  <c r="BB255" i="4"/>
  <c r="BC255" i="4"/>
  <c r="BD255" i="4"/>
  <c r="BE255" i="4"/>
  <c r="BF255" i="4"/>
  <c r="BG255" i="4"/>
  <c r="BH255" i="4"/>
  <c r="BI255" i="4"/>
  <c r="BJ255" i="4"/>
  <c r="AM256" i="4"/>
  <c r="AN256" i="4"/>
  <c r="AO256" i="4"/>
  <c r="AP256" i="4"/>
  <c r="AQ256" i="4"/>
  <c r="AR256" i="4"/>
  <c r="AS256" i="4"/>
  <c r="AT256" i="4"/>
  <c r="AU256" i="4"/>
  <c r="AV256" i="4"/>
  <c r="AW256" i="4"/>
  <c r="AX256" i="4"/>
  <c r="AY256" i="4"/>
  <c r="AZ256" i="4"/>
  <c r="BA256" i="4"/>
  <c r="BB256" i="4"/>
  <c r="BC256" i="4"/>
  <c r="BD256" i="4"/>
  <c r="BE256" i="4"/>
  <c r="BF256" i="4"/>
  <c r="BG256" i="4"/>
  <c r="BH256" i="4"/>
  <c r="BI256" i="4"/>
  <c r="BJ256" i="4"/>
  <c r="AM257" i="4"/>
  <c r="AN257" i="4"/>
  <c r="AO257" i="4"/>
  <c r="AP257" i="4"/>
  <c r="AQ257" i="4"/>
  <c r="AR257" i="4"/>
  <c r="AS257" i="4"/>
  <c r="AT257" i="4"/>
  <c r="AU257" i="4"/>
  <c r="AV257" i="4"/>
  <c r="AW257" i="4"/>
  <c r="AX257" i="4"/>
  <c r="AY257" i="4"/>
  <c r="AZ257" i="4"/>
  <c r="BA257" i="4"/>
  <c r="BB257" i="4"/>
  <c r="BC257" i="4"/>
  <c r="BD257" i="4"/>
  <c r="BE257" i="4"/>
  <c r="BF257" i="4"/>
  <c r="BG257" i="4"/>
  <c r="BH257" i="4"/>
  <c r="BI257" i="4"/>
  <c r="BJ257" i="4"/>
  <c r="AM258" i="4"/>
  <c r="AN258" i="4"/>
  <c r="AO258" i="4"/>
  <c r="AP258" i="4"/>
  <c r="AQ258" i="4"/>
  <c r="AR258" i="4"/>
  <c r="AS258" i="4"/>
  <c r="AT258" i="4"/>
  <c r="AU258" i="4"/>
  <c r="AV258" i="4"/>
  <c r="AW258" i="4"/>
  <c r="AX258" i="4"/>
  <c r="AY258" i="4"/>
  <c r="AZ258" i="4"/>
  <c r="BA258" i="4"/>
  <c r="BB258" i="4"/>
  <c r="BC258" i="4"/>
  <c r="BD258" i="4"/>
  <c r="BE258" i="4"/>
  <c r="BF258" i="4"/>
  <c r="BG258" i="4"/>
  <c r="BH258" i="4"/>
  <c r="BI258" i="4"/>
  <c r="BJ258" i="4"/>
  <c r="AM259" i="4"/>
  <c r="AN259" i="4"/>
  <c r="AO259" i="4"/>
  <c r="AP259" i="4"/>
  <c r="AQ259" i="4"/>
  <c r="AR259" i="4"/>
  <c r="AS259" i="4"/>
  <c r="AT259" i="4"/>
  <c r="AU259" i="4"/>
  <c r="AV259" i="4"/>
  <c r="AW259" i="4"/>
  <c r="AX259" i="4"/>
  <c r="AY259" i="4"/>
  <c r="AZ259" i="4"/>
  <c r="BA259" i="4"/>
  <c r="BB259" i="4"/>
  <c r="BC259" i="4"/>
  <c r="BD259" i="4"/>
  <c r="BE259" i="4"/>
  <c r="BF259" i="4"/>
  <c r="BG259" i="4"/>
  <c r="BH259" i="4"/>
  <c r="BI259" i="4"/>
  <c r="BJ259" i="4"/>
  <c r="AM260" i="4"/>
  <c r="AN260" i="4"/>
  <c r="AO260" i="4"/>
  <c r="AP260" i="4"/>
  <c r="AQ260" i="4"/>
  <c r="AR260" i="4"/>
  <c r="AS260" i="4"/>
  <c r="AT260" i="4"/>
  <c r="AU260" i="4"/>
  <c r="AV260" i="4"/>
  <c r="AW260" i="4"/>
  <c r="AX260" i="4"/>
  <c r="AY260" i="4"/>
  <c r="AZ260" i="4"/>
  <c r="BA260" i="4"/>
  <c r="BB260" i="4"/>
  <c r="BC260" i="4"/>
  <c r="BD260" i="4"/>
  <c r="BE260" i="4"/>
  <c r="BF260" i="4"/>
  <c r="BG260" i="4"/>
  <c r="BH260" i="4"/>
  <c r="BI260" i="4"/>
  <c r="BJ260" i="4"/>
  <c r="AM261" i="4"/>
  <c r="AN261" i="4"/>
  <c r="AO261" i="4"/>
  <c r="AP261" i="4"/>
  <c r="AQ261" i="4"/>
  <c r="AR261" i="4"/>
  <c r="AS261" i="4"/>
  <c r="AT261" i="4"/>
  <c r="AU261" i="4"/>
  <c r="AV261" i="4"/>
  <c r="AW261" i="4"/>
  <c r="AX261" i="4"/>
  <c r="AY261" i="4"/>
  <c r="AZ261" i="4"/>
  <c r="BA261" i="4"/>
  <c r="BB261" i="4"/>
  <c r="BC261" i="4"/>
  <c r="BD261" i="4"/>
  <c r="BE261" i="4"/>
  <c r="BF261" i="4"/>
  <c r="BG261" i="4"/>
  <c r="BH261" i="4"/>
  <c r="BI261" i="4"/>
  <c r="BJ261" i="4"/>
  <c r="AM262" i="4"/>
  <c r="AN262" i="4"/>
  <c r="AO262" i="4"/>
  <c r="AP262" i="4"/>
  <c r="AQ262" i="4"/>
  <c r="AR262" i="4"/>
  <c r="AS262" i="4"/>
  <c r="AT262" i="4"/>
  <c r="AU262" i="4"/>
  <c r="AV262" i="4"/>
  <c r="AW262" i="4"/>
  <c r="AX262" i="4"/>
  <c r="AY262" i="4"/>
  <c r="AZ262" i="4"/>
  <c r="BA262" i="4"/>
  <c r="BB262" i="4"/>
  <c r="BC262" i="4"/>
  <c r="BD262" i="4"/>
  <c r="BE262" i="4"/>
  <c r="BF262" i="4"/>
  <c r="BG262" i="4"/>
  <c r="BH262" i="4"/>
  <c r="BI262" i="4"/>
  <c r="BJ262" i="4"/>
  <c r="AM263" i="4"/>
  <c r="AN263" i="4"/>
  <c r="AO263" i="4"/>
  <c r="AP263" i="4"/>
  <c r="AQ263" i="4"/>
  <c r="AR263" i="4"/>
  <c r="AS263" i="4"/>
  <c r="AT263" i="4"/>
  <c r="AU263" i="4"/>
  <c r="AV263" i="4"/>
  <c r="AW263" i="4"/>
  <c r="AX263" i="4"/>
  <c r="AY263" i="4"/>
  <c r="AZ263" i="4"/>
  <c r="BA263" i="4"/>
  <c r="BB263" i="4"/>
  <c r="BC263" i="4"/>
  <c r="BD263" i="4"/>
  <c r="BE263" i="4"/>
  <c r="BF263" i="4"/>
  <c r="BG263" i="4"/>
  <c r="BH263" i="4"/>
  <c r="BI263" i="4"/>
  <c r="BJ263" i="4"/>
  <c r="AM264" i="4"/>
  <c r="AN264" i="4"/>
  <c r="AO264" i="4"/>
  <c r="AP264" i="4"/>
  <c r="AQ264" i="4"/>
  <c r="AR264" i="4"/>
  <c r="AS264" i="4"/>
  <c r="AT264" i="4"/>
  <c r="AU264" i="4"/>
  <c r="AV264" i="4"/>
  <c r="AW264" i="4"/>
  <c r="AX264" i="4"/>
  <c r="AY264" i="4"/>
  <c r="AZ264" i="4"/>
  <c r="BA264" i="4"/>
  <c r="BB264" i="4"/>
  <c r="BC264" i="4"/>
  <c r="BD264" i="4"/>
  <c r="BE264" i="4"/>
  <c r="BF264" i="4"/>
  <c r="BG264" i="4"/>
  <c r="BH264" i="4"/>
  <c r="BI264" i="4"/>
  <c r="BJ264" i="4"/>
  <c r="AM266" i="4"/>
  <c r="AN266" i="4"/>
  <c r="AO266" i="4"/>
  <c r="AP266" i="4"/>
  <c r="AQ266" i="4"/>
  <c r="AR266" i="4"/>
  <c r="AS266" i="4"/>
  <c r="AT266" i="4"/>
  <c r="AU266" i="4"/>
  <c r="AV266" i="4"/>
  <c r="AW266" i="4"/>
  <c r="AX266" i="4"/>
  <c r="AY266" i="4"/>
  <c r="AZ266" i="4"/>
  <c r="BA266" i="4"/>
  <c r="BB266" i="4"/>
  <c r="BC266" i="4"/>
  <c r="BD266" i="4"/>
  <c r="BE266" i="4"/>
  <c r="BF266" i="4"/>
  <c r="BG266" i="4"/>
  <c r="BH266" i="4"/>
  <c r="BI266" i="4"/>
  <c r="BJ266" i="4"/>
  <c r="AM267" i="4"/>
  <c r="AN267" i="4"/>
  <c r="AO267" i="4"/>
  <c r="AP267" i="4"/>
  <c r="AQ267" i="4"/>
  <c r="AR267" i="4"/>
  <c r="AS267" i="4"/>
  <c r="AT267" i="4"/>
  <c r="AU267" i="4"/>
  <c r="AV267" i="4"/>
  <c r="AW267" i="4"/>
  <c r="AX267" i="4"/>
  <c r="AY267" i="4"/>
  <c r="AZ267" i="4"/>
  <c r="BA267" i="4"/>
  <c r="BB267" i="4"/>
  <c r="BC267" i="4"/>
  <c r="BD267" i="4"/>
  <c r="BE267" i="4"/>
  <c r="BF267" i="4"/>
  <c r="BG267" i="4"/>
  <c r="BH267" i="4"/>
  <c r="BI267" i="4"/>
  <c r="BJ267" i="4"/>
  <c r="AM268" i="4"/>
  <c r="AN268" i="4"/>
  <c r="AO268" i="4"/>
  <c r="AP268" i="4"/>
  <c r="AQ268" i="4"/>
  <c r="AR268" i="4"/>
  <c r="AS268" i="4"/>
  <c r="AT268" i="4"/>
  <c r="AU268" i="4"/>
  <c r="AV268" i="4"/>
  <c r="AW268" i="4"/>
  <c r="AX268" i="4"/>
  <c r="AY268" i="4"/>
  <c r="AZ268" i="4"/>
  <c r="BA268" i="4"/>
  <c r="BB268" i="4"/>
  <c r="BC268" i="4"/>
  <c r="BD268" i="4"/>
  <c r="BE268" i="4"/>
  <c r="BF268" i="4"/>
  <c r="BG268" i="4"/>
  <c r="BH268" i="4"/>
  <c r="BI268" i="4"/>
  <c r="BJ268" i="4"/>
  <c r="AM269" i="4"/>
  <c r="AN269" i="4"/>
  <c r="AO269" i="4"/>
  <c r="AP269" i="4"/>
  <c r="AQ269" i="4"/>
  <c r="AR269" i="4"/>
  <c r="AS269" i="4"/>
  <c r="AT269" i="4"/>
  <c r="AU269" i="4"/>
  <c r="AV269" i="4"/>
  <c r="AW269" i="4"/>
  <c r="AX269" i="4"/>
  <c r="AY269" i="4"/>
  <c r="AZ269" i="4"/>
  <c r="BA269" i="4"/>
  <c r="BB269" i="4"/>
  <c r="BC269" i="4"/>
  <c r="BD269" i="4"/>
  <c r="BE269" i="4"/>
  <c r="BF269" i="4"/>
  <c r="BG269" i="4"/>
  <c r="BH269" i="4"/>
  <c r="BI269" i="4"/>
  <c r="BJ269" i="4"/>
  <c r="AM270" i="4"/>
  <c r="AN270" i="4"/>
  <c r="AO270" i="4"/>
  <c r="AP270" i="4"/>
  <c r="AQ270" i="4"/>
  <c r="AR270" i="4"/>
  <c r="AS270" i="4"/>
  <c r="AT270" i="4"/>
  <c r="AU270" i="4"/>
  <c r="AV270" i="4"/>
  <c r="AW270" i="4"/>
  <c r="AX270" i="4"/>
  <c r="AY270" i="4"/>
  <c r="AZ270" i="4"/>
  <c r="BA270" i="4"/>
  <c r="BB270" i="4"/>
  <c r="BC270" i="4"/>
  <c r="BD270" i="4"/>
  <c r="BE270" i="4"/>
  <c r="BF270" i="4"/>
  <c r="BG270" i="4"/>
  <c r="BH270" i="4"/>
  <c r="BI270" i="4"/>
  <c r="BJ270" i="4"/>
  <c r="AM271" i="4"/>
  <c r="AN271" i="4"/>
  <c r="AO271" i="4"/>
  <c r="AP271" i="4"/>
  <c r="AQ271" i="4"/>
  <c r="AR271" i="4"/>
  <c r="AS271" i="4"/>
  <c r="AT271" i="4"/>
  <c r="AU271" i="4"/>
  <c r="AV271" i="4"/>
  <c r="AW271" i="4"/>
  <c r="AX271" i="4"/>
  <c r="AY271" i="4"/>
  <c r="AZ271" i="4"/>
  <c r="BA271" i="4"/>
  <c r="BB271" i="4"/>
  <c r="BC271" i="4"/>
  <c r="BD271" i="4"/>
  <c r="BE271" i="4"/>
  <c r="BF271" i="4"/>
  <c r="BG271" i="4"/>
  <c r="BH271" i="4"/>
  <c r="BI271" i="4"/>
  <c r="BJ271" i="4"/>
  <c r="AM274" i="4"/>
  <c r="AN274" i="4"/>
  <c r="AO274" i="4"/>
  <c r="AP274" i="4"/>
  <c r="AQ274" i="4"/>
  <c r="AR274" i="4"/>
  <c r="AS274" i="4"/>
  <c r="AT274" i="4"/>
  <c r="AU274" i="4"/>
  <c r="AV274" i="4"/>
  <c r="AW274" i="4"/>
  <c r="AX274" i="4"/>
  <c r="AY274" i="4"/>
  <c r="AZ274" i="4"/>
  <c r="BA274" i="4"/>
  <c r="BB274" i="4"/>
  <c r="BC274" i="4"/>
  <c r="BD274" i="4"/>
  <c r="BE274" i="4"/>
  <c r="BF274" i="4"/>
  <c r="BG274" i="4"/>
  <c r="BH274" i="4"/>
  <c r="BI274" i="4"/>
  <c r="BJ274" i="4"/>
  <c r="AM275" i="4"/>
  <c r="AN275" i="4"/>
  <c r="AO275" i="4"/>
  <c r="AP275" i="4"/>
  <c r="AQ275" i="4"/>
  <c r="AR275" i="4"/>
  <c r="AS275" i="4"/>
  <c r="AT275" i="4"/>
  <c r="AU275" i="4"/>
  <c r="AV275" i="4"/>
  <c r="AW275" i="4"/>
  <c r="AX275" i="4"/>
  <c r="AY275" i="4"/>
  <c r="AZ275" i="4"/>
  <c r="BA275" i="4"/>
  <c r="BB275" i="4"/>
  <c r="BC275" i="4"/>
  <c r="BD275" i="4"/>
  <c r="BE275" i="4"/>
  <c r="BF275" i="4"/>
  <c r="BG275" i="4"/>
  <c r="BH275" i="4"/>
  <c r="BI275" i="4"/>
  <c r="BJ275" i="4"/>
  <c r="AM276" i="4"/>
  <c r="AN276" i="4"/>
  <c r="AO276" i="4"/>
  <c r="AP276" i="4"/>
  <c r="AQ276" i="4"/>
  <c r="AR276" i="4"/>
  <c r="AS276" i="4"/>
  <c r="AT276" i="4"/>
  <c r="AU276" i="4"/>
  <c r="AV276" i="4"/>
  <c r="AW276" i="4"/>
  <c r="AX276" i="4"/>
  <c r="AY276" i="4"/>
  <c r="AZ276" i="4"/>
  <c r="BA276" i="4"/>
  <c r="BB276" i="4"/>
  <c r="BC276" i="4"/>
  <c r="BD276" i="4"/>
  <c r="BE276" i="4"/>
  <c r="BF276" i="4"/>
  <c r="BG276" i="4"/>
  <c r="BH276" i="4"/>
  <c r="BI276" i="4"/>
  <c r="BJ276" i="4"/>
  <c r="AM277" i="4"/>
  <c r="AN277" i="4"/>
  <c r="AO277" i="4"/>
  <c r="AP277" i="4"/>
  <c r="AQ277" i="4"/>
  <c r="AR277" i="4"/>
  <c r="AS277" i="4"/>
  <c r="AT277" i="4"/>
  <c r="AU277" i="4"/>
  <c r="AV277" i="4"/>
  <c r="AW277" i="4"/>
  <c r="AX277" i="4"/>
  <c r="AY277" i="4"/>
  <c r="AZ277" i="4"/>
  <c r="BA277" i="4"/>
  <c r="BB277" i="4"/>
  <c r="BC277" i="4"/>
  <c r="BD277" i="4"/>
  <c r="BE277" i="4"/>
  <c r="BF277" i="4"/>
  <c r="BG277" i="4"/>
  <c r="BH277" i="4"/>
  <c r="BI277" i="4"/>
  <c r="BJ277" i="4"/>
  <c r="AM278" i="4"/>
  <c r="AN278" i="4"/>
  <c r="AO278" i="4"/>
  <c r="AP278" i="4"/>
  <c r="AQ278" i="4"/>
  <c r="AR278" i="4"/>
  <c r="AS278" i="4"/>
  <c r="AT278" i="4"/>
  <c r="AU278" i="4"/>
  <c r="AV278" i="4"/>
  <c r="AW278" i="4"/>
  <c r="AX278" i="4"/>
  <c r="AY278" i="4"/>
  <c r="AZ278" i="4"/>
  <c r="BA278" i="4"/>
  <c r="BB278" i="4"/>
  <c r="BC278" i="4"/>
  <c r="BD278" i="4"/>
  <c r="BE278" i="4"/>
  <c r="BF278" i="4"/>
  <c r="BG278" i="4"/>
  <c r="BH278" i="4"/>
  <c r="BI278" i="4"/>
  <c r="BJ278" i="4"/>
  <c r="AM279" i="4"/>
  <c r="AN279" i="4"/>
  <c r="AO279" i="4"/>
  <c r="AP279" i="4"/>
  <c r="AQ279" i="4"/>
  <c r="AR279" i="4"/>
  <c r="AS279" i="4"/>
  <c r="AT279" i="4"/>
  <c r="AU279" i="4"/>
  <c r="AV279" i="4"/>
  <c r="AW279" i="4"/>
  <c r="AX279" i="4"/>
  <c r="AY279" i="4"/>
  <c r="AZ279" i="4"/>
  <c r="BA279" i="4"/>
  <c r="BB279" i="4"/>
  <c r="BC279" i="4"/>
  <c r="BD279" i="4"/>
  <c r="BE279" i="4"/>
  <c r="BF279" i="4"/>
  <c r="BG279" i="4"/>
  <c r="BH279" i="4"/>
  <c r="BI279" i="4"/>
  <c r="BJ279" i="4"/>
  <c r="AM280" i="4"/>
  <c r="AN280" i="4"/>
  <c r="AO280" i="4"/>
  <c r="AP280" i="4"/>
  <c r="AQ280" i="4"/>
  <c r="AR280" i="4"/>
  <c r="AS280" i="4"/>
  <c r="AT280" i="4"/>
  <c r="AU280" i="4"/>
  <c r="AV280" i="4"/>
  <c r="AW280" i="4"/>
  <c r="AX280" i="4"/>
  <c r="AY280" i="4"/>
  <c r="AZ280" i="4"/>
  <c r="BA280" i="4"/>
  <c r="BB280" i="4"/>
  <c r="BC280" i="4"/>
  <c r="BD280" i="4"/>
  <c r="BE280" i="4"/>
  <c r="BF280" i="4"/>
  <c r="BG280" i="4"/>
  <c r="BH280" i="4"/>
  <c r="BI280" i="4"/>
  <c r="BJ280" i="4"/>
  <c r="AM281" i="4"/>
  <c r="AN281" i="4"/>
  <c r="AO281" i="4"/>
  <c r="AP281" i="4"/>
  <c r="AQ281" i="4"/>
  <c r="AR281" i="4"/>
  <c r="AS281" i="4"/>
  <c r="AT281" i="4"/>
  <c r="AU281" i="4"/>
  <c r="AV281" i="4"/>
  <c r="AW281" i="4"/>
  <c r="AX281" i="4"/>
  <c r="AY281" i="4"/>
  <c r="AZ281" i="4"/>
  <c r="BA281" i="4"/>
  <c r="BB281" i="4"/>
  <c r="BC281" i="4"/>
  <c r="BD281" i="4"/>
  <c r="BE281" i="4"/>
  <c r="BF281" i="4"/>
  <c r="BG281" i="4"/>
  <c r="BH281" i="4"/>
  <c r="BI281" i="4"/>
  <c r="BJ281" i="4"/>
  <c r="AM282" i="4"/>
  <c r="AN282" i="4"/>
  <c r="AO282" i="4"/>
  <c r="AP282" i="4"/>
  <c r="AQ282" i="4"/>
  <c r="AR282" i="4"/>
  <c r="AS282" i="4"/>
  <c r="AT282" i="4"/>
  <c r="AU282" i="4"/>
  <c r="AV282" i="4"/>
  <c r="AW282" i="4"/>
  <c r="AX282" i="4"/>
  <c r="AY282" i="4"/>
  <c r="AZ282" i="4"/>
  <c r="BA282" i="4"/>
  <c r="BB282" i="4"/>
  <c r="BC282" i="4"/>
  <c r="BD282" i="4"/>
  <c r="BE282" i="4"/>
  <c r="BF282" i="4"/>
  <c r="BG282" i="4"/>
  <c r="BH282" i="4"/>
  <c r="BI282" i="4"/>
  <c r="BJ282" i="4"/>
  <c r="AM283" i="4"/>
  <c r="AN283" i="4"/>
  <c r="AO283" i="4"/>
  <c r="AP283" i="4"/>
  <c r="AQ283" i="4"/>
  <c r="AR283" i="4"/>
  <c r="AS283" i="4"/>
  <c r="AT283" i="4"/>
  <c r="AU283" i="4"/>
  <c r="AV283" i="4"/>
  <c r="AW283" i="4"/>
  <c r="AX283" i="4"/>
  <c r="AY283" i="4"/>
  <c r="AZ283" i="4"/>
  <c r="BA283" i="4"/>
  <c r="BB283" i="4"/>
  <c r="BC283" i="4"/>
  <c r="BD283" i="4"/>
  <c r="BE283" i="4"/>
  <c r="BF283" i="4"/>
  <c r="BG283" i="4"/>
  <c r="BH283" i="4"/>
  <c r="BI283" i="4"/>
  <c r="BJ283" i="4"/>
  <c r="AM284" i="4"/>
  <c r="AN284" i="4"/>
  <c r="AO284" i="4"/>
  <c r="AP284" i="4"/>
  <c r="AQ284" i="4"/>
  <c r="AR284" i="4"/>
  <c r="AS284" i="4"/>
  <c r="AT284" i="4"/>
  <c r="AU284" i="4"/>
  <c r="AV284" i="4"/>
  <c r="AW284" i="4"/>
  <c r="AX284" i="4"/>
  <c r="AY284" i="4"/>
  <c r="AZ284" i="4"/>
  <c r="BA284" i="4"/>
  <c r="BB284" i="4"/>
  <c r="BC284" i="4"/>
  <c r="BD284" i="4"/>
  <c r="BE284" i="4"/>
  <c r="BF284" i="4"/>
  <c r="BG284" i="4"/>
  <c r="BH284" i="4"/>
  <c r="BI284" i="4"/>
  <c r="BJ284" i="4"/>
  <c r="AM285" i="4"/>
  <c r="AN285" i="4"/>
  <c r="AO285" i="4"/>
  <c r="AP285" i="4"/>
  <c r="AQ285" i="4"/>
  <c r="AR285" i="4"/>
  <c r="AS285" i="4"/>
  <c r="AT285" i="4"/>
  <c r="AU285" i="4"/>
  <c r="AV285" i="4"/>
  <c r="AW285" i="4"/>
  <c r="AX285" i="4"/>
  <c r="AY285" i="4"/>
  <c r="AZ285" i="4"/>
  <c r="BA285" i="4"/>
  <c r="BB285" i="4"/>
  <c r="BC285" i="4"/>
  <c r="BD285" i="4"/>
  <c r="BE285" i="4"/>
  <c r="BF285" i="4"/>
  <c r="BG285" i="4"/>
  <c r="BH285" i="4"/>
  <c r="BI285" i="4"/>
  <c r="BJ285" i="4"/>
  <c r="AM286" i="4"/>
  <c r="AN286" i="4"/>
  <c r="AO286" i="4"/>
  <c r="AP286" i="4"/>
  <c r="AQ286" i="4"/>
  <c r="AR286" i="4"/>
  <c r="AS286" i="4"/>
  <c r="AT286" i="4"/>
  <c r="AU286" i="4"/>
  <c r="AV286" i="4"/>
  <c r="AW286" i="4"/>
  <c r="AX286" i="4"/>
  <c r="AY286" i="4"/>
  <c r="AZ286" i="4"/>
  <c r="BA286" i="4"/>
  <c r="BB286" i="4"/>
  <c r="BC286" i="4"/>
  <c r="BD286" i="4"/>
  <c r="BE286" i="4"/>
  <c r="BF286" i="4"/>
  <c r="BG286" i="4"/>
  <c r="BH286" i="4"/>
  <c r="BI286" i="4"/>
  <c r="BJ286" i="4"/>
  <c r="AM287" i="4"/>
  <c r="AN287" i="4"/>
  <c r="AO287" i="4"/>
  <c r="AP287" i="4"/>
  <c r="AQ287" i="4"/>
  <c r="AR287" i="4"/>
  <c r="AS287" i="4"/>
  <c r="AT287" i="4"/>
  <c r="AU287" i="4"/>
  <c r="AV287" i="4"/>
  <c r="AW287" i="4"/>
  <c r="AX287" i="4"/>
  <c r="AY287" i="4"/>
  <c r="AZ287" i="4"/>
  <c r="BA287" i="4"/>
  <c r="BB287" i="4"/>
  <c r="BC287" i="4"/>
  <c r="BD287" i="4"/>
  <c r="BE287" i="4"/>
  <c r="BF287" i="4"/>
  <c r="BG287" i="4"/>
  <c r="BH287" i="4"/>
  <c r="BI287" i="4"/>
  <c r="BJ287" i="4"/>
  <c r="AM288" i="4"/>
  <c r="AN288" i="4"/>
  <c r="AO288" i="4"/>
  <c r="AP288" i="4"/>
  <c r="AQ288" i="4"/>
  <c r="AR288" i="4"/>
  <c r="AS288" i="4"/>
  <c r="AT288" i="4"/>
  <c r="AU288" i="4"/>
  <c r="AV288" i="4"/>
  <c r="AW288" i="4"/>
  <c r="AX288" i="4"/>
  <c r="AY288" i="4"/>
  <c r="AZ288" i="4"/>
  <c r="BA288" i="4"/>
  <c r="BB288" i="4"/>
  <c r="BC288" i="4"/>
  <c r="BD288" i="4"/>
  <c r="BE288" i="4"/>
  <c r="BF288" i="4"/>
  <c r="BG288" i="4"/>
  <c r="BH288" i="4"/>
  <c r="BI288" i="4"/>
  <c r="BJ288" i="4"/>
  <c r="AM289" i="4"/>
  <c r="AN289" i="4"/>
  <c r="AO289" i="4"/>
  <c r="AP289" i="4"/>
  <c r="AQ289" i="4"/>
  <c r="AR289" i="4"/>
  <c r="AS289" i="4"/>
  <c r="AT289" i="4"/>
  <c r="AU289" i="4"/>
  <c r="AV289" i="4"/>
  <c r="AW289" i="4"/>
  <c r="AX289" i="4"/>
  <c r="AY289" i="4"/>
  <c r="AZ289" i="4"/>
  <c r="BA289" i="4"/>
  <c r="BB289" i="4"/>
  <c r="BC289" i="4"/>
  <c r="BD289" i="4"/>
  <c r="BE289" i="4"/>
  <c r="BF289" i="4"/>
  <c r="BG289" i="4"/>
  <c r="BH289" i="4"/>
  <c r="BI289" i="4"/>
  <c r="BJ289" i="4"/>
  <c r="AM290" i="4"/>
  <c r="AN290" i="4"/>
  <c r="AO290" i="4"/>
  <c r="AP290" i="4"/>
  <c r="AQ290" i="4"/>
  <c r="AR290" i="4"/>
  <c r="AS290" i="4"/>
  <c r="AT290" i="4"/>
  <c r="AU290" i="4"/>
  <c r="AV290" i="4"/>
  <c r="AW290" i="4"/>
  <c r="AX290" i="4"/>
  <c r="AY290" i="4"/>
  <c r="AZ290" i="4"/>
  <c r="BA290" i="4"/>
  <c r="BB290" i="4"/>
  <c r="BC290" i="4"/>
  <c r="BD290" i="4"/>
  <c r="BE290" i="4"/>
  <c r="BF290" i="4"/>
  <c r="BG290" i="4"/>
  <c r="BH290" i="4"/>
  <c r="BI290" i="4"/>
  <c r="BJ290" i="4"/>
  <c r="AM291" i="4"/>
  <c r="AN291" i="4"/>
  <c r="AO291" i="4"/>
  <c r="AP291" i="4"/>
  <c r="AQ291" i="4"/>
  <c r="AR291" i="4"/>
  <c r="AS291" i="4"/>
  <c r="AT291" i="4"/>
  <c r="AU291" i="4"/>
  <c r="AV291" i="4"/>
  <c r="AW291" i="4"/>
  <c r="AX291" i="4"/>
  <c r="AY291" i="4"/>
  <c r="AZ291" i="4"/>
  <c r="BA291" i="4"/>
  <c r="BB291" i="4"/>
  <c r="BC291" i="4"/>
  <c r="BD291" i="4"/>
  <c r="BE291" i="4"/>
  <c r="BF291" i="4"/>
  <c r="BG291" i="4"/>
  <c r="BH291" i="4"/>
  <c r="BI291" i="4"/>
  <c r="BJ291" i="4"/>
  <c r="AM292" i="4"/>
  <c r="AN292" i="4"/>
  <c r="AO292" i="4"/>
  <c r="AP292" i="4"/>
  <c r="AQ292" i="4"/>
  <c r="AR292" i="4"/>
  <c r="AS292" i="4"/>
  <c r="AT292" i="4"/>
  <c r="AU292" i="4"/>
  <c r="AV292" i="4"/>
  <c r="AW292" i="4"/>
  <c r="AX292" i="4"/>
  <c r="AY292" i="4"/>
  <c r="AZ292" i="4"/>
  <c r="BA292" i="4"/>
  <c r="BB292" i="4"/>
  <c r="BC292" i="4"/>
  <c r="BD292" i="4"/>
  <c r="BE292" i="4"/>
  <c r="BF292" i="4"/>
  <c r="BG292" i="4"/>
  <c r="BH292" i="4"/>
  <c r="BI292" i="4"/>
  <c r="BJ292" i="4"/>
  <c r="AM293" i="4"/>
  <c r="AN293" i="4"/>
  <c r="AO293" i="4"/>
  <c r="AP293" i="4"/>
  <c r="AQ293" i="4"/>
  <c r="AR293" i="4"/>
  <c r="AS293" i="4"/>
  <c r="AT293" i="4"/>
  <c r="AU293" i="4"/>
  <c r="AV293" i="4"/>
  <c r="AW293" i="4"/>
  <c r="AX293" i="4"/>
  <c r="AY293" i="4"/>
  <c r="AZ293" i="4"/>
  <c r="BA293" i="4"/>
  <c r="BB293" i="4"/>
  <c r="BC293" i="4"/>
  <c r="BD293" i="4"/>
  <c r="BE293" i="4"/>
  <c r="BF293" i="4"/>
  <c r="BG293" i="4"/>
  <c r="BH293" i="4"/>
  <c r="BI293" i="4"/>
  <c r="BJ293" i="4"/>
  <c r="R193" i="4"/>
  <c r="DW168" i="4" s="1"/>
  <c r="R192" i="4"/>
  <c r="DW206" i="4" s="1"/>
  <c r="R191" i="4"/>
  <c r="AM191" i="4" s="1"/>
  <c r="DY305" i="4"/>
  <c r="DY306" i="4"/>
  <c r="DY307" i="4"/>
  <c r="DY315" i="4"/>
  <c r="DY296" i="4"/>
  <c r="DY317" i="4"/>
  <c r="DW9" i="4"/>
  <c r="DW10" i="4"/>
  <c r="DW11" i="4"/>
  <c r="DW12" i="4"/>
  <c r="DW13" i="4"/>
  <c r="DW14" i="4"/>
  <c r="DW15" i="4"/>
  <c r="DW16" i="4"/>
  <c r="DW17" i="4"/>
  <c r="DW18" i="4"/>
  <c r="DW19" i="4"/>
  <c r="DW20" i="4"/>
  <c r="DW21" i="4"/>
  <c r="DW22" i="4"/>
  <c r="DW23" i="4"/>
  <c r="DW24" i="4"/>
  <c r="DW25" i="4"/>
  <c r="DW26" i="4"/>
  <c r="DW27" i="4"/>
  <c r="DW28" i="4"/>
  <c r="DW29" i="4"/>
  <c r="DW30" i="4"/>
  <c r="DW31" i="4"/>
  <c r="DW32" i="4"/>
  <c r="DW33" i="4"/>
  <c r="DW34" i="4"/>
  <c r="DW35" i="4"/>
  <c r="DW36" i="4"/>
  <c r="DW37" i="4"/>
  <c r="DW39" i="4"/>
  <c r="DW40" i="4"/>
  <c r="DW41" i="4"/>
  <c r="DW42" i="4"/>
  <c r="DW43" i="4"/>
  <c r="DW44" i="4"/>
  <c r="DW46" i="4"/>
  <c r="DW47" i="4"/>
  <c r="DW48" i="4"/>
  <c r="DW49" i="4"/>
  <c r="DW51" i="4"/>
  <c r="DW59" i="4"/>
  <c r="DW60" i="4"/>
  <c r="DW61" i="4"/>
  <c r="DW62" i="4"/>
  <c r="DW63" i="4"/>
  <c r="DW64" i="4"/>
  <c r="DW65" i="4"/>
  <c r="DW66" i="4"/>
  <c r="DW67" i="4"/>
  <c r="DW68" i="4"/>
  <c r="DW69" i="4"/>
  <c r="DW70" i="4"/>
  <c r="DW71" i="4"/>
  <c r="DW72" i="4"/>
  <c r="DW73" i="4"/>
  <c r="DW75" i="4"/>
  <c r="DW78" i="4"/>
  <c r="DW79" i="4"/>
  <c r="DW80" i="4"/>
  <c r="DW81" i="4"/>
  <c r="DW82" i="4"/>
  <c r="DW83" i="4"/>
  <c r="DW84" i="4"/>
  <c r="DW96" i="4"/>
  <c r="DW97" i="4"/>
  <c r="DW98" i="4"/>
  <c r="DW100" i="4"/>
  <c r="DW101" i="4"/>
  <c r="DW102" i="4"/>
  <c r="DW109" i="4"/>
  <c r="DW110" i="4"/>
  <c r="DW111" i="4"/>
  <c r="DW119" i="4"/>
  <c r="DW120" i="4"/>
  <c r="DW121" i="4"/>
  <c r="DW122" i="4"/>
  <c r="DW123" i="4"/>
  <c r="DW124" i="4"/>
  <c r="DW125" i="4"/>
  <c r="DW126" i="4"/>
  <c r="DW127" i="4"/>
  <c r="DW128" i="4"/>
  <c r="DW131" i="4"/>
  <c r="DW132" i="4"/>
  <c r="DW133" i="4"/>
  <c r="DW134" i="4"/>
  <c r="DW136" i="4"/>
  <c r="DW137" i="4"/>
  <c r="DW140" i="4"/>
  <c r="DW141" i="4"/>
  <c r="DW142" i="4"/>
  <c r="DW143" i="4"/>
  <c r="DW144" i="4"/>
  <c r="DW145" i="4"/>
  <c r="DW146" i="4"/>
  <c r="DW147" i="4"/>
  <c r="DW148" i="4"/>
  <c r="DW149" i="4"/>
  <c r="DW150" i="4"/>
  <c r="DW151" i="4"/>
  <c r="DW152" i="4"/>
  <c r="DW153" i="4"/>
  <c r="DW154" i="4"/>
  <c r="DW155" i="4"/>
  <c r="DW156" i="4"/>
  <c r="DW158" i="4"/>
  <c r="DW159" i="4"/>
  <c r="DW160" i="4"/>
  <c r="DW161" i="4"/>
  <c r="DW162" i="4"/>
  <c r="DW163" i="4"/>
  <c r="DW164" i="4"/>
  <c r="DW166" i="4"/>
  <c r="DW167" i="4"/>
  <c r="DW169" i="4"/>
  <c r="DW170" i="4"/>
  <c r="DW171" i="4"/>
  <c r="DW172" i="4"/>
  <c r="DW173" i="4"/>
  <c r="DW174" i="4"/>
  <c r="DW175" i="4"/>
  <c r="DW176" i="4"/>
  <c r="DW177" i="4"/>
  <c r="DW178" i="4"/>
  <c r="DW179" i="4"/>
  <c r="DW180" i="4"/>
  <c r="DW181" i="4"/>
  <c r="DW183" i="4"/>
  <c r="DW184" i="4"/>
  <c r="DW185" i="4"/>
  <c r="DW186" i="4"/>
  <c r="DW187" i="4"/>
  <c r="DW188" i="4"/>
  <c r="DW189" i="4"/>
  <c r="DW190" i="4"/>
  <c r="DW199" i="4"/>
  <c r="DW200" i="4"/>
  <c r="DW201" i="4"/>
  <c r="DW202" i="4"/>
  <c r="DW204" i="4"/>
  <c r="DW205" i="4"/>
  <c r="DW215" i="4"/>
  <c r="DW216" i="4"/>
  <c r="DW224" i="4"/>
  <c r="DW225" i="4"/>
  <c r="DW232" i="4"/>
  <c r="DW233" i="4"/>
  <c r="DW234" i="4"/>
  <c r="DW236" i="4"/>
  <c r="DW237" i="4"/>
  <c r="DW238" i="4"/>
  <c r="DW240" i="4"/>
  <c r="DW241" i="4"/>
  <c r="DW242" i="4"/>
  <c r="DW243" i="4"/>
  <c r="DW244" i="4"/>
  <c r="DW245" i="4"/>
  <c r="DW246" i="4"/>
  <c r="DW249" i="4"/>
  <c r="DW251" i="4"/>
  <c r="DW252" i="4"/>
  <c r="DW253" i="4"/>
  <c r="DW254" i="4"/>
  <c r="DW255" i="4"/>
  <c r="DW258" i="4"/>
  <c r="DW260" i="4"/>
  <c r="DW262" i="4"/>
  <c r="DW263" i="4"/>
  <c r="DW264" i="4"/>
  <c r="DW266" i="4"/>
  <c r="DW267" i="4"/>
  <c r="DW268" i="4"/>
  <c r="DW271" i="4"/>
  <c r="DW275" i="4"/>
  <c r="DW276" i="4"/>
  <c r="DW277" i="4"/>
  <c r="DW278" i="4"/>
  <c r="DW279" i="4"/>
  <c r="DW282" i="4"/>
  <c r="DW283" i="4"/>
  <c r="DW284" i="4"/>
  <c r="DW285" i="4"/>
  <c r="DW286" i="4"/>
  <c r="DW287" i="4"/>
  <c r="DW288" i="4"/>
  <c r="DW289" i="4"/>
  <c r="DW290" i="4"/>
  <c r="DW291" i="4"/>
  <c r="DW292" i="4"/>
  <c r="DW293" i="4"/>
  <c r="DW305" i="4"/>
  <c r="DW306" i="4"/>
  <c r="DW307" i="4"/>
  <c r="DW315" i="4"/>
  <c r="DW296" i="4"/>
  <c r="DW317" i="4"/>
  <c r="O113" i="4"/>
  <c r="O114" i="4"/>
  <c r="O112" i="4"/>
  <c r="BA112" i="4" s="1"/>
  <c r="O107" i="4"/>
  <c r="AV107" i="4" s="1"/>
  <c r="O108" i="4"/>
  <c r="BE108" i="4" s="1"/>
  <c r="O106" i="4"/>
  <c r="O93" i="4"/>
  <c r="O94" i="4"/>
  <c r="BJ94" i="4" s="1"/>
  <c r="O92" i="4"/>
  <c r="O91" i="4"/>
  <c r="AN91" i="4" s="1"/>
  <c r="O90" i="4"/>
  <c r="AN90" i="4" s="1"/>
  <c r="O89" i="4"/>
  <c r="BA89" i="4" s="1"/>
  <c r="O88" i="4"/>
  <c r="DW261" i="4" s="1"/>
  <c r="O87" i="4"/>
  <c r="O86" i="4"/>
  <c r="DW247" i="4" s="1"/>
  <c r="O76" i="4"/>
  <c r="R231" i="4"/>
  <c r="BI231" i="4" s="1"/>
  <c r="R116" i="4"/>
  <c r="R117" i="4"/>
  <c r="R118" i="4"/>
  <c r="R115" i="4"/>
  <c r="AT115" i="4" s="1"/>
  <c r="R104" i="4"/>
  <c r="AN104" i="4" s="1"/>
  <c r="R105" i="4"/>
  <c r="AX105" i="4" s="1"/>
  <c r="R103" i="4"/>
  <c r="BF103" i="4" s="1"/>
  <c r="R53" i="4"/>
  <c r="DW129" i="4" s="1"/>
  <c r="R54" i="4"/>
  <c r="DW99" i="4" s="1"/>
  <c r="R55" i="4"/>
  <c r="DW85" i="4" s="1"/>
  <c r="R56" i="4"/>
  <c r="DW259" i="4" s="1"/>
  <c r="R57" i="4"/>
  <c r="DW58" i="4" s="1"/>
  <c r="R52" i="4"/>
  <c r="DW250" i="4" s="1"/>
  <c r="R3" i="4"/>
  <c r="DW239" i="4" s="1"/>
  <c r="R4" i="4"/>
  <c r="R5" i="4"/>
  <c r="R6" i="4"/>
  <c r="R7" i="4"/>
  <c r="DW8" i="4" s="1"/>
  <c r="R2" i="4"/>
  <c r="DW2" i="4" s="1"/>
  <c r="O273" i="4"/>
  <c r="BD273" i="4" s="1"/>
  <c r="R272" i="4"/>
  <c r="BD272" i="4" s="1"/>
  <c r="R265" i="4"/>
  <c r="AY265" i="4" s="1"/>
  <c r="R230" i="4"/>
  <c r="O228" i="4"/>
  <c r="BA228" i="4" s="1"/>
  <c r="O229" i="4"/>
  <c r="AY229" i="4" s="1"/>
  <c r="O227" i="4"/>
  <c r="AS227" i="4" s="1"/>
  <c r="O226" i="4"/>
  <c r="AN226" i="4" s="1"/>
  <c r="O222" i="4"/>
  <c r="BB222" i="4" s="1"/>
  <c r="O223" i="4"/>
  <c r="AU223" i="4" s="1"/>
  <c r="O221" i="4"/>
  <c r="BB221" i="4" s="1"/>
  <c r="R220" i="4"/>
  <c r="AU220" i="4" s="1"/>
  <c r="R219" i="4"/>
  <c r="BD219" i="4" s="1"/>
  <c r="R218" i="4"/>
  <c r="AM218" i="4" s="1"/>
  <c r="R217" i="4"/>
  <c r="R194" i="4"/>
  <c r="DW165" i="4" s="1"/>
  <c r="O211" i="4"/>
  <c r="AW211" i="4" s="1"/>
  <c r="O212" i="4"/>
  <c r="AM212" i="4" s="1"/>
  <c r="O213" i="4"/>
  <c r="BA213" i="4" s="1"/>
  <c r="O210" i="4"/>
  <c r="BA210" i="4" s="1"/>
  <c r="O208" i="4"/>
  <c r="AQ208" i="4" s="1"/>
  <c r="O209" i="4"/>
  <c r="DW45" i="4" s="1"/>
  <c r="O207" i="4"/>
  <c r="AR207" i="4" s="1"/>
  <c r="O197" i="4"/>
  <c r="O196" i="4"/>
  <c r="DW138" i="4" s="1"/>
  <c r="R195" i="4"/>
  <c r="BG195" i="4" s="1"/>
  <c r="DW130" i="4" l="1"/>
  <c r="DW77" i="4"/>
  <c r="DW270" i="4"/>
  <c r="DW281" i="4"/>
  <c r="DW257" i="4"/>
  <c r="DW198" i="4"/>
  <c r="DW214" i="4"/>
  <c r="DW74" i="4"/>
  <c r="DW248" i="4"/>
  <c r="DW274" i="4"/>
  <c r="DW235" i="4"/>
  <c r="DW203" i="4"/>
  <c r="DW135" i="4"/>
  <c r="DW182" i="4"/>
  <c r="DW157" i="4"/>
  <c r="DW256" i="4"/>
  <c r="DW269" i="4"/>
  <c r="DW50" i="4"/>
  <c r="DW38" i="4"/>
  <c r="DW280" i="4"/>
  <c r="DW139" i="4"/>
  <c r="BP401" i="4"/>
  <c r="BL190" i="4"/>
  <c r="BL156" i="4"/>
  <c r="BL155" i="4"/>
  <c r="BL154" i="4"/>
  <c r="BL153" i="4"/>
  <c r="BL152" i="4"/>
  <c r="BL275" i="4"/>
  <c r="BL218" i="4"/>
  <c r="BL121" i="4"/>
  <c r="BL210" i="4"/>
  <c r="BL109" i="4"/>
  <c r="BL206" i="4"/>
  <c r="BL97" i="4"/>
  <c r="BL67" i="4"/>
  <c r="BK299" i="4"/>
  <c r="BL299" i="4" s="1"/>
  <c r="BL171" i="4"/>
  <c r="BL237" i="4"/>
  <c r="BK294" i="4"/>
  <c r="BL294" i="4" s="1"/>
  <c r="BL179" i="4"/>
  <c r="BL29" i="4"/>
  <c r="BL17" i="4"/>
  <c r="BL15" i="4"/>
  <c r="BK310" i="4"/>
  <c r="BL310" i="4" s="1"/>
  <c r="BK298" i="4"/>
  <c r="BL298" i="4" s="1"/>
  <c r="BL287" i="4"/>
  <c r="BL274" i="4"/>
  <c r="BL260" i="4"/>
  <c r="BL248" i="4"/>
  <c r="BL236" i="4"/>
  <c r="BL222" i="4"/>
  <c r="BL198" i="4"/>
  <c r="BL79" i="4"/>
  <c r="BL54" i="4"/>
  <c r="BK309" i="4"/>
  <c r="BL309" i="4" s="1"/>
  <c r="BK297" i="4"/>
  <c r="BL297" i="4" s="1"/>
  <c r="BL286" i="4"/>
  <c r="BL271" i="4"/>
  <c r="BL259" i="4"/>
  <c r="BL247" i="4"/>
  <c r="BL235" i="4"/>
  <c r="BL221" i="4"/>
  <c r="BL209" i="4"/>
  <c r="BL197" i="4"/>
  <c r="BL174" i="4"/>
  <c r="BL189" i="4"/>
  <c r="BL120" i="4"/>
  <c r="BL108" i="4"/>
  <c r="BL96" i="4"/>
  <c r="BL78" i="4"/>
  <c r="BL66" i="4"/>
  <c r="BL28" i="4"/>
  <c r="BL16" i="4"/>
  <c r="BL14" i="4"/>
  <c r="BK308" i="4"/>
  <c r="BL308" i="4" s="1"/>
  <c r="BK296" i="4"/>
  <c r="BL296" i="4" s="1"/>
  <c r="BL285" i="4"/>
  <c r="BL270" i="4"/>
  <c r="BL258" i="4"/>
  <c r="BL246" i="4"/>
  <c r="BL234" i="4"/>
  <c r="BL220" i="4"/>
  <c r="BL208" i="4"/>
  <c r="BL196" i="4"/>
  <c r="BL173" i="4"/>
  <c r="BL188" i="4"/>
  <c r="BL119" i="4"/>
  <c r="BL107" i="4"/>
  <c r="BL95" i="4"/>
  <c r="BL77" i="4"/>
  <c r="BL65" i="4"/>
  <c r="BL39" i="4"/>
  <c r="BL27" i="4"/>
  <c r="BL13" i="4"/>
  <c r="BK307" i="4"/>
  <c r="BL307" i="4" s="1"/>
  <c r="BK295" i="4"/>
  <c r="BL295" i="4" s="1"/>
  <c r="BL284" i="4"/>
  <c r="BL269" i="4"/>
  <c r="BL257" i="4"/>
  <c r="BL245" i="4"/>
  <c r="BL233" i="4"/>
  <c r="BL219" i="4"/>
  <c r="BL207" i="4"/>
  <c r="BL195" i="4"/>
  <c r="BL176" i="4"/>
  <c r="BL183" i="4"/>
  <c r="BL118" i="4"/>
  <c r="BL106" i="4"/>
  <c r="BL94" i="4"/>
  <c r="BL76" i="4"/>
  <c r="BL64" i="4"/>
  <c r="BL38" i="4"/>
  <c r="BL26" i="4"/>
  <c r="BL12" i="4"/>
  <c r="BK306" i="4"/>
  <c r="BL306" i="4" s="1"/>
  <c r="BL283" i="4"/>
  <c r="BL268" i="4"/>
  <c r="BL256" i="4"/>
  <c r="BL244" i="4"/>
  <c r="BL232" i="4"/>
  <c r="BL175" i="4"/>
  <c r="BL166" i="4"/>
  <c r="BL117" i="4"/>
  <c r="BL105" i="4"/>
  <c r="BL93" i="4"/>
  <c r="BL75" i="4"/>
  <c r="BL63" i="4"/>
  <c r="BL37" i="4"/>
  <c r="BL25" i="4"/>
  <c r="BL11" i="4"/>
  <c r="BK317" i="4"/>
  <c r="BL317" i="4" s="1"/>
  <c r="BK305" i="4"/>
  <c r="BL305" i="4" s="1"/>
  <c r="BL282" i="4"/>
  <c r="BL267" i="4"/>
  <c r="BL255" i="4"/>
  <c r="BL243" i="4"/>
  <c r="BL231" i="4"/>
  <c r="BL217" i="4"/>
  <c r="BL205" i="4"/>
  <c r="BL170" i="4"/>
  <c r="BL185" i="4"/>
  <c r="BL165" i="4"/>
  <c r="BL140" i="4"/>
  <c r="BL116" i="4"/>
  <c r="BL104" i="4"/>
  <c r="BL92" i="4"/>
  <c r="BL74" i="4"/>
  <c r="BL62" i="4"/>
  <c r="BL36" i="4"/>
  <c r="BL24" i="4"/>
  <c r="BL10" i="4"/>
  <c r="BK316" i="4"/>
  <c r="BL316" i="4" s="1"/>
  <c r="BK304" i="4"/>
  <c r="BL304" i="4" s="1"/>
  <c r="BL293" i="4"/>
  <c r="BL266" i="4"/>
  <c r="BL254" i="4"/>
  <c r="BL242" i="4"/>
  <c r="BL230" i="4"/>
  <c r="BL216" i="4"/>
  <c r="BL204" i="4"/>
  <c r="BL169" i="4"/>
  <c r="BL184" i="4"/>
  <c r="BL164" i="4"/>
  <c r="BL139" i="4"/>
  <c r="BL115" i="4"/>
  <c r="BL103" i="4"/>
  <c r="BL85" i="4"/>
  <c r="BL73" i="4"/>
  <c r="BL61" i="4"/>
  <c r="BL35" i="4"/>
  <c r="BL23" i="4"/>
  <c r="BL9" i="4"/>
  <c r="BK315" i="4"/>
  <c r="BL315" i="4" s="1"/>
  <c r="BK303" i="4"/>
  <c r="BL303" i="4" s="1"/>
  <c r="BL292" i="4"/>
  <c r="BL279" i="4"/>
  <c r="BL265" i="4"/>
  <c r="BL253" i="4"/>
  <c r="BL241" i="4"/>
  <c r="BL229" i="4"/>
  <c r="BL215" i="4"/>
  <c r="BL203" i="4"/>
  <c r="BL168" i="4"/>
  <c r="BL182" i="4"/>
  <c r="BL160" i="4"/>
  <c r="BL126" i="4"/>
  <c r="BL114" i="4"/>
  <c r="BL102" i="4"/>
  <c r="BL84" i="4"/>
  <c r="BL72" i="4"/>
  <c r="BL60" i="4"/>
  <c r="BL34" i="4"/>
  <c r="BL22" i="4"/>
  <c r="BL8" i="4"/>
  <c r="BK314" i="4"/>
  <c r="BL314" i="4" s="1"/>
  <c r="BK302" i="4"/>
  <c r="BL302" i="4" s="1"/>
  <c r="BL291" i="4"/>
  <c r="BL278" i="4"/>
  <c r="BL264" i="4"/>
  <c r="BL252" i="4"/>
  <c r="BL240" i="4"/>
  <c r="BL228" i="4"/>
  <c r="BL214" i="4"/>
  <c r="BL202" i="4"/>
  <c r="BL167" i="4"/>
  <c r="BL181" i="4"/>
  <c r="BL159" i="4"/>
  <c r="BL125" i="4"/>
  <c r="BL113" i="4"/>
  <c r="BL101" i="4"/>
  <c r="BL83" i="4"/>
  <c r="BL71" i="4"/>
  <c r="BL59" i="4"/>
  <c r="BL33" i="4"/>
  <c r="BL21" i="4"/>
  <c r="BL7" i="4"/>
  <c r="BK313" i="4"/>
  <c r="BL313" i="4" s="1"/>
  <c r="BK301" i="4"/>
  <c r="BL301" i="4" s="1"/>
  <c r="BL290" i="4"/>
  <c r="BL277" i="4"/>
  <c r="BL263" i="4"/>
  <c r="BL251" i="4"/>
  <c r="BL239" i="4"/>
  <c r="BL227" i="4"/>
  <c r="BL213" i="4"/>
  <c r="BL201" i="4"/>
  <c r="BL178" i="4"/>
  <c r="BL187" i="4"/>
  <c r="BL158" i="4"/>
  <c r="BL124" i="4"/>
  <c r="BL112" i="4"/>
  <c r="BL100" i="4"/>
  <c r="BL82" i="4"/>
  <c r="BL70" i="4"/>
  <c r="BL58" i="4"/>
  <c r="BL32" i="4"/>
  <c r="BL20" i="4"/>
  <c r="BL5" i="4"/>
  <c r="BK312" i="4"/>
  <c r="BL312" i="4" s="1"/>
  <c r="BK300" i="4"/>
  <c r="BL300" i="4" s="1"/>
  <c r="BL289" i="4"/>
  <c r="BL276" i="4"/>
  <c r="BL262" i="4"/>
  <c r="BL250" i="4"/>
  <c r="BL238" i="4"/>
  <c r="BL226" i="4"/>
  <c r="BL212" i="4"/>
  <c r="BL200" i="4"/>
  <c r="BL177" i="4"/>
  <c r="BL186" i="4"/>
  <c r="BL157" i="4"/>
  <c r="BL123" i="4"/>
  <c r="BL111" i="4"/>
  <c r="BL99" i="4"/>
  <c r="BL81" i="4"/>
  <c r="BL69" i="4"/>
  <c r="BL31" i="4"/>
  <c r="BL19" i="4"/>
  <c r="BL3" i="4"/>
  <c r="BK311" i="4"/>
  <c r="BL311" i="4" s="1"/>
  <c r="BL288" i="4"/>
  <c r="BL261" i="4"/>
  <c r="BL249" i="4"/>
  <c r="BL223" i="4"/>
  <c r="BL211" i="4"/>
  <c r="BL199" i="4"/>
  <c r="BL172" i="4"/>
  <c r="BL180" i="4"/>
  <c r="BL122" i="4"/>
  <c r="BL110" i="4"/>
  <c r="BL98" i="4"/>
  <c r="BL80" i="4"/>
  <c r="BL68" i="4"/>
  <c r="BL30" i="4"/>
  <c r="BK16" i="4"/>
  <c r="BK215" i="4"/>
  <c r="BK185" i="4"/>
  <c r="BK289" i="4"/>
  <c r="BK286" i="4"/>
  <c r="BK279" i="4"/>
  <c r="BK276" i="4"/>
  <c r="BK267" i="4"/>
  <c r="BK261" i="4"/>
  <c r="BK255" i="4"/>
  <c r="BK254" i="4"/>
  <c r="BK250" i="4"/>
  <c r="BK249" i="4"/>
  <c r="BK248" i="4"/>
  <c r="BK247" i="4"/>
  <c r="BK245" i="4"/>
  <c r="BK244" i="4"/>
  <c r="BK242" i="4"/>
  <c r="BK236" i="4"/>
  <c r="BK234" i="4"/>
  <c r="BK233" i="4"/>
  <c r="BK225" i="4"/>
  <c r="BL225" i="4" s="1"/>
  <c r="BK216" i="4"/>
  <c r="BK206" i="4"/>
  <c r="BK204" i="4"/>
  <c r="BK203" i="4"/>
  <c r="BK198" i="4"/>
  <c r="BK172" i="4"/>
  <c r="BK174" i="4"/>
  <c r="BK173" i="4"/>
  <c r="BK176" i="4"/>
  <c r="BK184" i="4"/>
  <c r="BK182" i="4"/>
  <c r="BK181" i="4"/>
  <c r="BK187" i="4"/>
  <c r="BK186" i="4"/>
  <c r="BK180" i="4"/>
  <c r="BK179" i="4"/>
  <c r="BK189" i="4"/>
  <c r="BK188" i="4"/>
  <c r="BK183" i="4"/>
  <c r="BK166" i="4"/>
  <c r="BK164" i="4"/>
  <c r="BK163" i="4"/>
  <c r="BL163" i="4" s="1"/>
  <c r="BK162" i="4"/>
  <c r="BL162" i="4" s="1"/>
  <c r="BK161" i="4"/>
  <c r="BL161" i="4" s="1"/>
  <c r="BK160" i="4"/>
  <c r="BK159" i="4"/>
  <c r="BK158" i="4"/>
  <c r="BK157" i="4"/>
  <c r="BK156" i="4"/>
  <c r="BK155" i="4"/>
  <c r="BK154" i="4"/>
  <c r="BK152" i="4"/>
  <c r="BK151" i="4"/>
  <c r="BK150" i="4"/>
  <c r="BL150" i="4" s="1"/>
  <c r="BK149" i="4"/>
  <c r="BL149" i="4" s="1"/>
  <c r="BK148" i="4"/>
  <c r="BL148" i="4" s="1"/>
  <c r="BK147" i="4"/>
  <c r="BL147" i="4" s="1"/>
  <c r="BK146" i="4"/>
  <c r="BL146" i="4" s="1"/>
  <c r="BK145" i="4"/>
  <c r="BL145" i="4" s="1"/>
  <c r="BK144" i="4"/>
  <c r="BL144" i="4" s="1"/>
  <c r="BK143" i="4"/>
  <c r="BL143" i="4" s="1"/>
  <c r="BK142" i="4"/>
  <c r="BL142" i="4" s="1"/>
  <c r="BK140" i="4"/>
  <c r="BK139" i="4"/>
  <c r="BK138" i="4"/>
  <c r="BL138" i="4" s="1"/>
  <c r="BK137" i="4"/>
  <c r="BL137" i="4" s="1"/>
  <c r="BK136" i="4"/>
  <c r="BL136" i="4" s="1"/>
  <c r="BK135" i="4"/>
  <c r="BL135" i="4" s="1"/>
  <c r="BK134" i="4"/>
  <c r="BL134" i="4" s="1"/>
  <c r="BK133" i="4"/>
  <c r="BL133" i="4" s="1"/>
  <c r="BK132" i="4"/>
  <c r="BL132" i="4" s="1"/>
  <c r="BK131" i="4"/>
  <c r="BL131" i="4" s="1"/>
  <c r="BK130" i="4"/>
  <c r="BL130" i="4" s="1"/>
  <c r="BK128" i="4"/>
  <c r="BL128" i="4" s="1"/>
  <c r="BK292" i="4"/>
  <c r="BK288" i="4"/>
  <c r="BK283" i="4"/>
  <c r="BK280" i="4"/>
  <c r="BK277" i="4"/>
  <c r="BK270" i="4"/>
  <c r="BK264" i="4"/>
  <c r="BK252" i="4"/>
  <c r="BK246" i="4"/>
  <c r="BK243" i="4"/>
  <c r="BK241" i="4"/>
  <c r="BK239" i="4"/>
  <c r="BK238" i="4"/>
  <c r="BK237" i="4"/>
  <c r="BK235" i="4"/>
  <c r="BK232" i="4"/>
  <c r="BK224" i="4"/>
  <c r="BL224" i="4" s="1"/>
  <c r="BK214" i="4"/>
  <c r="BK205" i="4"/>
  <c r="BK202" i="4"/>
  <c r="BK201" i="4"/>
  <c r="BK200" i="4"/>
  <c r="BK199" i="4"/>
  <c r="BK190" i="4"/>
  <c r="BK169" i="4"/>
  <c r="BK168" i="4"/>
  <c r="BK167" i="4"/>
  <c r="BK178" i="4"/>
  <c r="BK177" i="4"/>
  <c r="BK171" i="4"/>
  <c r="BK175" i="4"/>
  <c r="BK291" i="4"/>
  <c r="BK278" i="4"/>
  <c r="BK275" i="4"/>
  <c r="BK268" i="4"/>
  <c r="BK258" i="4"/>
  <c r="BK256" i="4"/>
  <c r="BK251" i="4"/>
  <c r="BK293" i="4"/>
  <c r="BK290" i="4"/>
  <c r="BK287" i="4"/>
  <c r="BK285" i="4"/>
  <c r="BK282" i="4"/>
  <c r="BK271" i="4"/>
  <c r="BK266" i="4"/>
  <c r="BK263" i="4"/>
  <c r="BK260" i="4"/>
  <c r="BK257" i="4"/>
  <c r="BK253" i="4"/>
  <c r="BK284" i="4"/>
  <c r="BK281" i="4"/>
  <c r="BL281" i="4" s="1"/>
  <c r="BK274" i="4"/>
  <c r="BK269" i="4"/>
  <c r="BK262" i="4"/>
  <c r="BK259" i="4"/>
  <c r="BK240" i="4"/>
  <c r="BK170" i="4"/>
  <c r="BK165" i="4"/>
  <c r="BK153" i="4"/>
  <c r="BK141" i="4"/>
  <c r="BL141" i="4" s="1"/>
  <c r="BK127" i="4"/>
  <c r="BL127" i="4" s="1"/>
  <c r="BK126" i="4"/>
  <c r="BK125" i="4"/>
  <c r="BK124" i="4"/>
  <c r="BK123" i="4"/>
  <c r="BK122" i="4"/>
  <c r="BK121" i="4"/>
  <c r="BK120" i="4"/>
  <c r="BK119" i="4"/>
  <c r="BK111" i="4"/>
  <c r="BK109" i="4"/>
  <c r="BK102" i="4"/>
  <c r="BK101" i="4"/>
  <c r="BK100" i="4"/>
  <c r="BK99" i="4"/>
  <c r="BK98" i="4"/>
  <c r="BK97" i="4"/>
  <c r="BK96" i="4"/>
  <c r="BK95" i="4"/>
  <c r="BK85" i="4"/>
  <c r="BK84" i="4"/>
  <c r="BK82" i="4"/>
  <c r="BK81" i="4"/>
  <c r="BK80" i="4"/>
  <c r="BK79" i="4"/>
  <c r="BK78" i="4"/>
  <c r="BK77" i="4"/>
  <c r="BK75" i="4"/>
  <c r="BK74" i="4"/>
  <c r="BK73" i="4"/>
  <c r="BK72" i="4"/>
  <c r="BK71" i="4"/>
  <c r="BK69" i="4"/>
  <c r="BK68" i="4"/>
  <c r="BK67" i="4"/>
  <c r="BK66" i="4"/>
  <c r="BK65" i="4"/>
  <c r="BK64" i="4"/>
  <c r="BK63" i="4"/>
  <c r="BK62" i="4"/>
  <c r="BK61" i="4"/>
  <c r="BK60" i="4"/>
  <c r="BK59" i="4"/>
  <c r="BK51" i="4"/>
  <c r="BL51" i="4" s="1"/>
  <c r="BK50" i="4"/>
  <c r="BL50" i="4" s="1"/>
  <c r="BK49" i="4"/>
  <c r="BL49" i="4" s="1"/>
  <c r="BK48" i="4"/>
  <c r="BL48" i="4" s="1"/>
  <c r="BK47" i="4"/>
  <c r="BL47" i="4" s="1"/>
  <c r="BK46" i="4"/>
  <c r="BL46" i="4" s="1"/>
  <c r="BK45" i="4"/>
  <c r="BL45" i="4" s="1"/>
  <c r="BK44" i="4"/>
  <c r="BL44" i="4" s="1"/>
  <c r="BK43" i="4"/>
  <c r="BL43" i="4" s="1"/>
  <c r="BK42" i="4"/>
  <c r="BL42" i="4" s="1"/>
  <c r="BK41" i="4"/>
  <c r="BL41" i="4" s="1"/>
  <c r="BK39" i="4"/>
  <c r="BK38" i="4"/>
  <c r="BK37" i="4"/>
  <c r="BK36" i="4"/>
  <c r="BK35" i="4"/>
  <c r="BK34" i="4"/>
  <c r="BK33" i="4"/>
  <c r="BK32" i="4"/>
  <c r="BK31" i="4"/>
  <c r="BK30" i="4"/>
  <c r="BK29" i="4"/>
  <c r="BK27" i="4"/>
  <c r="BK25" i="4"/>
  <c r="BK24" i="4"/>
  <c r="BK23" i="4"/>
  <c r="BK22" i="4"/>
  <c r="BK21" i="4"/>
  <c r="BK20" i="4"/>
  <c r="BK19" i="4"/>
  <c r="BK18" i="4"/>
  <c r="BK17" i="4"/>
  <c r="BK15" i="4"/>
  <c r="BK14" i="4"/>
  <c r="BK13" i="4"/>
  <c r="BK12" i="4"/>
  <c r="BK11" i="4"/>
  <c r="BK10" i="4"/>
  <c r="BK9" i="4"/>
  <c r="BK8" i="4"/>
  <c r="BK129" i="4"/>
  <c r="BL129" i="4" s="1"/>
  <c r="BK110" i="4"/>
  <c r="BK83" i="4"/>
  <c r="BK70" i="4"/>
  <c r="BK58" i="4"/>
  <c r="BK40" i="4"/>
  <c r="BL40" i="4" s="1"/>
  <c r="BK28" i="4"/>
  <c r="BK26" i="4"/>
  <c r="BT339" i="4"/>
  <c r="BT352" i="4"/>
  <c r="DY190" i="4"/>
  <c r="DW95" i="4"/>
  <c r="BG226" i="4"/>
  <c r="BC226" i="4"/>
  <c r="AW226" i="4"/>
  <c r="AP226" i="4"/>
  <c r="AM226" i="4"/>
  <c r="BG213" i="4"/>
  <c r="AW213" i="4"/>
  <c r="AX226" i="4"/>
  <c r="BJ2" i="4"/>
  <c r="AY2" i="4"/>
  <c r="AO213" i="4"/>
  <c r="BC227" i="4"/>
  <c r="BD210" i="4"/>
  <c r="AW227" i="4"/>
  <c r="BC210" i="4"/>
  <c r="AO227" i="4"/>
  <c r="AQ210" i="4"/>
  <c r="AZ227" i="4"/>
  <c r="BJ226" i="4"/>
  <c r="AU226" i="4"/>
  <c r="AP222" i="4"/>
  <c r="AR213" i="4"/>
  <c r="AV210" i="4"/>
  <c r="AV265" i="4"/>
  <c r="AY227" i="4"/>
  <c r="BI226" i="4"/>
  <c r="AR226" i="4"/>
  <c r="BJ213" i="4"/>
  <c r="AQ213" i="4"/>
  <c r="AU210" i="4"/>
  <c r="BA265" i="4"/>
  <c r="AP265" i="4"/>
  <c r="AX227" i="4"/>
  <c r="BH226" i="4"/>
  <c r="AQ226" i="4"/>
  <c r="BI213" i="4"/>
  <c r="AP213" i="4"/>
  <c r="AR210" i="4"/>
  <c r="BJ227" i="4"/>
  <c r="AV227" i="4"/>
  <c r="BD226" i="4"/>
  <c r="AO226" i="4"/>
  <c r="BE213" i="4"/>
  <c r="AM213" i="4"/>
  <c r="AP210" i="4"/>
  <c r="BJ210" i="4"/>
  <c r="BI227" i="4"/>
  <c r="AU227" i="4"/>
  <c r="BH227" i="4"/>
  <c r="AR227" i="4"/>
  <c r="BB226" i="4"/>
  <c r="AW223" i="4"/>
  <c r="BC213" i="4"/>
  <c r="BI210" i="4"/>
  <c r="AM210" i="4"/>
  <c r="AO210" i="4"/>
  <c r="BG227" i="4"/>
  <c r="AQ227" i="4"/>
  <c r="BA226" i="4"/>
  <c r="BI222" i="4"/>
  <c r="BB213" i="4"/>
  <c r="BG210" i="4"/>
  <c r="AY208" i="4"/>
  <c r="AM265" i="4"/>
  <c r="BD213" i="4"/>
  <c r="BD227" i="4"/>
  <c r="AP227" i="4"/>
  <c r="AY226" i="4"/>
  <c r="BG222" i="4"/>
  <c r="AX213" i="4"/>
  <c r="BE210" i="4"/>
  <c r="AW208" i="4"/>
  <c r="BD222" i="4"/>
  <c r="AX104" i="4"/>
  <c r="BB227" i="4"/>
  <c r="AU222" i="4"/>
  <c r="AV213" i="4"/>
  <c r="BE91" i="4"/>
  <c r="AN227" i="4"/>
  <c r="AX2" i="4"/>
  <c r="BA227" i="4"/>
  <c r="AM227" i="4"/>
  <c r="AV226" i="4"/>
  <c r="AR222" i="4"/>
  <c r="AU213" i="4"/>
  <c r="BB210" i="4"/>
  <c r="AP90" i="4"/>
  <c r="AQ118" i="4"/>
  <c r="BC118" i="4"/>
  <c r="AR118" i="4"/>
  <c r="BD118" i="4"/>
  <c r="AW118" i="4"/>
  <c r="BI118" i="4"/>
  <c r="AS118" i="4"/>
  <c r="BH118" i="4"/>
  <c r="AT118" i="4"/>
  <c r="BJ118" i="4"/>
  <c r="AZ118" i="4"/>
  <c r="AM118" i="4"/>
  <c r="BG118" i="4"/>
  <c r="AN118" i="4"/>
  <c r="AO118" i="4"/>
  <c r="AP118" i="4"/>
  <c r="AU118" i="4"/>
  <c r="AV118" i="4"/>
  <c r="AX118" i="4"/>
  <c r="AY118" i="4"/>
  <c r="BA118" i="4"/>
  <c r="BB118" i="4"/>
  <c r="BE118" i="4"/>
  <c r="AR192" i="4"/>
  <c r="AM192" i="4"/>
  <c r="AZ192" i="4"/>
  <c r="AT192" i="4"/>
  <c r="BF192" i="4"/>
  <c r="AS192" i="4"/>
  <c r="DY206" i="4" s="1"/>
  <c r="BH192" i="4"/>
  <c r="AV192" i="4"/>
  <c r="BJ192" i="4"/>
  <c r="AW192" i="4"/>
  <c r="AX192" i="4"/>
  <c r="AY192" i="4"/>
  <c r="BA192" i="4"/>
  <c r="BB192" i="4"/>
  <c r="AN192" i="4"/>
  <c r="BC192" i="4"/>
  <c r="AO192" i="4"/>
  <c r="BD192" i="4"/>
  <c r="AP192" i="4"/>
  <c r="BE192" i="4"/>
  <c r="AO231" i="4"/>
  <c r="AO229" i="4"/>
  <c r="AM221" i="4"/>
  <c r="BB218" i="4"/>
  <c r="BD212" i="4"/>
  <c r="AU192" i="4"/>
  <c r="AN194" i="4"/>
  <c r="AZ194" i="4"/>
  <c r="AT194" i="4"/>
  <c r="BF194" i="4"/>
  <c r="AO194" i="4"/>
  <c r="BC194" i="4"/>
  <c r="AQ194" i="4"/>
  <c r="BE194" i="4"/>
  <c r="AR194" i="4"/>
  <c r="BG194" i="4"/>
  <c r="AS194" i="4"/>
  <c r="BH194" i="4"/>
  <c r="AU194" i="4"/>
  <c r="BI194" i="4"/>
  <c r="AV194" i="4"/>
  <c r="BJ194" i="4"/>
  <c r="AW194" i="4"/>
  <c r="AX194" i="4"/>
  <c r="AY194" i="4"/>
  <c r="BA194" i="4"/>
  <c r="AQ93" i="4"/>
  <c r="BC93" i="4"/>
  <c r="AR93" i="4"/>
  <c r="BD93" i="4"/>
  <c r="AW93" i="4"/>
  <c r="BI93" i="4"/>
  <c r="AM93" i="4"/>
  <c r="BB93" i="4"/>
  <c r="AP93" i="4"/>
  <c r="BG93" i="4"/>
  <c r="AS93" i="4"/>
  <c r="BH93" i="4"/>
  <c r="AT93" i="4"/>
  <c r="BJ93" i="4"/>
  <c r="AU93" i="4"/>
  <c r="AX93" i="4"/>
  <c r="AZ93" i="4"/>
  <c r="AY93" i="4"/>
  <c r="BA93" i="4"/>
  <c r="BE93" i="4"/>
  <c r="BF93" i="4"/>
  <c r="AN93" i="4"/>
  <c r="AO93" i="4"/>
  <c r="AN193" i="4"/>
  <c r="AZ193" i="4"/>
  <c r="AT193" i="4"/>
  <c r="BF193" i="4"/>
  <c r="AX193" i="4"/>
  <c r="BA193" i="4"/>
  <c r="AM193" i="4"/>
  <c r="BB193" i="4"/>
  <c r="AO193" i="4"/>
  <c r="DY168" i="4" s="1"/>
  <c r="BC193" i="4"/>
  <c r="AP193" i="4"/>
  <c r="BD193" i="4"/>
  <c r="BG193" i="4"/>
  <c r="AQ193" i="4"/>
  <c r="BE193" i="4"/>
  <c r="AR193" i="4"/>
  <c r="AS193" i="4"/>
  <c r="BH193" i="4"/>
  <c r="AU193" i="4"/>
  <c r="BI193" i="4"/>
  <c r="AV193" i="4"/>
  <c r="BJ193" i="4"/>
  <c r="AW273" i="4"/>
  <c r="AY272" i="4"/>
  <c r="AM231" i="4"/>
  <c r="AM229" i="4"/>
  <c r="BI220" i="4"/>
  <c r="AY218" i="4"/>
  <c r="BB212" i="4"/>
  <c r="AQ192" i="4"/>
  <c r="AN195" i="4"/>
  <c r="AZ195" i="4"/>
  <c r="AT195" i="4"/>
  <c r="BF195" i="4"/>
  <c r="AS195" i="4"/>
  <c r="BH195" i="4"/>
  <c r="AV195" i="4"/>
  <c r="BJ195" i="4"/>
  <c r="AW195" i="4"/>
  <c r="AX195" i="4"/>
  <c r="AY195" i="4"/>
  <c r="BA195" i="4"/>
  <c r="BB195" i="4"/>
  <c r="AM195" i="4"/>
  <c r="AO195" i="4"/>
  <c r="DY50" i="4" s="1"/>
  <c r="BC195" i="4"/>
  <c r="AP195" i="4"/>
  <c r="BD195" i="4"/>
  <c r="AQ195" i="4"/>
  <c r="BE195" i="4"/>
  <c r="AX273" i="4"/>
  <c r="BA272" i="4"/>
  <c r="BI195" i="4"/>
  <c r="AN196" i="4"/>
  <c r="AZ196" i="4"/>
  <c r="AT196" i="4"/>
  <c r="DY138" i="4" s="1"/>
  <c r="BF196" i="4"/>
  <c r="AX196" i="4"/>
  <c r="BA196" i="4"/>
  <c r="AM196" i="4"/>
  <c r="BB196" i="4"/>
  <c r="AO196" i="4"/>
  <c r="BC196" i="4"/>
  <c r="AP196" i="4"/>
  <c r="BD196" i="4"/>
  <c r="AR196" i="4"/>
  <c r="AQ196" i="4"/>
  <c r="BE196" i="4"/>
  <c r="BG196" i="4"/>
  <c r="AS196" i="4"/>
  <c r="BH196" i="4"/>
  <c r="AU196" i="4"/>
  <c r="BI196" i="4"/>
  <c r="AV196" i="4"/>
  <c r="BJ196" i="4"/>
  <c r="AN230" i="4"/>
  <c r="AZ230" i="4"/>
  <c r="AP230" i="4"/>
  <c r="BB230" i="4"/>
  <c r="AQ230" i="4"/>
  <c r="BC230" i="4"/>
  <c r="AR230" i="4"/>
  <c r="BD230" i="4"/>
  <c r="AS230" i="4"/>
  <c r="BE230" i="4"/>
  <c r="BG230" i="4"/>
  <c r="AT230" i="4"/>
  <c r="BF230" i="4"/>
  <c r="AV230" i="4"/>
  <c r="AU230" i="4"/>
  <c r="BH230" i="4"/>
  <c r="AX230" i="4"/>
  <c r="BJ230" i="4"/>
  <c r="AQ117" i="4"/>
  <c r="BC117" i="4"/>
  <c r="AR117" i="4"/>
  <c r="BD117" i="4"/>
  <c r="AW117" i="4"/>
  <c r="BI117" i="4"/>
  <c r="AZ117" i="4"/>
  <c r="BA117" i="4"/>
  <c r="AS117" i="4"/>
  <c r="BH117" i="4"/>
  <c r="AO117" i="4"/>
  <c r="AP117" i="4"/>
  <c r="AT117" i="4"/>
  <c r="AU117" i="4"/>
  <c r="AV117" i="4"/>
  <c r="AX117" i="4"/>
  <c r="AY117" i="4"/>
  <c r="BB117" i="4"/>
  <c r="BE117" i="4"/>
  <c r="BF117" i="4"/>
  <c r="AM117" i="4"/>
  <c r="BG117" i="4"/>
  <c r="AN197" i="4"/>
  <c r="AZ197" i="4"/>
  <c r="AT197" i="4"/>
  <c r="BF197" i="4"/>
  <c r="AO197" i="4"/>
  <c r="BC197" i="4"/>
  <c r="AQ197" i="4"/>
  <c r="BE197" i="4"/>
  <c r="AR197" i="4"/>
  <c r="BG197" i="4"/>
  <c r="AS197" i="4"/>
  <c r="BH197" i="4"/>
  <c r="AU197" i="4"/>
  <c r="BI197" i="4"/>
  <c r="AW197" i="4"/>
  <c r="AV197" i="4"/>
  <c r="BJ197" i="4"/>
  <c r="AX197" i="4"/>
  <c r="AY197" i="4"/>
  <c r="BA197" i="4"/>
  <c r="AN217" i="4"/>
  <c r="AZ217" i="4"/>
  <c r="AT217" i="4"/>
  <c r="BF217" i="4"/>
  <c r="AX217" i="4"/>
  <c r="BA217" i="4"/>
  <c r="AM217" i="4"/>
  <c r="BB217" i="4"/>
  <c r="AO217" i="4"/>
  <c r="BC217" i="4"/>
  <c r="AP217" i="4"/>
  <c r="BD217" i="4"/>
  <c r="AQ217" i="4"/>
  <c r="BE217" i="4"/>
  <c r="AR217" i="4"/>
  <c r="BG217" i="4"/>
  <c r="AS217" i="4"/>
  <c r="BH217" i="4"/>
  <c r="AV217" i="4"/>
  <c r="BJ217" i="4"/>
  <c r="AN265" i="4"/>
  <c r="AZ265" i="4"/>
  <c r="AQ265" i="4"/>
  <c r="BC265" i="4"/>
  <c r="AR265" i="4"/>
  <c r="BD265" i="4"/>
  <c r="AS265" i="4"/>
  <c r="BE265" i="4"/>
  <c r="AT265" i="4"/>
  <c r="BF265" i="4"/>
  <c r="AU265" i="4"/>
  <c r="BG265" i="4"/>
  <c r="AX265" i="4"/>
  <c r="BJ265" i="4"/>
  <c r="AM52" i="4"/>
  <c r="AY52" i="4"/>
  <c r="AQ52" i="4"/>
  <c r="BC52" i="4"/>
  <c r="AR52" i="4"/>
  <c r="BD52" i="4"/>
  <c r="AU52" i="4"/>
  <c r="BG52" i="4"/>
  <c r="AW52" i="4"/>
  <c r="BI52" i="4"/>
  <c r="AN52" i="4"/>
  <c r="BH52" i="4"/>
  <c r="AO52" i="4"/>
  <c r="BJ52" i="4"/>
  <c r="AP52" i="4"/>
  <c r="AS52" i="4"/>
  <c r="AT52" i="4"/>
  <c r="AV52" i="4"/>
  <c r="AX52" i="4"/>
  <c r="AZ52" i="4"/>
  <c r="BA52" i="4"/>
  <c r="BB52" i="4"/>
  <c r="BE52" i="4"/>
  <c r="BF52" i="4"/>
  <c r="AQ116" i="4"/>
  <c r="BC116" i="4"/>
  <c r="AR116" i="4"/>
  <c r="BD116" i="4"/>
  <c r="AW116" i="4"/>
  <c r="BI116" i="4"/>
  <c r="AS116" i="4"/>
  <c r="BH116" i="4"/>
  <c r="AT116" i="4"/>
  <c r="BJ116" i="4"/>
  <c r="AZ116" i="4"/>
  <c r="AP116" i="4"/>
  <c r="AU116" i="4"/>
  <c r="AV116" i="4"/>
  <c r="AX116" i="4"/>
  <c r="AY116" i="4"/>
  <c r="BA116" i="4"/>
  <c r="BB116" i="4"/>
  <c r="BE116" i="4"/>
  <c r="BF116" i="4"/>
  <c r="AM116" i="4"/>
  <c r="BG116" i="4"/>
  <c r="AN116" i="4"/>
  <c r="AQ106" i="4"/>
  <c r="BC106" i="4"/>
  <c r="AR106" i="4"/>
  <c r="BD106" i="4"/>
  <c r="AW106" i="4"/>
  <c r="BI106" i="4"/>
  <c r="AU106" i="4"/>
  <c r="AY106" i="4"/>
  <c r="AZ106" i="4"/>
  <c r="BA106" i="4"/>
  <c r="AM106" i="4"/>
  <c r="BB106" i="4"/>
  <c r="AS106" i="4"/>
  <c r="BH106" i="4"/>
  <c r="AO106" i="4"/>
  <c r="AP106" i="4"/>
  <c r="AT106" i="4"/>
  <c r="AV106" i="4"/>
  <c r="AX106" i="4"/>
  <c r="BE106" i="4"/>
  <c r="BF106" i="4"/>
  <c r="BG106" i="4"/>
  <c r="BJ106" i="4"/>
  <c r="AV273" i="4"/>
  <c r="AX272" i="4"/>
  <c r="AW265" i="4"/>
  <c r="BI230" i="4"/>
  <c r="BI228" i="4"/>
  <c r="AY220" i="4"/>
  <c r="AP218" i="4"/>
  <c r="AP212" i="4"/>
  <c r="BI207" i="4"/>
  <c r="AU195" i="4"/>
  <c r="BB191" i="4"/>
  <c r="AR273" i="4"/>
  <c r="AW272" i="4"/>
  <c r="BA230" i="4"/>
  <c r="AW220" i="4"/>
  <c r="BG207" i="4"/>
  <c r="AR195" i="4"/>
  <c r="AZ191" i="4"/>
  <c r="AN106" i="4"/>
  <c r="AN228" i="4"/>
  <c r="AZ228" i="4"/>
  <c r="AP228" i="4"/>
  <c r="BB228" i="4"/>
  <c r="AQ228" i="4"/>
  <c r="BC228" i="4"/>
  <c r="AR228" i="4"/>
  <c r="BD228" i="4"/>
  <c r="AS228" i="4"/>
  <c r="BE228" i="4"/>
  <c r="AT228" i="4"/>
  <c r="BF228" i="4"/>
  <c r="AV228" i="4"/>
  <c r="AU228" i="4"/>
  <c r="BG228" i="4"/>
  <c r="BH228" i="4"/>
  <c r="AX228" i="4"/>
  <c r="BJ228" i="4"/>
  <c r="AQ76" i="4"/>
  <c r="BC76" i="4"/>
  <c r="AR76" i="4"/>
  <c r="BD76" i="4"/>
  <c r="AW76" i="4"/>
  <c r="BI76" i="4"/>
  <c r="AM76" i="4"/>
  <c r="BB76" i="4"/>
  <c r="AP76" i="4"/>
  <c r="BG76" i="4"/>
  <c r="AS76" i="4"/>
  <c r="BH76" i="4"/>
  <c r="AT76" i="4"/>
  <c r="BJ76" i="4"/>
  <c r="AU76" i="4"/>
  <c r="AX76" i="4"/>
  <c r="AZ76" i="4"/>
  <c r="AY76" i="4"/>
  <c r="BA76" i="4"/>
  <c r="BE76" i="4"/>
  <c r="BF76" i="4"/>
  <c r="AN76" i="4"/>
  <c r="AO76" i="4"/>
  <c r="AP273" i="4"/>
  <c r="AY230" i="4"/>
  <c r="AY228" i="4"/>
  <c r="BI217" i="4"/>
  <c r="AY211" i="4"/>
  <c r="AU207" i="4"/>
  <c r="BD194" i="4"/>
  <c r="AM56" i="4"/>
  <c r="AY56" i="4"/>
  <c r="AQ56" i="4"/>
  <c r="BC56" i="4"/>
  <c r="AR56" i="4"/>
  <c r="BD56" i="4"/>
  <c r="AU56" i="4"/>
  <c r="BG56" i="4"/>
  <c r="AW56" i="4"/>
  <c r="BI56" i="4"/>
  <c r="AT56" i="4"/>
  <c r="AV56" i="4"/>
  <c r="AX56" i="4"/>
  <c r="AZ56" i="4"/>
  <c r="BA56" i="4"/>
  <c r="BB56" i="4"/>
  <c r="BE56" i="4"/>
  <c r="BF56" i="4"/>
  <c r="AN56" i="4"/>
  <c r="BH56" i="4"/>
  <c r="AO56" i="4"/>
  <c r="BJ56" i="4"/>
  <c r="AP56" i="4"/>
  <c r="AS56" i="4"/>
  <c r="AN220" i="4"/>
  <c r="AZ220" i="4"/>
  <c r="AT220" i="4"/>
  <c r="BF220" i="4"/>
  <c r="AX220" i="4"/>
  <c r="BA220" i="4"/>
  <c r="AM220" i="4"/>
  <c r="BB220" i="4"/>
  <c r="AO220" i="4"/>
  <c r="BC220" i="4"/>
  <c r="AP220" i="4"/>
  <c r="BD220" i="4"/>
  <c r="AQ220" i="4"/>
  <c r="BE220" i="4"/>
  <c r="BG220" i="4"/>
  <c r="AR220" i="4"/>
  <c r="AS220" i="4"/>
  <c r="BH220" i="4"/>
  <c r="AV220" i="4"/>
  <c r="BJ220" i="4"/>
  <c r="AM55" i="4"/>
  <c r="AY55" i="4"/>
  <c r="AQ55" i="4"/>
  <c r="BC55" i="4"/>
  <c r="AR55" i="4"/>
  <c r="BD55" i="4"/>
  <c r="AU55" i="4"/>
  <c r="BG55" i="4"/>
  <c r="AW55" i="4"/>
  <c r="BI55" i="4"/>
  <c r="AX55" i="4"/>
  <c r="AZ55" i="4"/>
  <c r="BA55" i="4"/>
  <c r="BB55" i="4"/>
  <c r="BE55" i="4"/>
  <c r="BF55" i="4"/>
  <c r="AN55" i="4"/>
  <c r="BH55" i="4"/>
  <c r="AO55" i="4"/>
  <c r="BJ55" i="4"/>
  <c r="AP55" i="4"/>
  <c r="AS55" i="4"/>
  <c r="AT55" i="4"/>
  <c r="AV55" i="4"/>
  <c r="AQ86" i="4"/>
  <c r="BC86" i="4"/>
  <c r="AR86" i="4"/>
  <c r="BD86" i="4"/>
  <c r="AW86" i="4"/>
  <c r="BI86" i="4"/>
  <c r="AU86" i="4"/>
  <c r="AY86" i="4"/>
  <c r="AZ86" i="4"/>
  <c r="BA86" i="4"/>
  <c r="AM86" i="4"/>
  <c r="BB86" i="4"/>
  <c r="AO86" i="4"/>
  <c r="BF86" i="4"/>
  <c r="AS86" i="4"/>
  <c r="BH86" i="4"/>
  <c r="AN86" i="4"/>
  <c r="AP86" i="4"/>
  <c r="AT86" i="4"/>
  <c r="AV86" i="4"/>
  <c r="AX86" i="4"/>
  <c r="BE86" i="4"/>
  <c r="BG86" i="4"/>
  <c r="AQ112" i="4"/>
  <c r="BC112" i="4"/>
  <c r="AR112" i="4"/>
  <c r="BD112" i="4"/>
  <c r="AW112" i="4"/>
  <c r="BI112" i="4"/>
  <c r="AS112" i="4"/>
  <c r="BH112" i="4"/>
  <c r="AT112" i="4"/>
  <c r="BJ112" i="4"/>
  <c r="AZ112" i="4"/>
  <c r="BB112" i="4"/>
  <c r="BE112" i="4"/>
  <c r="BF112" i="4"/>
  <c r="AM112" i="4"/>
  <c r="BG112" i="4"/>
  <c r="AN112" i="4"/>
  <c r="AO112" i="4"/>
  <c r="AP112" i="4"/>
  <c r="AU112" i="4"/>
  <c r="AV112" i="4"/>
  <c r="AX112" i="4"/>
  <c r="AY112" i="4"/>
  <c r="BJ273" i="4"/>
  <c r="AO273" i="4"/>
  <c r="AR272" i="4"/>
  <c r="AO265" i="4"/>
  <c r="AW230" i="4"/>
  <c r="AW228" i="4"/>
  <c r="BI219" i="4"/>
  <c r="AY217" i="4"/>
  <c r="BB194" i="4"/>
  <c r="BF118" i="4"/>
  <c r="AN218" i="4"/>
  <c r="AZ218" i="4"/>
  <c r="AT218" i="4"/>
  <c r="BF218" i="4"/>
  <c r="AO218" i="4"/>
  <c r="BC218" i="4"/>
  <c r="AQ218" i="4"/>
  <c r="BE218" i="4"/>
  <c r="AR218" i="4"/>
  <c r="BG218" i="4"/>
  <c r="AS218" i="4"/>
  <c r="BH218" i="4"/>
  <c r="AU218" i="4"/>
  <c r="BI218" i="4"/>
  <c r="AV218" i="4"/>
  <c r="BJ218" i="4"/>
  <c r="AW218" i="4"/>
  <c r="AX218" i="4"/>
  <c r="BA218" i="4"/>
  <c r="AM54" i="4"/>
  <c r="AY54" i="4"/>
  <c r="AQ54" i="4"/>
  <c r="BC54" i="4"/>
  <c r="AR54" i="4"/>
  <c r="BD54" i="4"/>
  <c r="AU54" i="4"/>
  <c r="BG54" i="4"/>
  <c r="AW54" i="4"/>
  <c r="BI54" i="4"/>
  <c r="BA54" i="4"/>
  <c r="BB54" i="4"/>
  <c r="BE54" i="4"/>
  <c r="BF54" i="4"/>
  <c r="AN54" i="4"/>
  <c r="BH54" i="4"/>
  <c r="AO54" i="4"/>
  <c r="BJ54" i="4"/>
  <c r="AP54" i="4"/>
  <c r="AS54" i="4"/>
  <c r="AT54" i="4"/>
  <c r="AV54" i="4"/>
  <c r="AX54" i="4"/>
  <c r="AZ54" i="4"/>
  <c r="BI273" i="4"/>
  <c r="AO230" i="4"/>
  <c r="AO228" i="4"/>
  <c r="BG219" i="4"/>
  <c r="AW217" i="4"/>
  <c r="BD197" i="4"/>
  <c r="AP194" i="4"/>
  <c r="BJ117" i="4"/>
  <c r="AV93" i="4"/>
  <c r="AM57" i="4"/>
  <c r="AY57" i="4"/>
  <c r="AQ57" i="4"/>
  <c r="BC57" i="4"/>
  <c r="AR57" i="4"/>
  <c r="BD57" i="4"/>
  <c r="AU57" i="4"/>
  <c r="BG57" i="4"/>
  <c r="AW57" i="4"/>
  <c r="BI57" i="4"/>
  <c r="AP57" i="4"/>
  <c r="AS57" i="4"/>
  <c r="AT57" i="4"/>
  <c r="AV57" i="4"/>
  <c r="AX57" i="4"/>
  <c r="AZ57" i="4"/>
  <c r="BA57" i="4"/>
  <c r="BB57" i="4"/>
  <c r="BE57" i="4"/>
  <c r="BF57" i="4"/>
  <c r="AN57" i="4"/>
  <c r="DY130" i="4" s="1"/>
  <c r="BH57" i="4"/>
  <c r="AO57" i="4"/>
  <c r="BJ57" i="4"/>
  <c r="AV272" i="4"/>
  <c r="AM7" i="4"/>
  <c r="AY7" i="4"/>
  <c r="AN7" i="4"/>
  <c r="AZ7" i="4"/>
  <c r="AO7" i="4"/>
  <c r="BA7" i="4"/>
  <c r="AP7" i="4"/>
  <c r="BB7" i="4"/>
  <c r="AQ7" i="4"/>
  <c r="BC7" i="4"/>
  <c r="AR7" i="4"/>
  <c r="BD7" i="4"/>
  <c r="AS7" i="4"/>
  <c r="BE7" i="4"/>
  <c r="AT7" i="4"/>
  <c r="BF7" i="4"/>
  <c r="AU7" i="4"/>
  <c r="BG7" i="4"/>
  <c r="AV7" i="4"/>
  <c r="BH7" i="4"/>
  <c r="AW7" i="4"/>
  <c r="BI7" i="4"/>
  <c r="AX7" i="4"/>
  <c r="BJ7" i="4"/>
  <c r="AM273" i="4"/>
  <c r="AP272" i="4"/>
  <c r="AN209" i="4"/>
  <c r="AZ209" i="4"/>
  <c r="AT209" i="4"/>
  <c r="BF209" i="4"/>
  <c r="AO209" i="4"/>
  <c r="BC209" i="4"/>
  <c r="AQ209" i="4"/>
  <c r="BE209" i="4"/>
  <c r="AR209" i="4"/>
  <c r="BG209" i="4"/>
  <c r="AS209" i="4"/>
  <c r="BH209" i="4"/>
  <c r="AU209" i="4"/>
  <c r="BI209" i="4"/>
  <c r="AW209" i="4"/>
  <c r="AV209" i="4"/>
  <c r="BJ209" i="4"/>
  <c r="AX209" i="4"/>
  <c r="AY209" i="4"/>
  <c r="BA209" i="4"/>
  <c r="AN223" i="4"/>
  <c r="AZ223" i="4"/>
  <c r="AT223" i="4"/>
  <c r="BF223" i="4"/>
  <c r="AX223" i="4"/>
  <c r="BA223" i="4"/>
  <c r="AM223" i="4"/>
  <c r="DY69" i="4" s="1"/>
  <c r="BB223" i="4"/>
  <c r="AO223" i="4"/>
  <c r="BC223" i="4"/>
  <c r="AP223" i="4"/>
  <c r="BD223" i="4"/>
  <c r="BG223" i="4"/>
  <c r="AQ223" i="4"/>
  <c r="BE223" i="4"/>
  <c r="AR223" i="4"/>
  <c r="AS223" i="4"/>
  <c r="BH223" i="4"/>
  <c r="AV223" i="4"/>
  <c r="BJ223" i="4"/>
  <c r="AM6" i="4"/>
  <c r="AY6" i="4"/>
  <c r="AN6" i="4"/>
  <c r="AZ6" i="4"/>
  <c r="AO6" i="4"/>
  <c r="BA6" i="4"/>
  <c r="AP6" i="4"/>
  <c r="BB6" i="4"/>
  <c r="AQ6" i="4"/>
  <c r="DY198" i="4" s="1"/>
  <c r="BC6" i="4"/>
  <c r="AR6" i="4"/>
  <c r="BD6" i="4"/>
  <c r="AS6" i="4"/>
  <c r="BE6" i="4"/>
  <c r="AT6" i="4"/>
  <c r="BF6" i="4"/>
  <c r="AU6" i="4"/>
  <c r="BG6" i="4"/>
  <c r="AV6" i="4"/>
  <c r="BH6" i="4"/>
  <c r="AW6" i="4"/>
  <c r="BI6" i="4"/>
  <c r="AX6" i="4"/>
  <c r="BJ6" i="4"/>
  <c r="AM53" i="4"/>
  <c r="AY53" i="4"/>
  <c r="AQ53" i="4"/>
  <c r="BC53" i="4"/>
  <c r="AR53" i="4"/>
  <c r="BD53" i="4"/>
  <c r="AU53" i="4"/>
  <c r="BG53" i="4"/>
  <c r="AW53" i="4"/>
  <c r="BI53" i="4"/>
  <c r="BE53" i="4"/>
  <c r="BF53" i="4"/>
  <c r="AN53" i="4"/>
  <c r="BH53" i="4"/>
  <c r="AO53" i="4"/>
  <c r="BJ53" i="4"/>
  <c r="AP53" i="4"/>
  <c r="AS53" i="4"/>
  <c r="AT53" i="4"/>
  <c r="AV53" i="4"/>
  <c r="AX53" i="4"/>
  <c r="AZ53" i="4"/>
  <c r="BA53" i="4"/>
  <c r="BB53" i="4"/>
  <c r="AQ88" i="4"/>
  <c r="BC88" i="4"/>
  <c r="AR88" i="4"/>
  <c r="BD88" i="4"/>
  <c r="AW88" i="4"/>
  <c r="BI88" i="4"/>
  <c r="AU88" i="4"/>
  <c r="AY88" i="4"/>
  <c r="AZ88" i="4"/>
  <c r="BA88" i="4"/>
  <c r="AM88" i="4"/>
  <c r="BB88" i="4"/>
  <c r="AO88" i="4"/>
  <c r="BF88" i="4"/>
  <c r="AS88" i="4"/>
  <c r="BH88" i="4"/>
  <c r="BE88" i="4"/>
  <c r="BG88" i="4"/>
  <c r="BJ88" i="4"/>
  <c r="AN88" i="4"/>
  <c r="AP88" i="4"/>
  <c r="AT88" i="4"/>
  <c r="AV88" i="4"/>
  <c r="AQ113" i="4"/>
  <c r="BC113" i="4"/>
  <c r="AR113" i="4"/>
  <c r="BD113" i="4"/>
  <c r="AW113" i="4"/>
  <c r="BI113" i="4"/>
  <c r="AZ113" i="4"/>
  <c r="BA113" i="4"/>
  <c r="AS113" i="4"/>
  <c r="BH113" i="4"/>
  <c r="AY113" i="4"/>
  <c r="BB113" i="4"/>
  <c r="BE113" i="4"/>
  <c r="BF113" i="4"/>
  <c r="AM113" i="4"/>
  <c r="BG113" i="4"/>
  <c r="AN113" i="4"/>
  <c r="BJ113" i="4"/>
  <c r="AO113" i="4"/>
  <c r="AP113" i="4"/>
  <c r="AT113" i="4"/>
  <c r="AU113" i="4"/>
  <c r="AV113" i="4"/>
  <c r="BH273" i="4"/>
  <c r="BJ272" i="4"/>
  <c r="AO272" i="4"/>
  <c r="AM230" i="4"/>
  <c r="AM228" i="4"/>
  <c r="AU217" i="4"/>
  <c r="BB197" i="4"/>
  <c r="AM194" i="4"/>
  <c r="AN117" i="4"/>
  <c r="AN211" i="4"/>
  <c r="AZ211" i="4"/>
  <c r="AT211" i="4"/>
  <c r="BF211" i="4"/>
  <c r="AX211" i="4"/>
  <c r="BA211" i="4"/>
  <c r="AM211" i="4"/>
  <c r="DY270" i="4" s="1"/>
  <c r="BB211" i="4"/>
  <c r="AO211" i="4"/>
  <c r="BC211" i="4"/>
  <c r="AP211" i="4"/>
  <c r="BD211" i="4"/>
  <c r="AQ211" i="4"/>
  <c r="BE211" i="4"/>
  <c r="AR211" i="4"/>
  <c r="BG211" i="4"/>
  <c r="AS211" i="4"/>
  <c r="BH211" i="4"/>
  <c r="AU211" i="4"/>
  <c r="BI211" i="4"/>
  <c r="AV211" i="4"/>
  <c r="BJ211" i="4"/>
  <c r="AN231" i="4"/>
  <c r="AZ231" i="4"/>
  <c r="AP231" i="4"/>
  <c r="BB231" i="4"/>
  <c r="AQ231" i="4"/>
  <c r="BC231" i="4"/>
  <c r="AR231" i="4"/>
  <c r="BD231" i="4"/>
  <c r="AS231" i="4"/>
  <c r="BE231" i="4"/>
  <c r="AT231" i="4"/>
  <c r="BF231" i="4"/>
  <c r="AU231" i="4"/>
  <c r="BG231" i="4"/>
  <c r="AV231" i="4"/>
  <c r="AX231" i="4"/>
  <c r="BJ231" i="4"/>
  <c r="AN219" i="4"/>
  <c r="AZ219" i="4"/>
  <c r="AT219" i="4"/>
  <c r="BF219" i="4"/>
  <c r="AS219" i="4"/>
  <c r="BH219" i="4"/>
  <c r="AV219" i="4"/>
  <c r="BJ219" i="4"/>
  <c r="AW219" i="4"/>
  <c r="AX219" i="4"/>
  <c r="AY219" i="4"/>
  <c r="BB219" i="4"/>
  <c r="BA219" i="4"/>
  <c r="AM219" i="4"/>
  <c r="AO219" i="4"/>
  <c r="BC219" i="4"/>
  <c r="AQ219" i="4"/>
  <c r="BE219" i="4"/>
  <c r="AN207" i="4"/>
  <c r="AZ207" i="4"/>
  <c r="AT207" i="4"/>
  <c r="BF207" i="4"/>
  <c r="AS207" i="4"/>
  <c r="BH207" i="4"/>
  <c r="AV207" i="4"/>
  <c r="BJ207" i="4"/>
  <c r="AW207" i="4"/>
  <c r="AX207" i="4"/>
  <c r="AY207" i="4"/>
  <c r="AM207" i="4"/>
  <c r="BA207" i="4"/>
  <c r="BB207" i="4"/>
  <c r="AO207" i="4"/>
  <c r="BC207" i="4"/>
  <c r="AP207" i="4"/>
  <c r="BD207" i="4"/>
  <c r="AQ207" i="4"/>
  <c r="BE207" i="4"/>
  <c r="AQ87" i="4"/>
  <c r="BC87" i="4"/>
  <c r="AR87" i="4"/>
  <c r="BD87" i="4"/>
  <c r="AW87" i="4"/>
  <c r="BI87" i="4"/>
  <c r="AM87" i="4"/>
  <c r="BB87" i="4"/>
  <c r="AP87" i="4"/>
  <c r="BG87" i="4"/>
  <c r="AS87" i="4"/>
  <c r="BH87" i="4"/>
  <c r="AT87" i="4"/>
  <c r="BJ87" i="4"/>
  <c r="AU87" i="4"/>
  <c r="AX87" i="4"/>
  <c r="AZ87" i="4"/>
  <c r="AN87" i="4"/>
  <c r="AO87" i="4"/>
  <c r="AV87" i="4"/>
  <c r="AY87" i="4"/>
  <c r="BA87" i="4"/>
  <c r="BE87" i="4"/>
  <c r="BF87" i="4"/>
  <c r="BI272" i="4"/>
  <c r="AM272" i="4"/>
  <c r="BH231" i="4"/>
  <c r="BI229" i="4"/>
  <c r="BD221" i="4"/>
  <c r="AU219" i="4"/>
  <c r="BD209" i="4"/>
  <c r="AP197" i="4"/>
  <c r="AY193" i="4"/>
  <c r="AO116" i="4"/>
  <c r="AQ108" i="4"/>
  <c r="BC108" i="4"/>
  <c r="AR108" i="4"/>
  <c r="BD108" i="4"/>
  <c r="AW108" i="4"/>
  <c r="BI108" i="4"/>
  <c r="AU108" i="4"/>
  <c r="AY108" i="4"/>
  <c r="AZ108" i="4"/>
  <c r="BA108" i="4"/>
  <c r="AM108" i="4"/>
  <c r="BB108" i="4"/>
  <c r="AS108" i="4"/>
  <c r="BH108" i="4"/>
  <c r="BF108" i="4"/>
  <c r="BG108" i="4"/>
  <c r="BJ108" i="4"/>
  <c r="AN108" i="4"/>
  <c r="AO108" i="4"/>
  <c r="AP108" i="4"/>
  <c r="AT108" i="4"/>
  <c r="AV108" i="4"/>
  <c r="AX108" i="4"/>
  <c r="AN273" i="4"/>
  <c r="AZ273" i="4"/>
  <c r="AQ273" i="4"/>
  <c r="BC273" i="4"/>
  <c r="AS273" i="4"/>
  <c r="BE273" i="4"/>
  <c r="AT273" i="4"/>
  <c r="BF273" i="4"/>
  <c r="BG273" i="4"/>
  <c r="AU273" i="4"/>
  <c r="AQ114" i="4"/>
  <c r="BC114" i="4"/>
  <c r="AR114" i="4"/>
  <c r="BD114" i="4"/>
  <c r="AW114" i="4"/>
  <c r="BI114" i="4"/>
  <c r="AS114" i="4"/>
  <c r="BH114" i="4"/>
  <c r="AT114" i="4"/>
  <c r="BJ114" i="4"/>
  <c r="AZ114" i="4"/>
  <c r="AX114" i="4"/>
  <c r="AY114" i="4"/>
  <c r="BA114" i="4"/>
  <c r="BB114" i="4"/>
  <c r="BE114" i="4"/>
  <c r="BF114" i="4"/>
  <c r="AM114" i="4"/>
  <c r="BG114" i="4"/>
  <c r="AN114" i="4"/>
  <c r="AO114" i="4"/>
  <c r="AP114" i="4"/>
  <c r="AU114" i="4"/>
  <c r="BB273" i="4"/>
  <c r="BH272" i="4"/>
  <c r="BI265" i="4"/>
  <c r="BA231" i="4"/>
  <c r="BA229" i="4"/>
  <c r="AR219" i="4"/>
  <c r="BB209" i="4"/>
  <c r="AM197" i="4"/>
  <c r="DY139" i="4" s="1"/>
  <c r="AW193" i="4"/>
  <c r="AX88" i="4"/>
  <c r="AQ94" i="4"/>
  <c r="BC94" i="4"/>
  <c r="AR94" i="4"/>
  <c r="BD94" i="4"/>
  <c r="AW94" i="4"/>
  <c r="BI94" i="4"/>
  <c r="AU94" i="4"/>
  <c r="AY94" i="4"/>
  <c r="AZ94" i="4"/>
  <c r="BA94" i="4"/>
  <c r="AM94" i="4"/>
  <c r="BB94" i="4"/>
  <c r="AO94" i="4"/>
  <c r="BF94" i="4"/>
  <c r="AS94" i="4"/>
  <c r="BH94" i="4"/>
  <c r="AN94" i="4"/>
  <c r="AP94" i="4"/>
  <c r="AT94" i="4"/>
  <c r="DY95" i="4" s="1"/>
  <c r="AV94" i="4"/>
  <c r="AX94" i="4"/>
  <c r="BE94" i="4"/>
  <c r="BG94" i="4"/>
  <c r="AQ107" i="4"/>
  <c r="BC107" i="4"/>
  <c r="AR107" i="4"/>
  <c r="BD107" i="4"/>
  <c r="AW107" i="4"/>
  <c r="BI107" i="4"/>
  <c r="AM107" i="4"/>
  <c r="BB107" i="4"/>
  <c r="AP107" i="4"/>
  <c r="BG107" i="4"/>
  <c r="AS107" i="4"/>
  <c r="BH107" i="4"/>
  <c r="AT107" i="4"/>
  <c r="BJ107" i="4"/>
  <c r="AU107" i="4"/>
  <c r="AZ107" i="4"/>
  <c r="AX107" i="4"/>
  <c r="AY107" i="4"/>
  <c r="BA107" i="4"/>
  <c r="BE107" i="4"/>
  <c r="BF107" i="4"/>
  <c r="AN107" i="4"/>
  <c r="AO107" i="4"/>
  <c r="AN221" i="4"/>
  <c r="AZ221" i="4"/>
  <c r="AT221" i="4"/>
  <c r="BF221" i="4"/>
  <c r="AO221" i="4"/>
  <c r="BC221" i="4"/>
  <c r="AQ221" i="4"/>
  <c r="BE221" i="4"/>
  <c r="AR221" i="4"/>
  <c r="BG221" i="4"/>
  <c r="AS221" i="4"/>
  <c r="BH221" i="4"/>
  <c r="AU221" i="4"/>
  <c r="BI221" i="4"/>
  <c r="AV221" i="4"/>
  <c r="BJ221" i="4"/>
  <c r="AW221" i="4"/>
  <c r="AX221" i="4"/>
  <c r="BA221" i="4"/>
  <c r="BA273" i="4"/>
  <c r="BH265" i="4"/>
  <c r="AY231" i="4"/>
  <c r="BI223" i="4"/>
  <c r="AY221" i="4"/>
  <c r="AP219" i="4"/>
  <c r="AP209" i="4"/>
  <c r="AY196" i="4"/>
  <c r="BI192" i="4"/>
  <c r="AV114" i="4"/>
  <c r="BJ86" i="4"/>
  <c r="AN272" i="4"/>
  <c r="AZ272" i="4"/>
  <c r="AQ272" i="4"/>
  <c r="BC272" i="4"/>
  <c r="AS272" i="4"/>
  <c r="BE272" i="4"/>
  <c r="AT272" i="4"/>
  <c r="BF272" i="4"/>
  <c r="AU272" i="4"/>
  <c r="BG272" i="4"/>
  <c r="AN212" i="4"/>
  <c r="AZ212" i="4"/>
  <c r="AT212" i="4"/>
  <c r="BF212" i="4"/>
  <c r="AO212" i="4"/>
  <c r="BC212" i="4"/>
  <c r="AQ212" i="4"/>
  <c r="BE212" i="4"/>
  <c r="AR212" i="4"/>
  <c r="BG212" i="4"/>
  <c r="AS212" i="4"/>
  <c r="BH212" i="4"/>
  <c r="AU212" i="4"/>
  <c r="BI212" i="4"/>
  <c r="AV212" i="4"/>
  <c r="BJ212" i="4"/>
  <c r="AW212" i="4"/>
  <c r="AX212" i="4"/>
  <c r="AY212" i="4"/>
  <c r="BA212" i="4"/>
  <c r="AN229" i="4"/>
  <c r="AZ229" i="4"/>
  <c r="AP229" i="4"/>
  <c r="BB229" i="4"/>
  <c r="AQ229" i="4"/>
  <c r="BC229" i="4"/>
  <c r="AR229" i="4"/>
  <c r="BD229" i="4"/>
  <c r="AS229" i="4"/>
  <c r="BE229" i="4"/>
  <c r="AT229" i="4"/>
  <c r="BF229" i="4"/>
  <c r="AU229" i="4"/>
  <c r="BG229" i="4"/>
  <c r="BH229" i="4"/>
  <c r="AV229" i="4"/>
  <c r="AX229" i="4"/>
  <c r="BJ229" i="4"/>
  <c r="AQ115" i="4"/>
  <c r="BC115" i="4"/>
  <c r="AR115" i="4"/>
  <c r="BD115" i="4"/>
  <c r="AW115" i="4"/>
  <c r="BI115" i="4"/>
  <c r="AZ115" i="4"/>
  <c r="BA115" i="4"/>
  <c r="AS115" i="4"/>
  <c r="BH115" i="4"/>
  <c r="AU115" i="4"/>
  <c r="AV115" i="4"/>
  <c r="AX115" i="4"/>
  <c r="AY115" i="4"/>
  <c r="BB115" i="4"/>
  <c r="BE115" i="4"/>
  <c r="BF115" i="4"/>
  <c r="AM115" i="4"/>
  <c r="BG115" i="4"/>
  <c r="AN115" i="4"/>
  <c r="BJ115" i="4"/>
  <c r="AO115" i="4"/>
  <c r="AP115" i="4"/>
  <c r="AQ92" i="4"/>
  <c r="BC92" i="4"/>
  <c r="AR92" i="4"/>
  <c r="BD92" i="4"/>
  <c r="AW92" i="4"/>
  <c r="BI92" i="4"/>
  <c r="AU92" i="4"/>
  <c r="AY92" i="4"/>
  <c r="AZ92" i="4"/>
  <c r="BA92" i="4"/>
  <c r="AM92" i="4"/>
  <c r="BB92" i="4"/>
  <c r="AO92" i="4"/>
  <c r="BF92" i="4"/>
  <c r="AS92" i="4"/>
  <c r="BH92" i="4"/>
  <c r="AN92" i="4"/>
  <c r="AP92" i="4"/>
  <c r="AT92" i="4"/>
  <c r="AV92" i="4"/>
  <c r="AX92" i="4"/>
  <c r="BE92" i="4"/>
  <c r="BG92" i="4"/>
  <c r="BJ92" i="4"/>
  <c r="AR191" i="4"/>
  <c r="BD191" i="4"/>
  <c r="AX191" i="4"/>
  <c r="AQ191" i="4"/>
  <c r="BE191" i="4"/>
  <c r="BA191" i="4"/>
  <c r="AN191" i="4"/>
  <c r="BC191" i="4"/>
  <c r="AO191" i="4"/>
  <c r="BF191" i="4"/>
  <c r="AP191" i="4"/>
  <c r="BG191" i="4"/>
  <c r="AS191" i="4"/>
  <c r="BH191" i="4"/>
  <c r="AT191" i="4"/>
  <c r="BI191" i="4"/>
  <c r="AU191" i="4"/>
  <c r="BJ191" i="4"/>
  <c r="AV191" i="4"/>
  <c r="AW191" i="4"/>
  <c r="AY191" i="4"/>
  <c r="AY273" i="4"/>
  <c r="BB272" i="4"/>
  <c r="BB265" i="4"/>
  <c r="AW231" i="4"/>
  <c r="AW229" i="4"/>
  <c r="AY223" i="4"/>
  <c r="AP221" i="4"/>
  <c r="BD218" i="4"/>
  <c r="AM209" i="4"/>
  <c r="AW196" i="4"/>
  <c r="BG192" i="4"/>
  <c r="AX113" i="4"/>
  <c r="AV76" i="4"/>
  <c r="BE222" i="4"/>
  <c r="AQ222" i="4"/>
  <c r="BJ208" i="4"/>
  <c r="AV208" i="4"/>
  <c r="BF105" i="4"/>
  <c r="AV104" i="4"/>
  <c r="BA91" i="4"/>
  <c r="BI208" i="4"/>
  <c r="AU208" i="4"/>
  <c r="BE105" i="4"/>
  <c r="AT104" i="4"/>
  <c r="AY91" i="4"/>
  <c r="BF89" i="4"/>
  <c r="BC222" i="4"/>
  <c r="AO222" i="4"/>
  <c r="BH208" i="4"/>
  <c r="AS208" i="4"/>
  <c r="BA105" i="4"/>
  <c r="AP104" i="4"/>
  <c r="AV91" i="4"/>
  <c r="BE89" i="4"/>
  <c r="AM5" i="4"/>
  <c r="AY5" i="4"/>
  <c r="AN5" i="4"/>
  <c r="AZ5" i="4"/>
  <c r="AO5" i="4"/>
  <c r="BA5" i="4"/>
  <c r="AP5" i="4"/>
  <c r="BB5" i="4"/>
  <c r="AQ5" i="4"/>
  <c r="BC5" i="4"/>
  <c r="AR5" i="4"/>
  <c r="BD5" i="4"/>
  <c r="AS5" i="4"/>
  <c r="BE5" i="4"/>
  <c r="AT5" i="4"/>
  <c r="BF5" i="4"/>
  <c r="AU5" i="4"/>
  <c r="BG5" i="4"/>
  <c r="AV5" i="4"/>
  <c r="BH5" i="4"/>
  <c r="AW5" i="4"/>
  <c r="BI5" i="4"/>
  <c r="AX5" i="4"/>
  <c r="BJ5" i="4"/>
  <c r="BG208" i="4"/>
  <c r="AY105" i="4"/>
  <c r="AO91" i="4"/>
  <c r="AN222" i="4"/>
  <c r="AZ222" i="4"/>
  <c r="AT222" i="4"/>
  <c r="BF222" i="4"/>
  <c r="AQ89" i="4"/>
  <c r="BC89" i="4"/>
  <c r="AR89" i="4"/>
  <c r="BD89" i="4"/>
  <c r="AW89" i="4"/>
  <c r="BI89" i="4"/>
  <c r="AM89" i="4"/>
  <c r="BB89" i="4"/>
  <c r="AP89" i="4"/>
  <c r="BG89" i="4"/>
  <c r="AS89" i="4"/>
  <c r="BH89" i="4"/>
  <c r="AT89" i="4"/>
  <c r="BJ89" i="4"/>
  <c r="AU89" i="4"/>
  <c r="AX89" i="4"/>
  <c r="AZ89" i="4"/>
  <c r="BF227" i="4"/>
  <c r="AT227" i="4"/>
  <c r="BF226" i="4"/>
  <c r="AT226" i="4"/>
  <c r="BA222" i="4"/>
  <c r="BE208" i="4"/>
  <c r="AY89" i="4"/>
  <c r="AN208" i="4"/>
  <c r="AZ208" i="4"/>
  <c r="AT208" i="4"/>
  <c r="BF208" i="4"/>
  <c r="AQ103" i="4"/>
  <c r="BC103" i="4"/>
  <c r="AR103" i="4"/>
  <c r="BD103" i="4"/>
  <c r="AW103" i="4"/>
  <c r="BI103" i="4"/>
  <c r="AM103" i="4"/>
  <c r="BB103" i="4"/>
  <c r="AP103" i="4"/>
  <c r="BG103" i="4"/>
  <c r="AS103" i="4"/>
  <c r="BH103" i="4"/>
  <c r="AT103" i="4"/>
  <c r="BJ103" i="4"/>
  <c r="AU103" i="4"/>
  <c r="AX103" i="4"/>
  <c r="AZ103" i="4"/>
  <c r="AM222" i="4"/>
  <c r="AR208" i="4"/>
  <c r="AN210" i="4"/>
  <c r="AZ210" i="4"/>
  <c r="AT210" i="4"/>
  <c r="BF210" i="4"/>
  <c r="AM4" i="4"/>
  <c r="AY4" i="4"/>
  <c r="AN4" i="4"/>
  <c r="AZ4" i="4"/>
  <c r="AO4" i="4"/>
  <c r="BA4" i="4"/>
  <c r="AP4" i="4"/>
  <c r="BB4" i="4"/>
  <c r="AQ4" i="4"/>
  <c r="BC4" i="4"/>
  <c r="AR4" i="4"/>
  <c r="BD4" i="4"/>
  <c r="AS4" i="4"/>
  <c r="BE4" i="4"/>
  <c r="AT4" i="4"/>
  <c r="BF4" i="4"/>
  <c r="AU4" i="4"/>
  <c r="BG4" i="4"/>
  <c r="AV4" i="4"/>
  <c r="BH4" i="4"/>
  <c r="AW4" i="4"/>
  <c r="BI4" i="4"/>
  <c r="AX4" i="4"/>
  <c r="BJ4" i="4"/>
  <c r="AQ105" i="4"/>
  <c r="BC105" i="4"/>
  <c r="AR105" i="4"/>
  <c r="BD105" i="4"/>
  <c r="AW105" i="4"/>
  <c r="BI105" i="4"/>
  <c r="AM105" i="4"/>
  <c r="BB105" i="4"/>
  <c r="AP105" i="4"/>
  <c r="BG105" i="4"/>
  <c r="AS105" i="4"/>
  <c r="BH105" i="4"/>
  <c r="AT105" i="4"/>
  <c r="BJ105" i="4"/>
  <c r="AU105" i="4"/>
  <c r="AZ105" i="4"/>
  <c r="AQ90" i="4"/>
  <c r="BC90" i="4"/>
  <c r="AR90" i="4"/>
  <c r="BD90" i="4"/>
  <c r="AW90" i="4"/>
  <c r="BI90" i="4"/>
  <c r="AU90" i="4"/>
  <c r="AY90" i="4"/>
  <c r="AZ90" i="4"/>
  <c r="BA90" i="4"/>
  <c r="AM90" i="4"/>
  <c r="DY257" i="4" s="1"/>
  <c r="BB90" i="4"/>
  <c r="AO90" i="4"/>
  <c r="BF90" i="4"/>
  <c r="AS90" i="4"/>
  <c r="BH90" i="4"/>
  <c r="AN213" i="4"/>
  <c r="AZ213" i="4"/>
  <c r="AT213" i="4"/>
  <c r="BF213" i="4"/>
  <c r="AM3" i="4"/>
  <c r="AY3" i="4"/>
  <c r="AN3" i="4"/>
  <c r="DY239" i="4" s="1"/>
  <c r="AZ3" i="4"/>
  <c r="AO3" i="4"/>
  <c r="BA3" i="4"/>
  <c r="AP3" i="4"/>
  <c r="BB3" i="4"/>
  <c r="AQ3" i="4"/>
  <c r="BC3" i="4"/>
  <c r="AR3" i="4"/>
  <c r="BD3" i="4"/>
  <c r="AS3" i="4"/>
  <c r="BE3" i="4"/>
  <c r="AT3" i="4"/>
  <c r="BF3" i="4"/>
  <c r="AU3" i="4"/>
  <c r="BG3" i="4"/>
  <c r="AV3" i="4"/>
  <c r="BH3" i="4"/>
  <c r="AW3" i="4"/>
  <c r="BI3" i="4"/>
  <c r="AX3" i="4"/>
  <c r="BJ3" i="4"/>
  <c r="AQ104" i="4"/>
  <c r="BC104" i="4"/>
  <c r="AR104" i="4"/>
  <c r="BD104" i="4"/>
  <c r="AW104" i="4"/>
  <c r="BI104" i="4"/>
  <c r="AU104" i="4"/>
  <c r="AY104" i="4"/>
  <c r="AZ104" i="4"/>
  <c r="BA104" i="4"/>
  <c r="AM104" i="4"/>
  <c r="BB104" i="4"/>
  <c r="AO104" i="4"/>
  <c r="BF104" i="4"/>
  <c r="AS104" i="4"/>
  <c r="BH104" i="4"/>
  <c r="AQ91" i="4"/>
  <c r="BC91" i="4"/>
  <c r="AR91" i="4"/>
  <c r="BD91" i="4"/>
  <c r="AW91" i="4"/>
  <c r="BI91" i="4"/>
  <c r="AM91" i="4"/>
  <c r="BB91" i="4"/>
  <c r="AP91" i="4"/>
  <c r="BG91" i="4"/>
  <c r="AS91" i="4"/>
  <c r="BH91" i="4"/>
  <c r="AT91" i="4"/>
  <c r="BJ91" i="4"/>
  <c r="AU91" i="4"/>
  <c r="AX91" i="4"/>
  <c r="AZ91" i="4"/>
  <c r="BE227" i="4"/>
  <c r="BE226" i="4"/>
  <c r="AS226" i="4"/>
  <c r="AY222" i="4"/>
  <c r="AY213" i="4"/>
  <c r="AY210" i="4"/>
  <c r="BD208" i="4"/>
  <c r="AP208" i="4"/>
  <c r="AV105" i="4"/>
  <c r="BE103" i="4"/>
  <c r="BJ90" i="4"/>
  <c r="AV89" i="4"/>
  <c r="AX222" i="4"/>
  <c r="AX210" i="4"/>
  <c r="BC208" i="4"/>
  <c r="AO208" i="4"/>
  <c r="AO105" i="4"/>
  <c r="BA103" i="4"/>
  <c r="BG90" i="4"/>
  <c r="AO89" i="4"/>
  <c r="AW222" i="4"/>
  <c r="AW210" i="4"/>
  <c r="BB208" i="4"/>
  <c r="AM208" i="4"/>
  <c r="AN105" i="4"/>
  <c r="AY103" i="4"/>
  <c r="BE90" i="4"/>
  <c r="AN89" i="4"/>
  <c r="BJ222" i="4"/>
  <c r="AV222" i="4"/>
  <c r="BA208" i="4"/>
  <c r="BJ104" i="4"/>
  <c r="AV103" i="4"/>
  <c r="AX90" i="4"/>
  <c r="BG104" i="4"/>
  <c r="AO103" i="4"/>
  <c r="AV90" i="4"/>
  <c r="AZ226" i="4"/>
  <c r="BH222" i="4"/>
  <c r="AS222" i="4"/>
  <c r="BH213" i="4"/>
  <c r="AS213" i="4"/>
  <c r="BH210" i="4"/>
  <c r="AS210" i="4"/>
  <c r="AX208" i="4"/>
  <c r="BE104" i="4"/>
  <c r="AN103" i="4"/>
  <c r="BF91" i="4"/>
  <c r="AT90" i="4"/>
  <c r="DW230" i="4"/>
  <c r="DW192" i="4"/>
  <c r="DW191" i="4"/>
  <c r="AW2" i="4"/>
  <c r="BH2" i="4"/>
  <c r="AV2" i="4"/>
  <c r="BG2" i="4"/>
  <c r="AU2" i="4"/>
  <c r="BF2" i="4"/>
  <c r="AT2" i="4"/>
  <c r="BE2" i="4"/>
  <c r="AS2" i="4"/>
  <c r="BD2" i="4"/>
  <c r="AR2" i="4"/>
  <c r="BC2" i="4"/>
  <c r="AQ2" i="4"/>
  <c r="BI2" i="4"/>
  <c r="BB2" i="4"/>
  <c r="AP2" i="4"/>
  <c r="BA2" i="4"/>
  <c r="AO2" i="4"/>
  <c r="AZ2" i="4"/>
  <c r="AN2" i="4"/>
  <c r="AM2" i="4"/>
  <c r="DY293" i="4"/>
  <c r="DY189" i="4"/>
  <c r="DY188" i="4"/>
  <c r="DY187" i="4"/>
  <c r="DY186" i="4"/>
  <c r="DY185" i="4"/>
  <c r="DY184" i="4"/>
  <c r="DY183" i="4"/>
  <c r="DY181" i="4"/>
  <c r="DY180" i="4"/>
  <c r="DY179" i="4"/>
  <c r="DY178" i="4"/>
  <c r="DY177" i="4"/>
  <c r="DY176" i="4"/>
  <c r="DY175" i="4"/>
  <c r="DY174" i="4"/>
  <c r="DY173" i="4"/>
  <c r="DY172" i="4"/>
  <c r="DY170" i="4"/>
  <c r="DY169" i="4"/>
  <c r="DY167" i="4"/>
  <c r="DY166" i="4"/>
  <c r="DY164" i="4"/>
  <c r="DY163" i="4"/>
  <c r="DY162" i="4"/>
  <c r="DY161" i="4"/>
  <c r="DY160" i="4"/>
  <c r="DY159" i="4"/>
  <c r="DY158" i="4"/>
  <c r="DY156" i="4"/>
  <c r="DY155" i="4"/>
  <c r="DY154" i="4"/>
  <c r="DY153" i="4"/>
  <c r="DY152" i="4"/>
  <c r="DY151" i="4"/>
  <c r="DY150" i="4"/>
  <c r="DY149" i="4"/>
  <c r="DY148" i="4"/>
  <c r="DY147" i="4"/>
  <c r="DY146" i="4"/>
  <c r="DY145" i="4"/>
  <c r="DY144" i="4"/>
  <c r="DY143" i="4"/>
  <c r="DY142" i="4"/>
  <c r="DY141" i="4"/>
  <c r="DY140" i="4"/>
  <c r="DY137" i="4"/>
  <c r="DY136" i="4"/>
  <c r="DY134" i="4"/>
  <c r="DY133" i="4"/>
  <c r="DY132" i="4"/>
  <c r="DY131" i="4"/>
  <c r="DY128" i="4"/>
  <c r="DY127" i="4"/>
  <c r="DY126" i="4"/>
  <c r="DY125" i="4"/>
  <c r="DY124" i="4"/>
  <c r="DY123" i="4"/>
  <c r="DY122" i="4"/>
  <c r="DY121" i="4"/>
  <c r="DY120" i="4"/>
  <c r="DY119" i="4"/>
  <c r="DY292" i="4"/>
  <c r="DY291" i="4"/>
  <c r="DY290" i="4"/>
  <c r="DY289" i="4"/>
  <c r="DY288" i="4"/>
  <c r="DY287" i="4"/>
  <c r="DY286" i="4"/>
  <c r="DY285" i="4"/>
  <c r="DY284" i="4"/>
  <c r="DY283" i="4"/>
  <c r="DY282" i="4"/>
  <c r="DY277" i="4"/>
  <c r="DY276" i="4"/>
  <c r="DY275" i="4"/>
  <c r="DY271" i="4"/>
  <c r="DY268" i="4"/>
  <c r="DY267" i="4"/>
  <c r="DY266" i="4"/>
  <c r="DY264" i="4"/>
  <c r="DY263" i="4"/>
  <c r="DY262" i="4"/>
  <c r="DY261" i="4"/>
  <c r="DY258" i="4"/>
  <c r="DY255" i="4"/>
  <c r="DY254" i="4"/>
  <c r="DY253" i="4"/>
  <c r="DY252" i="4"/>
  <c r="DY251" i="4"/>
  <c r="DY249" i="4"/>
  <c r="DY246" i="4"/>
  <c r="DY245" i="4"/>
  <c r="DY244" i="4"/>
  <c r="DY243" i="4"/>
  <c r="DY241" i="4"/>
  <c r="DY240" i="4"/>
  <c r="DY238" i="4"/>
  <c r="DY237" i="4"/>
  <c r="DY234" i="4"/>
  <c r="DY233" i="4"/>
  <c r="DY232" i="4"/>
  <c r="DY225" i="4"/>
  <c r="DY224" i="4"/>
  <c r="DY216" i="4"/>
  <c r="DY215" i="4"/>
  <c r="DY205" i="4"/>
  <c r="DY204" i="4"/>
  <c r="DY202" i="4"/>
  <c r="DY201" i="4"/>
  <c r="DY200" i="4"/>
  <c r="DY199" i="4"/>
  <c r="DY111" i="4"/>
  <c r="DY110" i="4"/>
  <c r="DY109" i="4"/>
  <c r="DY102" i="4"/>
  <c r="DY101" i="4"/>
  <c r="DY100" i="4"/>
  <c r="DY98" i="4"/>
  <c r="DY97" i="4"/>
  <c r="DY96" i="4"/>
  <c r="DY84" i="4"/>
  <c r="DY83" i="4"/>
  <c r="DY82" i="4"/>
  <c r="DY81" i="4"/>
  <c r="DY80" i="4"/>
  <c r="DY79" i="4"/>
  <c r="DY78" i="4"/>
  <c r="DY75" i="4"/>
  <c r="DY73" i="4"/>
  <c r="DY72" i="4"/>
  <c r="DY71" i="4"/>
  <c r="DY70" i="4"/>
  <c r="DY68" i="4"/>
  <c r="DY67" i="4"/>
  <c r="DY66" i="4"/>
  <c r="DY65" i="4"/>
  <c r="DY64" i="4"/>
  <c r="DY63" i="4"/>
  <c r="DY62" i="4"/>
  <c r="DY61" i="4"/>
  <c r="DY60" i="4"/>
  <c r="DY59" i="4"/>
  <c r="DY58" i="4"/>
  <c r="DY51" i="4"/>
  <c r="DY49" i="4"/>
  <c r="DY48" i="4"/>
  <c r="DY47" i="4"/>
  <c r="DY46" i="4"/>
  <c r="DY44" i="4"/>
  <c r="DY43" i="4"/>
  <c r="DY42" i="4"/>
  <c r="DY41" i="4"/>
  <c r="DY40" i="4"/>
  <c r="DY39" i="4"/>
  <c r="DY37" i="4"/>
  <c r="DY36" i="4"/>
  <c r="DY35" i="4"/>
  <c r="DY34" i="4"/>
  <c r="DY33" i="4"/>
  <c r="DY32" i="4"/>
  <c r="DY31" i="4"/>
  <c r="DY30" i="4"/>
  <c r="DY29" i="4"/>
  <c r="DY28" i="4"/>
  <c r="DY27" i="4"/>
  <c r="DY26" i="4"/>
  <c r="DY25" i="4"/>
  <c r="DY24" i="4"/>
  <c r="DY23" i="4"/>
  <c r="DY22" i="4"/>
  <c r="DY21" i="4"/>
  <c r="DY20" i="4"/>
  <c r="DY19" i="4"/>
  <c r="DY18" i="4"/>
  <c r="DY17" i="4"/>
  <c r="DY15" i="4"/>
  <c r="DY14" i="4"/>
  <c r="DY13" i="4"/>
  <c r="DY12" i="4"/>
  <c r="DY11" i="4"/>
  <c r="DY10" i="4"/>
  <c r="DY9" i="4"/>
  <c r="DY8" i="4"/>
  <c r="DY171" i="4"/>
  <c r="DY278" i="4"/>
  <c r="DY279" i="4"/>
  <c r="DW56" i="4"/>
  <c r="DW207" i="4"/>
  <c r="DW112" i="4"/>
  <c r="DW87" i="4"/>
  <c r="DW89" i="4"/>
  <c r="DW113" i="4"/>
  <c r="DW227" i="4"/>
  <c r="DW90" i="4"/>
  <c r="DW6" i="4"/>
  <c r="DW114" i="4"/>
  <c r="DW104" i="4"/>
  <c r="DW91" i="4"/>
  <c r="DW4" i="4"/>
  <c r="DW3" i="4"/>
  <c r="DW212" i="4"/>
  <c r="DW229" i="4"/>
  <c r="DW115" i="4"/>
  <c r="DW195" i="4"/>
  <c r="DW228" i="4"/>
  <c r="DW53" i="4"/>
  <c r="DW193" i="4"/>
  <c r="DW272" i="4"/>
  <c r="DW108" i="4"/>
  <c r="DW116" i="4"/>
  <c r="DW218" i="4"/>
  <c r="DW231" i="4"/>
  <c r="DW219" i="4"/>
  <c r="DW194" i="4"/>
  <c r="DW117" i="4"/>
  <c r="DW94" i="4"/>
  <c r="DW210" i="4"/>
  <c r="DW222" i="4"/>
  <c r="DW54" i="4"/>
  <c r="DW221" i="4"/>
  <c r="DW209" i="4"/>
  <c r="DW197" i="4"/>
  <c r="DW220" i="4"/>
  <c r="DW208" i="4"/>
  <c r="DW196" i="4"/>
  <c r="DW88" i="4"/>
  <c r="DW76" i="4"/>
  <c r="DW52" i="4"/>
  <c r="DW265" i="4"/>
  <c r="DW217" i="4"/>
  <c r="DW107" i="4"/>
  <c r="DW226" i="4"/>
  <c r="DW118" i="4"/>
  <c r="DW106" i="4"/>
  <c r="DW86" i="4"/>
  <c r="DW273" i="4"/>
  <c r="DW213" i="4"/>
  <c r="DW105" i="4"/>
  <c r="DW93" i="4"/>
  <c r="DW57" i="4"/>
  <c r="DW7" i="4"/>
  <c r="DW92" i="4"/>
  <c r="DW223" i="4"/>
  <c r="DW211" i="4"/>
  <c r="DW103" i="4"/>
  <c r="DW55" i="4"/>
  <c r="DW5" i="4"/>
  <c r="DY45" i="4" l="1"/>
  <c r="DY165" i="4"/>
  <c r="DY269" i="4"/>
  <c r="DY135" i="4"/>
  <c r="DY242" i="4"/>
  <c r="DY247" i="4"/>
  <c r="DY77" i="4"/>
  <c r="DY236" i="4"/>
  <c r="DY280" i="4"/>
  <c r="DY260" i="4"/>
  <c r="DY256" i="4"/>
  <c r="DY129" i="4"/>
  <c r="DY203" i="4"/>
  <c r="DY99" i="4"/>
  <c r="DY38" i="4"/>
  <c r="DY248" i="4"/>
  <c r="DY157" i="4"/>
  <c r="DY281" i="4"/>
  <c r="DY259" i="4"/>
  <c r="DY274" i="4"/>
  <c r="DY235" i="4"/>
  <c r="DY74" i="4"/>
  <c r="DY250" i="4"/>
  <c r="DY182" i="4"/>
  <c r="DY85" i="4"/>
  <c r="BK212" i="4"/>
  <c r="BK191" i="4"/>
  <c r="BL191" i="4" s="1"/>
  <c r="BK218" i="4"/>
  <c r="BK273" i="4"/>
  <c r="BK7" i="4"/>
  <c r="BK112" i="4"/>
  <c r="BK118" i="4"/>
  <c r="BK87" i="4"/>
  <c r="BL87" i="4" s="1"/>
  <c r="BK194" i="4"/>
  <c r="BL194" i="4" s="1"/>
  <c r="BK55" i="4"/>
  <c r="BK52" i="4"/>
  <c r="BK229" i="4"/>
  <c r="BK221" i="4"/>
  <c r="BK92" i="4"/>
  <c r="BK89" i="4"/>
  <c r="BL89" i="4" s="1"/>
  <c r="BK207" i="4"/>
  <c r="BK86" i="4"/>
  <c r="BL86" i="4" s="1"/>
  <c r="BK220" i="4"/>
  <c r="BK231" i="4"/>
  <c r="BK192" i="4"/>
  <c r="BL192" i="4" s="1"/>
  <c r="BK57" i="4"/>
  <c r="BK90" i="4"/>
  <c r="BL90" i="4" s="1"/>
  <c r="BK5" i="4"/>
  <c r="BK94" i="4"/>
  <c r="BK228" i="4"/>
  <c r="BK196" i="4"/>
  <c r="BK105" i="4"/>
  <c r="BK115" i="4"/>
  <c r="BK197" i="4"/>
  <c r="BK272" i="4"/>
  <c r="BL272" i="4" s="1"/>
  <c r="BK211" i="4"/>
  <c r="BK230" i="4"/>
  <c r="BK113" i="4"/>
  <c r="BK106" i="4"/>
  <c r="BK227" i="4"/>
  <c r="BK116" i="4"/>
  <c r="BK217" i="4"/>
  <c r="BK265" i="4"/>
  <c r="BK4" i="4"/>
  <c r="BL4" i="4" s="1"/>
  <c r="BK53" i="4"/>
  <c r="BK219" i="4"/>
  <c r="BK213" i="4"/>
  <c r="BK91" i="4"/>
  <c r="BL91" i="4" s="1"/>
  <c r="BK104" i="4"/>
  <c r="BK88" i="4"/>
  <c r="BL88" i="4" s="1"/>
  <c r="BK223" i="4"/>
  <c r="BK195" i="4"/>
  <c r="BK93" i="4"/>
  <c r="BK210" i="4"/>
  <c r="BK103" i="4"/>
  <c r="BK3" i="4"/>
  <c r="BK114" i="4"/>
  <c r="BK2" i="4"/>
  <c r="BL2" i="4" s="1"/>
  <c r="BK107" i="4"/>
  <c r="BK56" i="4"/>
  <c r="BL56" i="4" s="1"/>
  <c r="BK76" i="4"/>
  <c r="BK193" i="4"/>
  <c r="BL193" i="4" s="1"/>
  <c r="BK222" i="4"/>
  <c r="BK209" i="4"/>
  <c r="BK6" i="4"/>
  <c r="BL6" i="4" s="1"/>
  <c r="BK208" i="4"/>
  <c r="BK108" i="4"/>
  <c r="BK54" i="4"/>
  <c r="BK117" i="4"/>
  <c r="BK226" i="4"/>
  <c r="DY16" i="4"/>
  <c r="DY214" i="4"/>
  <c r="DY192" i="4"/>
  <c r="DY191" i="4"/>
  <c r="DY194" i="4"/>
  <c r="DY230" i="4"/>
  <c r="DY231" i="4"/>
  <c r="DY228" i="4"/>
  <c r="DY3" i="4"/>
  <c r="DY105" i="4"/>
  <c r="DY208" i="4"/>
  <c r="DY207" i="4"/>
  <c r="DY5" i="4"/>
  <c r="DY53" i="4"/>
  <c r="DY212" i="4"/>
  <c r="DY213" i="4"/>
  <c r="DY103" i="4"/>
  <c r="DY227" i="4"/>
  <c r="DY89" i="4"/>
  <c r="DY112" i="4"/>
  <c r="DY4" i="4"/>
  <c r="DY52" i="4"/>
  <c r="DY6" i="4"/>
  <c r="DY88" i="4"/>
  <c r="DY87" i="4"/>
  <c r="DY86" i="4"/>
  <c r="DY54" i="4"/>
  <c r="DY7" i="4"/>
  <c r="DY56" i="4"/>
  <c r="DY196" i="4"/>
  <c r="DY115" i="4"/>
  <c r="DY193" i="4"/>
  <c r="DY226" i="4"/>
  <c r="DY272" i="4"/>
  <c r="DY220" i="4"/>
  <c r="DY91" i="4"/>
  <c r="DY210" i="4"/>
  <c r="DY218" i="4"/>
  <c r="DY209" i="4"/>
  <c r="DY104" i="4"/>
  <c r="DY57" i="4"/>
  <c r="DY116" i="4"/>
  <c r="DY93" i="4"/>
  <c r="DY2" i="4"/>
  <c r="DY211" i="4"/>
  <c r="DY117" i="4"/>
  <c r="DY108" i="4"/>
  <c r="DY118" i="4"/>
  <c r="DY229" i="4"/>
  <c r="DY90" i="4"/>
  <c r="DY223" i="4"/>
  <c r="DY221" i="4"/>
  <c r="DY94" i="4"/>
  <c r="DY107" i="4"/>
  <c r="DY92" i="4"/>
  <c r="DY222" i="4"/>
  <c r="DY217" i="4"/>
  <c r="DY114" i="4"/>
  <c r="DY219" i="4"/>
  <c r="DY55" i="4"/>
  <c r="DY113" i="4"/>
  <c r="DY265" i="4"/>
  <c r="DY76" i="4"/>
  <c r="DY273" i="4"/>
  <c r="DY106" i="4"/>
  <c r="DY197" i="4"/>
  <c r="DY195" i="4"/>
  <c r="BL52" i="4" l="1"/>
  <c r="BL27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D36AEF-B3D8-4CDB-91D4-7B729A18270B}" keepAlive="1" name="Query - 2025-01-07T12-47_export" description="Connessione alla query '2025-01-07T12-47_export' nella cartella di lavoro." type="5" refreshedVersion="8" background="1" saveData="1">
    <dbPr connection="Provider=Microsoft.Mashup.OleDb.1;Data Source=$Workbook$;Location=2025-01-07T12-47_export;Extended Properties=&quot;&quot;" command="SELECT * FROM [2025-01-07T12-47_export]"/>
  </connection>
  <connection id="2" xr16:uid="{F02172BE-A150-488B-ABED-FEF17F58FF25}" keepAlive="1" name="Query - 2025-01-07T12-47_export (2)" description="Connessione alla query '2025-01-07T12-47_export (2)' nella cartella di lavoro." type="5" refreshedVersion="8" background="1" saveData="1">
    <dbPr connection="Provider=Microsoft.Mashup.OleDb.1;Data Source=$Workbook$;Location=&quot;2025-01-07T12-47_export (2)&quot;;Extended Properties=&quot;&quot;" command="SELECT * FROM [2025-01-07T12-47_export (2)]"/>
  </connection>
  <connection id="3" xr16:uid="{D7BFF8D8-C52C-45B6-8CCC-B244AC6C9F34}" keepAlive="1" name="Query - 2025-01-07T12-47_export (3)" description="Connessione alla query '2025-01-07T12-47_export (3)' nella cartella di lavoro." type="5" refreshedVersion="8" background="1" saveData="1">
    <dbPr connection="Provider=Microsoft.Mashup.OleDb.1;Data Source=$Workbook$;Location=&quot;2025-01-07T12-47_export (3)&quot;;Extended Properties=&quot;&quot;" command="SELECT * FROM [2025-01-07T12-47_export (3)]"/>
  </connection>
  <connection id="4" xr16:uid="{A2C20EB7-3D00-4626-896F-B2B9EAA93889}" keepAlive="1" name="Query - 2025-01-07T12-47_export (4)" description="Connessione alla query '2025-01-07T12-47_export (4)' nella cartella di lavoro." type="5" refreshedVersion="8" background="1" saveData="1">
    <dbPr connection="Provider=Microsoft.Mashup.OleDb.1;Data Source=$Workbook$;Location=&quot;2025-01-07T12-47_export (4)&quot;;Extended Properties=&quot;&quot;" command="SELECT * FROM [2025-01-07T12-47_export (4)]"/>
  </connection>
  <connection id="5" xr16:uid="{A1B3E1B7-1045-4528-B219-BD072A550C85}" keepAlive="1" name="Query - 2025-01-07T12-47_export (5)" description="Connessione alla query '2025-01-07T12-47_export (5)' nella cartella di lavoro." type="5" refreshedVersion="8" background="1" saveData="1">
    <dbPr connection="Provider=Microsoft.Mashup.OleDb.1;Data Source=$Workbook$;Location=&quot;2025-01-07T12-47_export (5)&quot;;Extended Properties=&quot;&quot;" command="SELECT * FROM [2025-01-07T12-47_export (5)]"/>
  </connection>
  <connection id="6" xr16:uid="{9F2891F0-DB4B-46B8-855C-D44DAA68FE49}" keepAlive="1" name="Query - 2025-01-07T12-47_export (6)" description="Connessione alla query '2025-01-07T12-47_export (6)' nella cartella di lavoro." type="5" refreshedVersion="8" background="1" saveData="1">
    <dbPr connection="Provider=Microsoft.Mashup.OleDb.1;Data Source=$Workbook$;Location=&quot;2025-01-07T12-47_export (6)&quot;;Extended Properties=&quot;&quot;" command="SELECT * FROM [2025-01-07T12-47_export (6)]"/>
  </connection>
  <connection id="7" xr16:uid="{9F4F50F4-CC34-4A51-AD88-F225EC4D8635}" keepAlive="1" name="Query - 2025-01-07T13-02_export" description="Connessione alla query '2025-01-07T13-02_export' nella cartella di lavoro." type="5" refreshedVersion="8" background="1" saveData="1">
    <dbPr connection="Provider=Microsoft.Mashup.OleDb.1;Data Source=$Workbook$;Location=2025-01-07T13-02_export;Extended Properties=&quot;&quot;" command="SELECT * FROM [2025-01-07T13-02_export]"/>
  </connection>
  <connection id="8" xr16:uid="{62024FAB-7768-4B43-AACA-477C89BB12C4}" keepAlive="1" name="Query - 2025-01-07T14-06_export" description="Connessione alla query '2025-01-07T14-06_export' nella cartella di lavoro." type="5" refreshedVersion="0" background="1" saveData="1">
    <dbPr connection="Provider=Microsoft.Mashup.OleDb.1;Data Source=$Workbook$;Location=2025-01-07T14-06_export;Extended Properties=&quot;&quot;" command="SELECT * FROM [2025-01-07T14-06_export]"/>
  </connection>
  <connection id="9" xr16:uid="{7D923527-0668-48A1-A8B2-D745AD9818F8}" keepAlive="1" name="Query - C-B-Al" description="Connessione alla query 'C-B-Al' nella cartella di lavoro." type="5" refreshedVersion="0" background="1" saveData="1">
    <dbPr connection="Provider=Microsoft.Mashup.OleDb.1;Data Source=$Workbook$;Location=C-B-Al;Extended Properties=&quot;&quot;" command="SELECT * FROM [C-B-Al]"/>
  </connection>
  <connection id="10" xr16:uid="{3A88D92B-6D6D-4EDF-8E24-74E9703DF84C}" keepAlive="1" name="Query - Cu-Co-Cr" description="Connessione alla query 'Cu-Co-Cr' nella cartella di lavoro." type="5" refreshedVersion="0" background="1" saveData="1">
    <dbPr connection="Provider=Microsoft.Mashup.OleDb.1;Data Source=$Workbook$;Location=Cu-Co-Cr;Extended Properties=&quot;&quot;" command="SELECT * FROM [Cu-Co-Cr]"/>
  </connection>
  <connection id="11" xr16:uid="{7EBF109D-4BD8-42C7-8071-F44D4C7A620A}" keepAlive="1" name="Query - Ellingham diagram linear coefficients" description="Connessione alla query 'Ellingham diagram linear coefficients' nella cartella di lavoro." type="5" refreshedVersion="0" background="1" saveData="1">
    <dbPr connection="Provider=Microsoft.Mashup.OleDb.1;Data Source=$Workbook$;Location=&quot;Ellingham diagram linear coefficients&quot;;Extended Properties=&quot;&quot;" command="SELECT * FROM [Ellingham diagram linear coefficients]"/>
  </connection>
  <connection id="12" xr16:uid="{AF1ED404-D8F2-41C1-9416-3BA5B5C146A9}" keepAlive="1" name="Query - Ellingham diagram linear coefficients (2)" description="Connessione alla query 'Ellingham diagram linear coefficients (2)' nella cartella di lavoro." type="5" refreshedVersion="0" background="1" saveData="1">
    <dbPr connection="Provider=Microsoft.Mashup.OleDb.1;Data Source=$Workbook$;Location=&quot;Ellingham diagram linear coefficients (2)&quot;;Extended Properties=&quot;&quot;" command="SELECT * FROM [Ellingham diagram linear coefficients (2)]"/>
  </connection>
  <connection id="13" xr16:uid="{8241232E-BD36-4330-8BD4-000E4914A9B3}" keepAlive="1" name="Query - Ellingham diagram linear coefficients (3)" description="Connessione alla query 'Ellingham diagram linear coefficients (3)' nella cartella di lavoro." type="5" refreshedVersion="0" background="1" saveData="1">
    <dbPr connection="Provider=Microsoft.Mashup.OleDb.1;Data Source=$Workbook$;Location=&quot;Ellingham diagram linear coefficients (3)&quot;;Extended Properties=&quot;&quot;" command="SELECT * FROM [Ellingham diagram linear coefficients (3)]"/>
  </connection>
  <connection id="14" xr16:uid="{25FEA564-1B59-4B29-B1A5-92C144492B9E}" keepAlive="1" name="Query - Fe" description="Connessione alla query 'Fe' nella cartella di lavoro." type="5" refreshedVersion="0" background="1" saveData="1">
    <dbPr connection="Provider=Microsoft.Mashup.OleDb.1;Data Source=$Workbook$;Location=Fe;Extended Properties=&quot;&quot;" command="SELECT * FROM [Fe]"/>
  </connection>
  <connection id="15" xr16:uid="{FE6592FB-D151-461B-B715-AA353ADF0585}" keepAlive="1" name="Query - Masse molari elementi nel database" description="Connessione alla query 'Masse molari elementi nel database' nella cartella di lavoro." type="5" refreshedVersion="0" background="1" saveData="1">
    <dbPr connection="Provider=Microsoft.Mashup.OleDb.1;Data Source=$Workbook$;Location=&quot;Masse molari elementi nel database&quot;;Extended Properties=&quot;&quot;" command="SELECT * FROM [Masse molari elementi nel database]"/>
  </connection>
  <connection id="16" xr16:uid="{E4D7ECB8-8A8B-4779-889A-CFC8B8257EA1}" keepAlive="1" name="Query - Masse molari elementi nel database (2)" description="Connessione alla query 'Masse molari elementi nel database (2)' nella cartella di lavoro." type="5" refreshedVersion="0" background="1" saveData="1">
    <dbPr connection="Provider=Microsoft.Mashup.OleDb.1;Data Source=$Workbook$;Location=&quot;Masse molari elementi nel database (2)&quot;;Extended Properties=&quot;&quot;" command="SELECT * FROM [Masse molari elementi nel database (2)]"/>
  </connection>
  <connection id="17" xr16:uid="{04A57DCE-7EBD-4432-90F9-8BAE88FA4B8A}" keepAlive="1" name="Query - Nb-Mg-Ni-Mn-Mo-(P)" description="Connessione alla query 'Nb-Mg-Ni-Mn-Mo-(P)' nella cartella di lavoro." type="5" refreshedVersion="0" background="1" saveData="1">
    <dbPr connection="Provider=Microsoft.Mashup.OleDb.1;Data Source=$Workbook$;Location=Nb-Mg-Ni-Mn-Mo-(P);Extended Properties=&quot;&quot;" command="SELECT * FROM [Nb-Mg-Ni-Mn-Mo-(P)]"/>
  </connection>
  <connection id="18" xr16:uid="{A4DE684D-7EDE-401D-875C-6FA6F801353D}" keepAlive="1" name="Query - Si-Ti-(Sn)-S" description="Connessione alla query 'Si-Ti-(Sn)-S' nella cartella di lavoro." type="5" refreshedVersion="0" background="1" saveData="1">
    <dbPr connection="Provider=Microsoft.Mashup.OleDb.1;Data Source=$Workbook$;Location=Si-Ti-(Sn)-S;Extended Properties=&quot;&quot;" command="SELECT * FROM [Si-Ti-(Sn)-S]"/>
  </connection>
  <connection id="19" xr16:uid="{23938EC0-9BAC-4395-86AF-C47C1B89410A}" keepAlive="1" name="Query - V-Y-(W)-Zr" description="Connessione alla query 'V-Y-(W)-Zr' nella cartella di lavoro." type="5" refreshedVersion="0" background="1" saveData="1">
    <dbPr connection="Provider=Microsoft.Mashup.OleDb.1;Data Source=$Workbook$;Location=V-Y-(W)-Zr;Extended Properties=&quot;&quot;" command="SELECT * FROM [V-Y-(W)-Zr]"/>
  </connection>
</connections>
</file>

<file path=xl/sharedStrings.xml><?xml version="1.0" encoding="utf-8"?>
<sst xmlns="http://schemas.openxmlformats.org/spreadsheetml/2006/main" count="6347" uniqueCount="877">
  <si>
    <t>Column1</t>
  </si>
  <si>
    <t>https://sd-esweetapp.eni.com/FUSION_MATERIAL</t>
  </si>
  <si>
    <t>id_test_code</t>
  </si>
  <si>
    <t>crucible</t>
  </si>
  <si>
    <t>author</t>
  </si>
  <si>
    <t>id_paper</t>
  </si>
  <si>
    <t>institution</t>
  </si>
  <si>
    <t>year</t>
  </si>
  <si>
    <t>element_wt</t>
  </si>
  <si>
    <t>id_material</t>
  </si>
  <si>
    <t>element_mol</t>
  </si>
  <si>
    <t>beam_energy</t>
  </si>
  <si>
    <t>MeV</t>
  </si>
  <si>
    <t>dive_time</t>
  </si>
  <si>
    <t>euf3</t>
  </si>
  <si>
    <t>wt%</t>
  </si>
  <si>
    <t>length_a_sample</t>
  </si>
  <si>
    <t>length_b_sample</t>
  </si>
  <si>
    <t>molten_salt</t>
  </si>
  <si>
    <t>ms_purified</t>
  </si>
  <si>
    <t>radiation_exposure</t>
  </si>
  <si>
    <t>temperature</t>
  </si>
  <si>
    <t>°C</t>
  </si>
  <si>
    <t>test_condition</t>
  </si>
  <si>
    <t>thickness_sample</t>
  </si>
  <si>
    <t>average_normalized_corrosion_depth</t>
  </si>
  <si>
    <t>corrosion_class</t>
  </si>
  <si>
    <t>max_depth_selective_diss</t>
  </si>
  <si>
    <t>Max depth of selective Cr dissolution from SEM/EDS analyses (µm)</t>
  </si>
  <si>
    <t>sem_um_y</t>
  </si>
  <si>
    <t>weight_loss</t>
  </si>
  <si>
    <t>weight change (mg cm-2) (- = mass loss)**</t>
  </si>
  <si>
    <t>C0_Cr</t>
  </si>
  <si>
    <t>density</t>
  </si>
  <si>
    <t>del materiale</t>
  </si>
  <si>
    <t>element_ppmw impurity pre</t>
  </si>
  <si>
    <t>note</t>
  </si>
  <si>
    <t>reliability</t>
  </si>
  <si>
    <t>corrosion class</t>
  </si>
  <si>
    <t>da verificare</t>
  </si>
  <si>
    <t>https://doi.org/10.1016/j.corsci.2018.08.035</t>
  </si>
  <si>
    <t>https://enispa.sharepoint.com/sites/Venicelaboratories-FLiNaKandFLiBecorrosion/Documenti%20condivisi/FLiNaK%20and%20FLiBe%20corrosion/2023-09-AI%20for%20Fusion%20Material(s).pdf</t>
  </si>
  <si>
    <t xml:space="preserve">ELLINGHAM DIAGRAM REDUCTION POTENTIAL [V] LINEAR COEFFICIENTS </t>
  </si>
  <si>
    <t>Element</t>
  </si>
  <si>
    <t>ID</t>
  </si>
  <si>
    <t>Linear coefficien [m]</t>
  </si>
  <si>
    <t>Linear intercept [q]</t>
  </si>
  <si>
    <t>Validity condition</t>
  </si>
  <si>
    <t>Ni</t>
  </si>
  <si>
    <t>Ni-NiF2</t>
  </si>
  <si>
    <t>Cr</t>
  </si>
  <si>
    <t>Cr_x0002_CrF2[lower]</t>
  </si>
  <si>
    <t>Lower</t>
  </si>
  <si>
    <t>Cr_x0002_CrF3[upper]</t>
  </si>
  <si>
    <t>Upper</t>
  </si>
  <si>
    <t>Mo</t>
  </si>
  <si>
    <t>Mo_x0002_MoF5[lower]</t>
  </si>
  <si>
    <t>Mo_x0002_MoF6[upper]</t>
  </si>
  <si>
    <t>Fe</t>
  </si>
  <si>
    <t>Fe_x0002_FeF2[lower]</t>
  </si>
  <si>
    <t>Fe_x0002_FeF3[upper]</t>
  </si>
  <si>
    <t>W</t>
  </si>
  <si>
    <t>W-WF6</t>
  </si>
  <si>
    <t>Co</t>
  </si>
  <si>
    <t>Co-CoF2</t>
  </si>
  <si>
    <t>Mn</t>
  </si>
  <si>
    <t>Mn-MnF2</t>
  </si>
  <si>
    <t>Al</t>
  </si>
  <si>
    <t>Al-AlF3</t>
  </si>
  <si>
    <t>Ti</t>
  </si>
  <si>
    <t>Ti-TiF4</t>
  </si>
  <si>
    <t>Zr</t>
  </si>
  <si>
    <t>Zr-ZrF4</t>
  </si>
  <si>
    <t>Be</t>
  </si>
  <si>
    <t>Be_x0002_BeF2[FliBe]</t>
  </si>
  <si>
    <t>FliBe</t>
  </si>
  <si>
    <t>Eu3+</t>
  </si>
  <si>
    <t>Eu3+- Eu2+[0.005]</t>
  </si>
  <si>
    <t>Eu3+- Eu2+[0.05]</t>
  </si>
  <si>
    <t>HF</t>
  </si>
  <si>
    <t>HF-H2</t>
  </si>
  <si>
    <t>K</t>
  </si>
  <si>
    <t>K_x0002_KF[FliNaK]</t>
  </si>
  <si>
    <t>FliNaK</t>
  </si>
  <si>
    <t>Li</t>
  </si>
  <si>
    <t>Li_x0002_LiF[FliBe]</t>
  </si>
  <si>
    <t>Li_x0002_LiF[FliNaK]</t>
  </si>
  <si>
    <t>Li-LiF[LiF_x0002_CaF2]</t>
  </si>
  <si>
    <t>LiF-CaF2</t>
  </si>
  <si>
    <t>Na</t>
  </si>
  <si>
    <t>Na_x0002_NaF[FliNaK]</t>
  </si>
  <si>
    <t>https://enispa.sharepoint.com/sites/Venicelaboratories-FLiNaKandFLiBecorrosion/Documenti%20condivisi/FLiNaK%20and%20FLiBe%20corrosion/Diagrammi%20dei%20potenziali%20di%20Ellingham%20Delta_G.pdf</t>
  </si>
  <si>
    <t>ELLINGHAM DIAGRAM GIBBS FREE ENERGY [kcal/gfw] DATA POINTS FOR LINEAR COEFFICIENTS</t>
  </si>
  <si>
    <t xml:space="preserve">ELLINGHAM DIAGRAM GIBBS FREE ENERGY [kcal/gfw] LINEAR COEFFICIENTS </t>
  </si>
  <si>
    <t>point 1 or 2</t>
  </si>
  <si>
    <t>X</t>
  </si>
  <si>
    <t>Y</t>
  </si>
  <si>
    <t>n</t>
  </si>
  <si>
    <t xml:space="preserve">Si  </t>
  </si>
  <si>
    <t>Si-SiF4</t>
  </si>
  <si>
    <t xml:space="preserve">C  </t>
  </si>
  <si>
    <t>C-CF4</t>
  </si>
  <si>
    <t xml:space="preserve">Cu </t>
  </si>
  <si>
    <t>Cu-CuF2</t>
  </si>
  <si>
    <t xml:space="preserve">Nb </t>
  </si>
  <si>
    <t>Nb-NbF5</t>
  </si>
  <si>
    <t xml:space="preserve">V  </t>
  </si>
  <si>
    <t>V-VF3</t>
  </si>
  <si>
    <t xml:space="preserve">P  </t>
  </si>
  <si>
    <t>P-PF3</t>
  </si>
  <si>
    <t xml:space="preserve">S  </t>
  </si>
  <si>
    <t>S-SF6</t>
  </si>
  <si>
    <t xml:space="preserve">B  </t>
  </si>
  <si>
    <t>B-BF3</t>
  </si>
  <si>
    <t xml:space="preserve">Mg </t>
  </si>
  <si>
    <t>Mg-MgF2</t>
  </si>
  <si>
    <t xml:space="preserve">Y  </t>
  </si>
  <si>
    <t>Y-YF3</t>
  </si>
  <si>
    <t>fuori intervallo</t>
  </si>
  <si>
    <t>-0,1694850127269092; -189,58051420838976</t>
  </si>
  <si>
    <t>1128,8608121641496; -152,8191249436175</t>
  </si>
  <si>
    <t>Mn-MnF1</t>
  </si>
  <si>
    <t>Experimental Velocity [cm/s]</t>
  </si>
  <si>
    <t>Plating</t>
  </si>
  <si>
    <t>density [g/m^3]</t>
  </si>
  <si>
    <t>Ni_wt</t>
  </si>
  <si>
    <t>Cr_wt</t>
  </si>
  <si>
    <t>Mo_wt</t>
  </si>
  <si>
    <t>Fe_wt</t>
  </si>
  <si>
    <t>W_wt</t>
  </si>
  <si>
    <t>Co_wt</t>
  </si>
  <si>
    <t>Mn_wt</t>
  </si>
  <si>
    <t>Al_wt</t>
  </si>
  <si>
    <t>Ti_wt</t>
  </si>
  <si>
    <t>Si_wt</t>
  </si>
  <si>
    <t>C_wt</t>
  </si>
  <si>
    <t>Cu_wt</t>
  </si>
  <si>
    <t>Nb_wt</t>
  </si>
  <si>
    <t>V_wt</t>
  </si>
  <si>
    <t>P_wt</t>
  </si>
  <si>
    <t>S_wt</t>
  </si>
  <si>
    <t>B_wt</t>
  </si>
  <si>
    <t>Mg weight</t>
  </si>
  <si>
    <t>Sn_wt</t>
  </si>
  <si>
    <t>Zr_wt</t>
  </si>
  <si>
    <t>O_wt</t>
  </si>
  <si>
    <t>N_wt</t>
  </si>
  <si>
    <t>Y_wt</t>
  </si>
  <si>
    <t>H_wt</t>
  </si>
  <si>
    <t>Ni_mol</t>
  </si>
  <si>
    <t>Cr_mol</t>
  </si>
  <si>
    <t>Mo_mol</t>
  </si>
  <si>
    <t>Fe_mol</t>
  </si>
  <si>
    <t>W_mol</t>
  </si>
  <si>
    <t>Co_mol</t>
  </si>
  <si>
    <t>Mn_mol</t>
  </si>
  <si>
    <t>Al_mol</t>
  </si>
  <si>
    <t>Ti_mol</t>
  </si>
  <si>
    <t>Si_mol2</t>
  </si>
  <si>
    <t>C_mol</t>
  </si>
  <si>
    <t>Cu_mol</t>
  </si>
  <si>
    <t>Nb_mol</t>
  </si>
  <si>
    <t>V_mol</t>
  </si>
  <si>
    <t>P_mol</t>
  </si>
  <si>
    <t>S_mol</t>
  </si>
  <si>
    <t>B_mol</t>
  </si>
  <si>
    <t>Mg_mol</t>
  </si>
  <si>
    <t>Sn_mol</t>
  </si>
  <si>
    <t>Zr_mol</t>
  </si>
  <si>
    <t>O_mol</t>
  </si>
  <si>
    <t>N_mol</t>
  </si>
  <si>
    <t>Y_mol</t>
  </si>
  <si>
    <t>H_mol</t>
  </si>
  <si>
    <t>Salt Provenience</t>
  </si>
  <si>
    <t>Residual Moisture wt.%</t>
  </si>
  <si>
    <t>Fe_ppmw impurity pre</t>
  </si>
  <si>
    <t>S_ppmw impurity pre</t>
  </si>
  <si>
    <t>P_ppmw impurity pre</t>
  </si>
  <si>
    <t>Ca_ppmw impurity pre</t>
  </si>
  <si>
    <t>Al_ppmw impurity pre</t>
  </si>
  <si>
    <t>Ni_ppmw impurity pre</t>
  </si>
  <si>
    <t>Cr_ppmw impurity pre</t>
  </si>
  <si>
    <t>Ti_ppmw impurity pre</t>
  </si>
  <si>
    <t>Mo_ppmw impurity pre</t>
  </si>
  <si>
    <t>Mg_ppmw impurity pre2</t>
  </si>
  <si>
    <t>Mn_ppmw impurity pre</t>
  </si>
  <si>
    <t>Zn_ppmw impurity pre</t>
  </si>
  <si>
    <t>HF_ppmw impurity pre</t>
  </si>
  <si>
    <t>Zr_ppmw impurity pre</t>
  </si>
  <si>
    <t>C_ppmw impurity pre</t>
  </si>
  <si>
    <t>W_ppmw impurity pre</t>
  </si>
  <si>
    <t>Cu_ppmw impurity pre</t>
  </si>
  <si>
    <t>Si_ppmw impurity pre</t>
  </si>
  <si>
    <t>O2-_ppmw impurity pre</t>
  </si>
  <si>
    <t>Te_ppmw impurity pre</t>
  </si>
  <si>
    <t>Residual Moisture wt.% after</t>
  </si>
  <si>
    <t>Fe_ppmw impurity after</t>
  </si>
  <si>
    <t>S_ppmw impurity after</t>
  </si>
  <si>
    <t>P_ppmw impurity after</t>
  </si>
  <si>
    <t>Ca_ppmw impurity after</t>
  </si>
  <si>
    <t>Al_ppmw impurity after</t>
  </si>
  <si>
    <t>Ni_ppmw impurity after</t>
  </si>
  <si>
    <t>Cr_ppmw impurity after</t>
  </si>
  <si>
    <t>Ti_ppmw impurity after</t>
  </si>
  <si>
    <t>Mo_ppmw impurity after</t>
  </si>
  <si>
    <t>Mg_ppmw impurity after</t>
  </si>
  <si>
    <t>Mn_ppmw impurity after</t>
  </si>
  <si>
    <t>Zn_ppmw impurity after</t>
  </si>
  <si>
    <t>HF_ppmw impurity after</t>
  </si>
  <si>
    <t>Zr_ppmw impurity after</t>
  </si>
  <si>
    <t>C_ppmw impurity after</t>
  </si>
  <si>
    <t>W_ppmw impurity after</t>
  </si>
  <si>
    <t>Cu_ppmw impurity after</t>
  </si>
  <si>
    <t>Si_ppmw impurity after</t>
  </si>
  <si>
    <t>O2-_ppmw impurity after</t>
  </si>
  <si>
    <t>Te_ppmw impurity after</t>
  </si>
  <si>
    <t>Beam Current density[uA/cm^2]</t>
  </si>
  <si>
    <t>max_depth_selective_diss [um]</t>
  </si>
  <si>
    <t>weight_loss [mg/cm^2]</t>
  </si>
  <si>
    <t>Link To Paper</t>
  </si>
  <si>
    <t>Somma composizione massa</t>
  </si>
  <si>
    <t>Somma composizione moli</t>
  </si>
  <si>
    <t>A0316 L SS2015Zheng</t>
  </si>
  <si>
    <t>University of Wisconsin Madison</t>
  </si>
  <si>
    <t>Zheng</t>
  </si>
  <si>
    <t>A0</t>
  </si>
  <si>
    <t>static</t>
  </si>
  <si>
    <t>316 L SS</t>
  </si>
  <si>
    <t>FLiBe</t>
  </si>
  <si>
    <t>ORNL</t>
  </si>
  <si>
    <t>yes</t>
  </si>
  <si>
    <t>Composizione NOMINALE dei provini</t>
  </si>
  <si>
    <t>https://enispa.sharepoint.com/sites/Venicelaboratories-FLiNaKandFLiBecorrosion/Documenti%20condivisi/FLiNaK%20and%20FLiBe%20corrosion/3.%20Letteratura/Attività%202023/2015_Zheng_PhD_Corrosion%20Behavior%20of%20Alloys%20in%20Molten%20Fluoride%20Salts.pdf</t>
  </si>
  <si>
    <t>graphite</t>
  </si>
  <si>
    <t>https://enispa.sharepoint.com/sites/Venicelaboratories-FLiNaKandFLiBecorrosion/Documenti%20condivisi/FLiNaK%20and%20FLiBe%20corrosion/3.%20Letteratura/Attività%202023/2015_Zheng_Corrosion%20of%20316%20stainless%20steel%20in%20high%20temperature%20molten%20Li2BeF4%20(FLiBe)%20salt.pdf</t>
  </si>
  <si>
    <t>https://enispa.sharepoint.com/sites/Venicelaboratories-FLiNaKandFLiBecorrosion/Documenti%20condivisi/FLiNaK%20and%20FLiBe%20corrosion/3.%20Letteratura/Attività%202023/2015_Zheng_High%20Temperature%20Corrosion%20of%20Hastelloy%20N%20in%20Molten%20Li2BeF4%20(FLiBe)%20Salt.pdf</t>
  </si>
  <si>
    <t>https://enispa.sharepoint.com/sites/Venicelaboratories-FLiNaKandFLiBecorrosion/Documenti%20condivisi/FLiNaK%20and%20FLiBe%20corrosion/3.%20Letteratura/Attività%202023/2018_Zheng-Sridharan_Article_CorrosionOfStructuralAlloysInH.pdf</t>
  </si>
  <si>
    <t>https://enispa.sharepoint.com/sites/Venicelaboratories-FLiNaKandFLiBecorrosion/Documenti%20condivisi/FLiNaK%20and%20FLiBe%20corrosion/3.%20Letteratura/Attività%202023/2016_Zheng_Corrosion-induced%20microstructural%20developments%20in%20316%20stainless%20steel%20during%20expo.pdf</t>
  </si>
  <si>
    <t>A0Hastelloy N2015Zheng</t>
  </si>
  <si>
    <t>Hastelloy N</t>
  </si>
  <si>
    <t>A0Ni-20 Cr2015Zheng</t>
  </si>
  <si>
    <t>Ni-20 Cr</t>
  </si>
  <si>
    <t>A0Ni-5Cr2015Zheng</t>
  </si>
  <si>
    <t>Ni-5Cr</t>
  </si>
  <si>
    <t>MIT</t>
  </si>
  <si>
    <t>FLiNaK</t>
  </si>
  <si>
    <t>Alfa Aesar</t>
  </si>
  <si>
    <t>no</t>
  </si>
  <si>
    <t/>
  </si>
  <si>
    <t>https://enispa.sharepoint.com/sites/Venicelaboratories-FLiNaKandFLiBecorrosion/Documenti%20condivisi/FLiNaK%20and%20FLiBe%20corrosion/3.%20Letteratura/Attività%202023/2020_%20McAlpine_Corrosion%20of%20commercial%20alloys%20in%20FLiNaK%20molten%20salt%20containing%20EuF3.pdf</t>
  </si>
  <si>
    <t>Incoloy 800 H</t>
  </si>
  <si>
    <t>Ni-201</t>
  </si>
  <si>
    <t>B1Cr2023Pint</t>
  </si>
  <si>
    <t>Pint</t>
  </si>
  <si>
    <t>B1</t>
  </si>
  <si>
    <t>https://enispa.sharepoint.com/sites/Venicelaboratories-FLiNaKandFLiBecorrosion/Documenti%20condivisi/FLiNaK%20and%20FLiBe%20corrosion/3.%20Letteratura/Attività%202023/2023_Pint_FY23%20Milestone%20M3RD-23OR0603031%20Measuring%20the%20Dissolution%20of%20Cr%20and%20Fe%20at%20550°C-75.pdf</t>
  </si>
  <si>
    <t>https://enispa.sharepoint.com/sites/Venicelaboratories-FLiNaKandFLiBecorrosion/Documenti%20condivisi/FLiNaK%20and%20FLiBe%20corrosion/3.%20Letteratura/Attività%202023/2023_Pint_FY23%20Milestone%20M3RD-23OR0603032%20The%20Dissolution%20of%20Cr%20and%20Fe%20at%20850°C%20in%20FLiNaK%20an.pdf</t>
  </si>
  <si>
    <t>https://enispa.sharepoint.com/sites/Venicelaboratories-FLiNaKandFLiBecorrosion/Documenti%20condivisi/FLiNaK%20and%20FLiBe%20corrosion/3.%20Letteratura/Attività%202023/2023_Pint_Methodology%20for%20Assessing%20Stainless%20Steel%20Compatibility%20in%20Fluoride%20Salts%20at%20550°-850°C.pdf</t>
  </si>
  <si>
    <t>B0Cr2023Pint</t>
  </si>
  <si>
    <t>B0</t>
  </si>
  <si>
    <t>B0Fe2023Pint</t>
  </si>
  <si>
    <t>C12316 H SS023Doniger</t>
  </si>
  <si>
    <t>Doniger</t>
  </si>
  <si>
    <t>C1</t>
  </si>
  <si>
    <t>316 H SS</t>
  </si>
  <si>
    <t>Materion Corporation</t>
  </si>
  <si>
    <t>Controlla "Table 3" del paper: distinzione tra "Total depth of attack" e "Depth of Bulk/Grain boundary Cr Dissolution"</t>
  </si>
  <si>
    <t>https://enispa.sharepoint.com/sites/Venicelaboratories-FLiNaKandFLiBecorrosion/Documenti%20condivisi/FLiNaK%20and%20FLiBe%20corrosion/3.%20Letteratura/Attività%202023/2023_Doniger_Corrosion%20of%20316L%20&amp;%20316H%20stainless%20steel%20in%20molten%20LiF-NaF-KF%20(FLiNaK).pdf</t>
  </si>
  <si>
    <t>Pyrolytic Boron Nitride</t>
  </si>
  <si>
    <t>vitreous carbon</t>
  </si>
  <si>
    <t>C12316 L SS023Doniger</t>
  </si>
  <si>
    <t>D1Hastelloy B-32013Ouyang</t>
  </si>
  <si>
    <t>National Tsing Hua University</t>
  </si>
  <si>
    <t>Ouyang</t>
  </si>
  <si>
    <t>D1</t>
  </si>
  <si>
    <t>Hastelloy B-3</t>
  </si>
  <si>
    <t>FULLIN Chemical Co. And SUNLIT FLUO &amp; CHEMICAL
CO.</t>
  </si>
  <si>
    <t>tabella ORNL</t>
  </si>
  <si>
    <t>https://enispa.sharepoint.com/sites/Venicelaboratories-FLiNaKandFLiBecorrosion/Documenti%20condivisi/FLiNaK%20and%20FLiBe%20corrosion/3.%20Letteratura/Attività%202023/2013_Ouyang_Effect%20of%20moisture%20on%20corrosion%20of%20Ni-based%20alloys%20in%20molten%20alkali%20fluoride%20FLiNaK%20salt%20environments.pdf</t>
  </si>
  <si>
    <t>D1Hastelloy N2013Ouyang</t>
  </si>
  <si>
    <t>D1Haynes 2422013Ouyang</t>
  </si>
  <si>
    <t>Haynes 242</t>
  </si>
  <si>
    <t>tabella ORNL, weight loss values taken from image</t>
  </si>
  <si>
    <t>D1Haynes 2632013Ouyang</t>
  </si>
  <si>
    <t>Haynes 263</t>
  </si>
  <si>
    <t>D1TZM2013Ouyang</t>
  </si>
  <si>
    <t>TZM</t>
  </si>
  <si>
    <t>E0MoNiCr2015Slama</t>
  </si>
  <si>
    <t>COMTES (Comtesfht) FHT Ltd.</t>
  </si>
  <si>
    <t>Slama</t>
  </si>
  <si>
    <t>E0</t>
  </si>
  <si>
    <t>MoNiCr</t>
  </si>
  <si>
    <t>Weight loss calculated from the given data, measured thickness one sample</t>
  </si>
  <si>
    <t>https://enispa.sharepoint.com/sites/Venicelaboratories-FLiNaKandFLiBecorrosion/Documenti%20condivisi/FLiNaK%20and%20FLiBe%20corrosion/3.%20Letteratura/Attività%202023/2015_Corrosion%20testing%20of%20nickel%20alloy%20for%20molten%20salt%20reactors.pdf</t>
  </si>
  <si>
    <t>E1GH35352019Murànsky</t>
  </si>
  <si>
    <t>ANSTO, UNSW Sydney, Shangai Jiao Univesity, COMTES (Comtesfht) FHT Ltd.</t>
  </si>
  <si>
    <t>Murànsky</t>
  </si>
  <si>
    <t>E1</t>
  </si>
  <si>
    <t>GH3535</t>
  </si>
  <si>
    <t>Sigma-Aldrich</t>
  </si>
  <si>
    <t>is FLiNaK purified? See paper, FLiNaK impurities before test</t>
  </si>
  <si>
    <t>https://enispa.sharepoint.com/sites/Venicelaboratories-FLiNaKandFLiBecorrosion/Documenti%20condivisi/FLiNaK%20and%20FLiBe%20corrosion/3.%20Letteratura/Attività%202023/2019_Molten%20salt%20corrosion%20of%20Ni-Mo-Cr%20candidate%20structural%20materials%20for%20Molten.pdf</t>
  </si>
  <si>
    <t>E1Hastelloy N2019Murànsky</t>
  </si>
  <si>
    <t>E1MoNiCr2019Murànsky</t>
  </si>
  <si>
    <t>F0Hastelloy C-2762009Kondo</t>
  </si>
  <si>
    <t>National Institute for Fusion Science (Japan), The Graduate Univeristy for Advanced Studies, University of Tokyo</t>
  </si>
  <si>
    <t>Kondo</t>
  </si>
  <si>
    <t>F0</t>
  </si>
  <si>
    <t>Hastelloy C-276</t>
  </si>
  <si>
    <t>data from a plot, Material composition NON experimental</t>
  </si>
  <si>
    <t>https://enispa.sharepoint.com/sites/Venicelaboratories-FLiNaKandFLiBecorrosion/Documenti%20condivisi/FLiNaK%20and%20FLiBe%20corrosion/3.%20Letteratura/Attività%202023/2009_High%20Performance%20Corrosion%20Resistance%20of%20Nickel-Based%20Alloys%20in%20Molten%20Salt%20FLiBe.pdf</t>
  </si>
  <si>
    <t>F0Inconel 6002009Kondo</t>
  </si>
  <si>
    <t>Inconel 600</t>
  </si>
  <si>
    <t>F0Inconel 6252009Kondo</t>
  </si>
  <si>
    <t>Inconel 625</t>
  </si>
  <si>
    <t>F1GH35352023Wang</t>
  </si>
  <si>
    <t>Chinese Academy of Sciences, University of Chinese Academy of Sciences</t>
  </si>
  <si>
    <t>Wang</t>
  </si>
  <si>
    <t>F1</t>
  </si>
  <si>
    <t>Forse non è lo stesso articolo dell'originale, c'era segnato un altro esperimento praticamente prima, cerca cos'altro ha fatto Wang</t>
  </si>
  <si>
    <t>https://enispa.sharepoint.com/sites/Venicelaboratories-FLiNaKandFLiBecorrosion/Documenti%20condivisi/FLiNaK%20and%20FLiBe%20corrosion/3.%20Letteratura/Attività%202023/2023_Effect%20of%20metallic%20ion%20products%20on%20the%20corrosion%20of%20GH3535%20Alloy%20in%20a%20Eutectin%20(Li,%20Na,%20K)%20F%20melt.pdf</t>
  </si>
  <si>
    <t>G1Hastelloy B-32014Ouyang</t>
  </si>
  <si>
    <t>G1</t>
  </si>
  <si>
    <t>https://enispa.sharepoint.com/sites/Venicelaboratories-FLiNaKandFLiBecorrosion/Documenti%20condivisi/FLiNaK%20and%20FLiBe%20corrosion/3.%20Letteratura/Attività%202023/2014_Ouyang_Long-term%20corrosion%20behaviors%20of%20Hastelloy-N%20and%20Hastelloy-B3%20in%20moisture....pdf</t>
  </si>
  <si>
    <t>G1Hastelloy N2014Ouyang</t>
  </si>
  <si>
    <t>H1316 L SS2020MCAlpine</t>
  </si>
  <si>
    <t>MCAlpine</t>
  </si>
  <si>
    <t>H1</t>
  </si>
  <si>
    <t>H1Hastelloy N2020MCAlpine</t>
  </si>
  <si>
    <t>H1Incoloy 800H2020MCAlpine</t>
  </si>
  <si>
    <t>H1Ni 2012020MCAlpine</t>
  </si>
  <si>
    <t>L1316 L SS2023Almousa</t>
  </si>
  <si>
    <t>MIT, Princess Nourah bint Abdulrahman University</t>
  </si>
  <si>
    <t>Almousa</t>
  </si>
  <si>
    <t>L1</t>
  </si>
  <si>
    <t>Material composition NON experimental, is the salt purified? Cr depth values taken from image</t>
  </si>
  <si>
    <t>https://enispa.sharepoint.com/sites/Venicelaboratories-FLiNaKandFLiBecorrosion/Documenti%20condivisi/FLiNaK%20and%20FLiBe%20corrosion/3.%20Letteratura/Attività%202023/2023_Effects%20of%20simultaneous%20proton%20irradiation%20on%20the%20corrosion%20of%20commercial%20alloys%20in%20molten%20fl...PDF</t>
  </si>
  <si>
    <t>L1Incoloy 800H2023Almousa</t>
  </si>
  <si>
    <t>L1Inconel 6002023Almousa</t>
  </si>
  <si>
    <t>M0316 H SS2022Pint</t>
  </si>
  <si>
    <t>M0</t>
  </si>
  <si>
    <t>Inpurities in the salt not in the table</t>
  </si>
  <si>
    <t>https://enispa.sharepoint.com/sites/Venicelaboratories-FLiNaKandFLiBecorrosion/Documenti%20condivisi/FLiNaK%20and%20FLiBe%20corrosion/3.%20Letteratura/Attività%202023/2022_FY–22%20MSR%20Milestone%20M4RD-22OR0603034%20Corrosion%20of%20316H%20Stainless%20Steel....pdf</t>
  </si>
  <si>
    <t>https://enispa.sharepoint.com/sites/Venicelaboratories-FLiNaKandFLiBecorrosion/Documenti%20condivisi/FLiNaK%20and%20FLiBe%20corrosion/3.%20Letteratura/Attività%202023/2022_FY–22%20MSR%20Milestone%20M3AT-22OR0702011%20Corrosion%20of%20316H%20Stainless%20Steel....pdf</t>
  </si>
  <si>
    <t>TCL - HL</t>
  </si>
  <si>
    <t>problems during the cleaning procedure</t>
  </si>
  <si>
    <t>TCL - CL</t>
  </si>
  <si>
    <t>M1316 H SS2022Raiman</t>
  </si>
  <si>
    <t>Texas A&amp;M University, ORNL</t>
  </si>
  <si>
    <t>Raiman</t>
  </si>
  <si>
    <t>L0</t>
  </si>
  <si>
    <t>Electrochemical Systems, Inc., ORNL spin-off</t>
  </si>
  <si>
    <t>data from a plot. Le temperature scritte nel grafico della Cr depletion sono diverse da quelle del grafico sul weight loss. Le impurities dopo test non sono misurate tutte, quelle non misurate sono state tenute constanti da me….. Molte delle impurities non sono riportate in tabella</t>
  </si>
  <si>
    <t>https://enispa.sharepoint.com/sites/Venicelaboratories-FLiNaKandFLiBecorrosion/Documenti%20condivisi/FLiNaK%20and%20FLiBe%20corrosion/3.%20Letteratura/Attività%202023/2022_Corrosion%20of%20316H%20stainless%20steel%20in%20flowing%20FLiNaK%20salt.pdf</t>
  </si>
  <si>
    <t>data from a plot. Le temperature scritte nel grafico della Cr depletion sono diverse da quelle del grafico sul weight loss</t>
  </si>
  <si>
    <t>M1</t>
  </si>
  <si>
    <t>N1NiCr202020Zhou</t>
  </si>
  <si>
    <t>MIT, Berkeley</t>
  </si>
  <si>
    <t>Zhou</t>
  </si>
  <si>
    <t>N1</t>
  </si>
  <si>
    <t>data from a plot. Verifica se le informazioni che hai messo sono sensate (l'intensità di corrente, le dimensioni dei provini, le averaged normalized cr depletion dephts)</t>
  </si>
  <si>
    <t>https://enispa.sharepoint.com/sites/Venicelaboratories-FLiNaKandFLiBecorrosion/Documenti%20condivisi/FLiNaK%20and%20FLiBe%20corrosion/3.%20Letteratura/Attività%202023/2020_Proton%20irradiation-decelerated%20intergranular%20corrosion%20of%20Ni-Cr%20alloys%20in%20molten%20salt.pdf</t>
  </si>
  <si>
    <t>Q1Hastelloy N2009Olson</t>
  </si>
  <si>
    <t>Olson</t>
  </si>
  <si>
    <t>Q1</t>
  </si>
  <si>
    <t>tabella ORNL, weight loss values taken from table 4.1-1. there is the average weight loss and the standard deviation. I should consider the average value or the average+deviation (max value)?</t>
  </si>
  <si>
    <t>https://enispa.sharepoint.com/sites/Venicelaboratories-FLiNaKandFLiBecorrosion/Documenti%20condivisi/FLiNaK%20and%20FLiBe%20corrosion/3.%20Letteratura/Attività%202023/2009_Olson_PhD-Materials%20Corrosion%20in%20Molten%20LiF-NaF-KF%20Eutectic%20Salt.pdf</t>
  </si>
  <si>
    <t>Q1Hastelloy X2009Olson</t>
  </si>
  <si>
    <t>Hastelloy X</t>
  </si>
  <si>
    <t>https://enispa.sharepoint.com/sites/Venicelaboratories-FLiNaKandFLiBecorrosion/Documenti%20condivisi/FLiNaK%20and%20FLiBe%20corrosion/3.%20Letteratura/Attività%202023/2009_Olson_Materials%20corrosion%20in%20molten%20LiF–NaF–KF%20salt.pdf</t>
  </si>
  <si>
    <t>Q1Haynes 2302009Olson</t>
  </si>
  <si>
    <t>Haynes 230</t>
  </si>
  <si>
    <t>Q1Incoloy 800H2009Olson</t>
  </si>
  <si>
    <t>Q1Inconel 6172009Olson</t>
  </si>
  <si>
    <t>Inconel 617</t>
  </si>
  <si>
    <t>Q1Nb-1Zr2009Olson</t>
  </si>
  <si>
    <t>Nb-1zr</t>
  </si>
  <si>
    <t>Q1Ni-2012009Olson</t>
  </si>
  <si>
    <t>R0Hastelloy N2023Sankar</t>
  </si>
  <si>
    <t>ORNL, Georgia Institute of Technology</t>
  </si>
  <si>
    <t>Sankar</t>
  </si>
  <si>
    <t>R0</t>
  </si>
  <si>
    <t>This FLiBe was really purified, also the others?... I dati della max Cr depletion fino ad Alloy 617 si riferiscono alla bulk depletion, da Alloy 600 in poi alla grain moundaries depletion</t>
  </si>
  <si>
    <t>https://enispa.sharepoint.com/sites/Venicelaboratories-FLiNaKandFLiBecorrosion/Documenti%20condivisi/FLiNaK%20and%20FLiBe%20corrosion/3.%20Letteratura/Attività%202023/2023_Evaluation%20of%20Corrosion%20Behavior%20of%20Various%20Fe%20and%20Ni%20Based%20Alloys%20in%20Molten%20Li2BeF4%20FLiBe.pdf</t>
  </si>
  <si>
    <t>R0Haynes 2442023Sankar</t>
  </si>
  <si>
    <t>Haynes 244</t>
  </si>
  <si>
    <t>R0Hastelloy B-32023Sankar</t>
  </si>
  <si>
    <t>R0Haynes 2422023Sankar</t>
  </si>
  <si>
    <t>R0Hastelloy C-2762023Sankar</t>
  </si>
  <si>
    <t>R0Haynes 2302023Sankar</t>
  </si>
  <si>
    <t>R0Inconel 6252023Sankar</t>
  </si>
  <si>
    <t>R0Alloy 6252023Sankar</t>
  </si>
  <si>
    <t>R0Inconel 6172023Sankar</t>
  </si>
  <si>
    <t>R0Inconel 6002023Sankar</t>
  </si>
  <si>
    <t>R0Incoloy 800H2023Sankar</t>
  </si>
  <si>
    <t>R0316 H SS2023Sankar</t>
  </si>
  <si>
    <t>R0321 SS2023Sankar</t>
  </si>
  <si>
    <t>321 SS</t>
  </si>
  <si>
    <t>S0GH35352024Ji</t>
  </si>
  <si>
    <t>Chinese Academy of Sciences, University of Chinese Academy of Sciences, Shanghai Tech University</t>
  </si>
  <si>
    <t>Ji</t>
  </si>
  <si>
    <t>S0</t>
  </si>
  <si>
    <t>NON experimental chem.comp. Del materiale. Proton irradiation PRIMA dell'immersione nel sale fuso</t>
  </si>
  <si>
    <t>https://enispa.sharepoint.com/sites/Venicelaboratories-FLiNaKandFLiBecorrosion/Documenti%20condivisi/FLiNaK%20and%20FLiBe%20corrosion/3.%20Letteratura/Attività%202023/2024_Accelerated%20formation%20of%20M2C%20carbides%20by%20proton%20irradiation%20inhibits%20molten%20salt%20corrosion%20in%20Ni-based%20alloy.pdf</t>
  </si>
  <si>
    <t>T0316 L SS2009Kondo</t>
  </si>
  <si>
    <t>T0</t>
  </si>
  <si>
    <t>Material composition NON experimental</t>
  </si>
  <si>
    <t>https://enispa.sharepoint.com/sites/Venicelaboratories-FLiNaKandFLiBecorrosion/Documenti%20condivisi/FLiNaK%20and%20FLiBe%20corrosion/3.%20Letteratura/Attività%202023/2009_kondo_Metallurgical.pdf</t>
  </si>
  <si>
    <t>T0SS3042009Kondo</t>
  </si>
  <si>
    <t>SS304</t>
  </si>
  <si>
    <t>P1Incoloy 800H2018Dai</t>
  </si>
  <si>
    <t>Dai</t>
  </si>
  <si>
    <t>P1</t>
  </si>
  <si>
    <t>https://enispa.sharepoint.com/sites/Venicelaboratories-FLiNaKandFLiBecorrosion/Documenti%20condivisi/FLiNaK%20and%20FLiBe%20corrosion/3.%20Letteratura/Attività%202024/graphite/2018_Dai_Corrosion%20of%20Incoloy%20800H%20alloys%20with%20nickel%20cladding%20in%20FLiNaK%20salts%20at%2085.pdf</t>
  </si>
  <si>
    <t>P1ERNi-12018Dai</t>
  </si>
  <si>
    <t>ERNi-1 TOP</t>
  </si>
  <si>
    <t>cladding, Si &amp; C fraction of the alloy not detectable</t>
  </si>
  <si>
    <t>ERNi-1 BOTTOM</t>
  </si>
  <si>
    <t>P1Hastelloy N2018Dai</t>
  </si>
  <si>
    <t>R1Hastelloy N2020Liu</t>
  </si>
  <si>
    <t>Chinese Academy of Science, Dalian National Laboratory for Clean Energy, Berkeley</t>
  </si>
  <si>
    <t>Liu</t>
  </si>
  <si>
    <t>R1</t>
  </si>
  <si>
    <t>An alumina ceramic slice was used to isolate samples from the nickel crucible to prevent galvanic corrosion. See Paper: Criteria for evaluate the corrosion susceptibility of an alloy</t>
  </si>
  <si>
    <t>https://enispa.sharepoint.com/sites/Venicelaboratories-FLiNaKandFLiBecorrosion/Documenti%20condivisi/FLiNaK%20and%20FLiBe%20corrosion/3.%20Letteratura/Attività%202024/graphite/2020_Liu_Effect%20of%20graphite%20particles%20in%20molten%20LiF-NaF-KF%20eutectic%20salt%20on%20corrosion.pdf</t>
  </si>
  <si>
    <t>S1Ni-26W-6Cr2020Ai</t>
  </si>
  <si>
    <t>Ai</t>
  </si>
  <si>
    <t>S1</t>
  </si>
  <si>
    <t>Ni-26W-6Cr</t>
  </si>
  <si>
    <t>Non tutte le impurità del sale sono presenti nel paper (guardare reference [13]): manca l'impurità Mn che però conosciamo solo all'inizio e non alla fine dell'esperimento</t>
  </si>
  <si>
    <t>https://enispa.sharepoint.com/sites/Venicelaboratories-FLiNaKandFLiBecorrosion/Documenti%20condivisi/FLiNaK%20and%20FLiBe%20corrosion/3.%20Letteratura/Attività%202024/graphite/2021_Ai_Metallic%20impurities%20induced%20corrosion%20of%20a%20Ni-26W-6Cr%20alloy%20in%20molten.pdf</t>
  </si>
  <si>
    <t>T1Hastelloy N2023Banarjee</t>
  </si>
  <si>
    <t xml:space="preserve"> Bhabha Atomic Research Centre, Homi Bhabha National Institute</t>
  </si>
  <si>
    <t>Banerjee</t>
  </si>
  <si>
    <t>T1</t>
  </si>
  <si>
    <t>i valori di Cr depletion sono non accurati, i valori di weight loss sono calcolati. See paper: modelled Cr depletion modelled using modified Flick's law</t>
  </si>
  <si>
    <t>https://enispa.sharepoint.com/sites/Venicelaboratories-FLiNaKandFLiBecorrosion/Documenti%20condivisi/FLiNaK%20and%20FLiBe%20corrosion/3.%20Letteratura/Attività%202024/time%20lower%20than%20240%20h/2023_Banerejee_Investigating%20Cr%20dealloying%20and%20Li%20ingress%20in%20NiMoCr%20alloys%20with%20diff.pdf</t>
  </si>
  <si>
    <t>T1Hastelloy X2023Banarjee</t>
  </si>
  <si>
    <t>U1Hastelloy N2023Liu</t>
  </si>
  <si>
    <t>Chinese Academy of Sciences, BinZhou University</t>
  </si>
  <si>
    <t>U1</t>
  </si>
  <si>
    <t>https://enispa.sharepoint.com/sites/Venicelaboratories-FLiNaKandFLiBecorrosion/Documenti%20condivisi/FLiNaK%20and%20FLiBe%20corrosion/3.%20Letteratura/Attività%202024/time%20lower%20than%20240%20h/2023_Liu_Effect%20of%20O2-%20additive%20on%20the%20corrosion%20behavior%20of%20Hastelloy%20N%20alloy%20in.pdf</t>
  </si>
  <si>
    <t>V1Ni-2012011Olson</t>
  </si>
  <si>
    <t>V1</t>
  </si>
  <si>
    <t>https://enispa.sharepoint.com/sites/Venicelaboratories-FLiNaKandFLiBecorrosion/Documenti%20condivisi/FLiNaK%20and%20FLiBe%20corrosion/3.%20Letteratura/Articles%20on%20Corrosion%20(Domenico)/Cladding/2011_Olson_Nickel-plating%20for%20active%20metal%20dissolution.pdf</t>
  </si>
  <si>
    <t>V1Incoloy 800H2011Olson</t>
  </si>
  <si>
    <t>V1Ni-Plated Incoloy 800H2011Olson</t>
  </si>
  <si>
    <t>Ni-Plated Incoloy 800 H</t>
  </si>
  <si>
    <t>Z1SS3042023Hong</t>
  </si>
  <si>
    <t>Berkeley, University of Virginia</t>
  </si>
  <si>
    <t>Hong</t>
  </si>
  <si>
    <t>Z1</t>
  </si>
  <si>
    <t>material composition approssimativa, non si conoscono le impurities del sale</t>
  </si>
  <si>
    <t>https://enispa.sharepoint.com/sites/Venicelaboratories-FLiNaKandFLiBecorrosion/Documenti%20condivisi/FLiNaK%20and%20FLiBe%20corrosion/3.%20Letteratura/Articles%20on%20Corrosion%20(Domenico)/25)%202023_Hong_Effect%20of%20tellurium%20concentration%20on%20the%20corrosion%20and.pdf</t>
  </si>
  <si>
    <t>AA1Inconel MA7542021Lee</t>
  </si>
  <si>
    <t>ANSTO, UNSW Sydney, Chinese Academy of Sciences</t>
  </si>
  <si>
    <t>Lee</t>
  </si>
  <si>
    <t>AA1</t>
  </si>
  <si>
    <t>Inconel MA754</t>
  </si>
  <si>
    <t>Altre salt impurities nel paper che non ho segnato, i weight losses sono delle medie tra diversi speciments</t>
  </si>
  <si>
    <t>https://enispa.sharepoint.com/sites/Venicelaboratories-FLiNaKandFLiBecorrosion/Documenti%20condivisi/FLiNaK%20and%20FLiBe%20corrosion/3.%20Letteratura/Articles%20on%20Corrosion%20(Domenico)/26)%202020_Lee_Corrosion%20performance%20of%20Ni-based%20structural%20alloys%20for%20applications.pdf</t>
  </si>
  <si>
    <t>AA1GH35352021Lee</t>
  </si>
  <si>
    <t>AA1hastelloy N2021Lee</t>
  </si>
  <si>
    <t>C0316 H SS2021Pint</t>
  </si>
  <si>
    <t>C0</t>
  </si>
  <si>
    <t>Kairos Power</t>
  </si>
  <si>
    <t>https://enispa.sharepoint.com/sites/Venicelaboratories-FLiNaKandFLiBecorrosion/Documenti%20condivisi/FLiNaK%20and%20FLiBe%20corrosion/3.%20Letteratura/Articles%20on%20Corrosion%20(Domenico)/27-b)%202021_Pint_FY–21%20MSR%20Milestone%20M3AT-21OR0704012%20FLiBe%20Capsule%20Testing%20of%20316H.pdf</t>
  </si>
  <si>
    <t>https://enispa.sharepoint.com/sites/Venicelaboratories-FLiNaKandFLiBecorrosion/Documenti%20condivisi/FLiNaK%20and%20FLiBe%20corrosion/3.%20Letteratura/Articles%20on%20Corrosion%20(Domenico)/27-a)%202023_Sulejmanovic_Compatibility%20of%20316H%20in%20Static%20and%20Flowing%20FLiBe.pdf</t>
  </si>
  <si>
    <t>AB1Hastelloy N2016Ye</t>
  </si>
  <si>
    <t>Ye</t>
  </si>
  <si>
    <t>AB1</t>
  </si>
  <si>
    <t>https://enispa.sharepoint.com/sites/Venicelaboratories-FLiNaKandFLiBecorrosion/Documenti%20condivisi/FLiNaK%20and%20FLiBe%20corrosion/3.%20Letteratura/Articles%20on%20Corrosion%20(Domenico)/28)%202016_Ye_The%20high-temperature%20corrosion%20of%20Hastelloy%20N%20alloy%20(UNS%20N10003).pdf</t>
  </si>
  <si>
    <t>AC1GH35352018Ai</t>
  </si>
  <si>
    <t>Chinese Academy of Sciences, University of Chinese Academy of Sciences, c General Electric (China) Research and Development Center Co. Ltd</t>
  </si>
  <si>
    <t>AC1</t>
  </si>
  <si>
    <t>Shanghai Institute of Organic Chemistry, Chinese Academy of Sciences</t>
  </si>
  <si>
    <t>Controlla il paper, ci sono due esperimenti: provino elettricamente isolato dal crucible in grafite e non</t>
  </si>
  <si>
    <t>https://enispa.sharepoint.com/sites/Venicelaboratories-FLiNaKandFLiBecorrosion/Documenti%20condivisi/FLiNaK%20and%20FLiBe%20corrosion/3.%20Letteratura/Articles%20on%20Corrosion%20(Domenico)/29)%202018_Ai_Influence%20of%20graphite-alloy%20interactions%20on%20corrosion%20of%20Ni-Mo-Cr%20alloy%20in.pdf</t>
  </si>
  <si>
    <t>AD1GH35352019Ai</t>
  </si>
  <si>
    <t>Chinese Academy of Sciences, University of Chinese Academy of Sciences, Shanghai Normal University</t>
  </si>
  <si>
    <t>AD1</t>
  </si>
  <si>
    <t>https://enispa.sharepoint.com/sites/Venicelaboratories-FLiNaKandFLiBecorrosion/Documenti%20condivisi/FLiNaK%20and%20FLiBe%20corrosion/3.%20Letteratura/Articles%20on%20Corrosion%20(Domenico)/30)%202019_Ai_On%20the%20possibility%20of%20severe%20corrosion%20of%20a%20Ni-W-Cr%20alloy%20in%20fluoride.pdf</t>
  </si>
  <si>
    <t>AD1Ni-26W-6Cr2019Ai</t>
  </si>
  <si>
    <t>AE1Alloy 7092024Yin</t>
  </si>
  <si>
    <t>Virginia Polytechnic Institute and State University, Chinese Academy of Sciences</t>
  </si>
  <si>
    <t>Yin</t>
  </si>
  <si>
    <t>AE1</t>
  </si>
  <si>
    <t>Alloy 709</t>
  </si>
  <si>
    <t>https://enispa.sharepoint.com/sites/Venicelaboratories-FLiNaKandFLiBecorrosion/Documenti%20condivisi/FLiNaK%20and%20FLiBe%20corrosion/3.%20Letteratura/Articles%20on%20Corrosion%20(Domenico)/21)%20Europium-driven%20Alloy%20709%20corrosion%20in%20static%20FLiNaK%20molten%20salt%20at%20700%20°C.pdf</t>
  </si>
  <si>
    <t>AF1Hastelloy B2014Sona</t>
  </si>
  <si>
    <t>Institute of Chemical Technology, Bhabha Atomic Research Centre</t>
  </si>
  <si>
    <t>Sona</t>
  </si>
  <si>
    <t>AF1</t>
  </si>
  <si>
    <t>Hastelloy B</t>
  </si>
  <si>
    <t>SDFCL, Spectrochem Private Limited</t>
  </si>
  <si>
    <t>https://enispa.sharepoint.com/sites/Venicelaboratories-FLiNaKandFLiBecorrosion/Documenti%20condivisi/FLiNaK%20and%20FLiBe%20corrosion/3.%20Letteratura/Articles%20on%20Corrosion%20(Domenico)/15)%202014_Sona_High%20temperature%20corrosion%20studies%20in%20molten%20salt-FLiNaK.pdf</t>
  </si>
  <si>
    <t>AF1Ni-2012014Sona</t>
  </si>
  <si>
    <t>AF1316 L SS2014Sona</t>
  </si>
  <si>
    <t>AF1317 L SS2014Sona</t>
  </si>
  <si>
    <t>317 L SS</t>
  </si>
  <si>
    <t>AF1ncoloy 800H2014Sona</t>
  </si>
  <si>
    <t>AF1Inconel 6252014Sona</t>
  </si>
  <si>
    <t>A2316 L SS2025Cihlar</t>
  </si>
  <si>
    <t>Research Centre Rez, Cxech Technical University</t>
  </si>
  <si>
    <t>Cihlar</t>
  </si>
  <si>
    <t>A2</t>
  </si>
  <si>
    <t>NaF-NaBF4</t>
  </si>
  <si>
    <t>il sale non è né FLiBe né FLiNaK</t>
  </si>
  <si>
    <t>https://enispa.sharepoint.com/sites/Venicelaboratories-FLiNaKandFLiBecorrosion/Documenti%20condivisi/FLiNaK%20and%20FLiBe%20corrosion/3.%20Letteratura/Articles%20on%20Corrosion%20(Domenico)/11)%20Corrosion%20of%20structural%20materials%20in%20NaF-NaBF4%20molten%20salt.pdf</t>
  </si>
  <si>
    <t>A2Incoloy 800HT2025Cihlar</t>
  </si>
  <si>
    <t>Incoloy 800 HT</t>
  </si>
  <si>
    <t>A2HN80MTY2025Cihlar</t>
  </si>
  <si>
    <t>HN80MTY</t>
  </si>
  <si>
    <t>A2Inconel 6002025Cihlar</t>
  </si>
  <si>
    <t>A2Inconel 6252025Cihlar</t>
  </si>
  <si>
    <t>A2Inconel 7182025Cihlar</t>
  </si>
  <si>
    <t>Inconel 718</t>
  </si>
  <si>
    <t>A2MoNiCr2025Cihlar</t>
  </si>
  <si>
    <t>AG1316 SS2024Hong</t>
  </si>
  <si>
    <t>Berkeley, NRCN, Korea Atomic Energy Research Institute</t>
  </si>
  <si>
    <t>AG1</t>
  </si>
  <si>
    <t>316 SS</t>
  </si>
  <si>
    <t>Ci sono altri test nel paper, sempre con 316 SS, ma Cold Forged a diverse intensità. La composizione dell'acciaio è approssimativa</t>
  </si>
  <si>
    <t>https://enispa.sharepoint.com/sites/Venicelaboratories-FLiNaKandFLiBecorrosion/Documenti%20condivisi/FLiNaK%20and%20FLiBe%20corrosion/3.%20Letteratura/Articles%20on%20Corrosion%20(Domenico)/10)%20Corrosion%20mechanism%20of%20cold%20forged%20316%20stainless%20steel%20in%20molten%20FLiNaK%20salt.pdf</t>
  </si>
  <si>
    <t>AH1Cr2014Qui</t>
  </si>
  <si>
    <t>Qui</t>
  </si>
  <si>
    <t>AH1</t>
  </si>
  <si>
    <t>https://enispa.sharepoint.com/sites/Venicelaboratories-FLiNaKandFLiBecorrosion/Documenti%20condivisi/FLiNaK%20and%20FLiBe%20corrosion/3.%20Letteratura/Articles%20on%20Corrosion%20(Domenico)/32)%202014_Qiu_Compatibility%20of%20container%20materials%20with%20Cr%20in%20molten%20FLiNaK%20salt.pdf</t>
  </si>
  <si>
    <t>AL1316 L SS2012Cheng</t>
  </si>
  <si>
    <t>University of Wisconsin Madison, National Taiwan University of Science and Technology</t>
  </si>
  <si>
    <t>Cheng</t>
  </si>
  <si>
    <t>AL1</t>
  </si>
  <si>
    <t>"We placed 513 6 2.5 g of broken-up salt and 10 g of pure Zr rod into each crucible". Samples gained weight. Nominal composition of the samples</t>
  </si>
  <si>
    <t>https://enispa.sharepoint.com/sites/Venicelaboratories-FLiNaKandFLiBecorrosion/Documenti%20condivisi/FLiNaK%20and%20FLiBe%20corrosion/3.%20Letteratura/Articles%20on%20Corrosion%20(Domenico)/33)%202012_Cheng_Zirconium%20Effect%20on%20the%20Corrosion%20Behavior%20of%20316L%20Stainless%20Steel%20Alloy%20and%20Hastelloy-N%20Superalloy%20in%20Molten%20Fluoride%20Salt.pdf</t>
  </si>
  <si>
    <t>AL1Hastelloy N2012Cheng</t>
  </si>
  <si>
    <t>AM1Ni-2012015Olson</t>
  </si>
  <si>
    <t>Savannah River National Laboratory, Woodward Inc., University of Winsconsin-Madison</t>
  </si>
  <si>
    <t>AM1</t>
  </si>
  <si>
    <t>Salt from different sources, it's difficult to understand which salt has been used in the experiments</t>
  </si>
  <si>
    <t>https://enispa.sharepoint.com/sites/Venicelaboratories-FLiNaKandFLiBecorrosion/Documenti%20condivisi/FLiNaK%20and%20FLiBe%20corrosion/3.%20Letteratura/Articles%20on%20Corrosion%20(Domenico)/34)%202015_Olson_Impact%20of%20Corrosion%20Test%20Container%20Material%20in%20Molten%20Fluorides.pdf</t>
  </si>
  <si>
    <t>AM1Hastelloy N2015Olson</t>
  </si>
  <si>
    <t>AM1Incoloy 800H2015Olson</t>
  </si>
  <si>
    <t>AN1Inconel 6002013Liu</t>
  </si>
  <si>
    <t>Chinese Academy of Sciences</t>
  </si>
  <si>
    <t>AN1</t>
  </si>
  <si>
    <t>Strano , i sample non sono sospesi con dei fili come al solito, ma sono appoggiati al fondo del crogiolo</t>
  </si>
  <si>
    <t>https://enispa.sharepoint.com/sites/Venicelaboratories-FLiNaKandFLiBecorrosion/Documenti%20condivisi/FLiNaK%20and%20FLiBe%20corrosion/3.%20Letteratura/Articles%20on%20Corrosion%20(Domenico)/35)%202013_Liu_Investigation%20on%20corrosion%20behavior%20of%20Ni-based%20alloys%20in%20molten%20fluoride.pdf</t>
  </si>
  <si>
    <t>Strano , isample non sono sospesi con dei fili come al solito, ma sono appoggiati al fondo del crogiolo</t>
  </si>
  <si>
    <t>AN1Hastelloy X2013Liu</t>
  </si>
  <si>
    <t>AN1Hastelloy C-2762013Liu</t>
  </si>
  <si>
    <t>https://enispa.sharepoint.com/sites/Venicelaboratories-FLiNaKandFLiBecorrosion/Documenti%20condivisi/FLiNaK%20and%20FLiBe%20corrosion/3.%20Letteratura/Articles%20on%20Corrosion%20(Domenico)/36)%202013_Ignatiev_Alloys%20compatibility%20in%20molten%20salt%20fluorides.pdf</t>
  </si>
  <si>
    <t>https://enispa.sharepoint.com/sites/Venicelaboratories-FLiNaKandFLiBecorrosion/Documenti%20condivisi/FLiNaK%20and%20FLiBe%20corrosion/3.%20Letteratura/Articles%20on%20Corrosion%20(Domenico)/38)%202020_Doniger_Investigation%20of%20impurity%20driven%20corrosion%20behavior%20in.pdf</t>
  </si>
  <si>
    <t>https://enispa.sharepoint.com/sites/Venicelaboratories-FLiNaKandFLiBecorrosion/Documenti%20condivisi/FLiNaK%20and%20FLiBe%20corrosion/3.%20Letteratura/Articles%20on%20Corrosion%20(Domenico)/24)%20The%20inhibition%20of%20the%20interaction%20between%20CVD%20SiC%20and%20GH3535%20alloy%20in%20molten%20LiF-NaF-KF%20salt%20by%20the%20Li%20metal.pdf</t>
  </si>
  <si>
    <t>($AM2*($BJ$336+$BI$336*$I2)+$AN2*(($BJ$337+$BI$337*$I2)+($BJ$338+$BI$338*$I2))*0.5+$AO2*(($BJ$339+$BI$339*$I2)+($BJ$340+$BI$340*$I2))*0.5+$AP2*(($BJ$341+$BI$341*$I2)+($BJ$342+$BI$342*$I2))*0.5+$AQ2*($BJ$343+$BI$343*$I2)+$AR2*($BJ$344+$BI$344*$I2)+$AS2*($BJ$345+$BI$345*$I2)+$AT2*($BJ$346+$BI$346*$I2)+$AU2*($BJ$347+$BI$347*$I2)+$BF2*($BJ$348+$BI$348*$I2)+$BL$358*($AV2*($BK$359/($BJ$359+$BI$359*(273.15+$I2)))+$AW2*($BK$360/($BJ$360+$BI$360*(273.15+$I2)))+$AX2*($BK$361/($BJ$361+$BI$361*(273.15+$I2)))+$AY2*($BK$362/($BJ$362+$BI$362*(273.15+$I2)))+$AZ2*($BK$363/($BJ$363+$BI$363*(273.15+$I2)))+$BB2*($BK$365/($BJ$365+$BI$365*(273.15+$I2)))+$BC2*($BK$366/($BJ$366+$BI$366*(273.15+$I2))))+$BI2*($BK$368/($BJ$368+$BI$368*(273.15+$I2))))/(SOMMA($AM2:$BJ2)-SOMMA($BA2;$BD2;$BE2;$BG2;$BH2;$BJ2))</t>
  </si>
  <si>
    <t>https://chembook.org/page-nonav.php?chnum=1&amp;sect=5</t>
  </si>
  <si>
    <t>PROVA [</t>
  </si>
  <si>
    <t>°C] con Ni</t>
  </si>
  <si>
    <t>Elementi</t>
  </si>
  <si>
    <t>Masse molari elementi</t>
  </si>
  <si>
    <t>Coefficienti per V o G?
(1-V 0-G)</t>
  </si>
  <si>
    <t>Number of electrons (n)</t>
  </si>
  <si>
    <t>Redox potentials linear coefficients [V]
(T in °C)</t>
  </si>
  <si>
    <t>Average number of electrons (n)</t>
  </si>
  <si>
    <t>Average redox potentials linear coefficients [V]</t>
  </si>
  <si>
    <t>Gibbs free energy linear coefficients [kcal/gfw]
(T in K)</t>
  </si>
  <si>
    <t>Ni Redox potential [V] from lin. Coeff.</t>
  </si>
  <si>
    <t>Ni Gibbs free energy [kcal/gfw] from lin. Coeff.</t>
  </si>
  <si>
    <t>Ni Gibbs free energy [J/mol] from Nerst eqation</t>
  </si>
  <si>
    <t xml:space="preserve">Ni Gibbs free energy [J/mol]. Conversion from lin. Coeff. </t>
  </si>
  <si>
    <t>F</t>
  </si>
  <si>
    <t>//</t>
  </si>
  <si>
    <t>Moltiplico solo per 4184 (conversione kcal-&gt;J)? O anche per la massa molare?</t>
  </si>
  <si>
    <t>Cr-CrF2[lower]</t>
  </si>
  <si>
    <t>Cr-CrF3[upper]</t>
  </si>
  <si>
    <t>Mo-MoF5[lower]</t>
  </si>
  <si>
    <t>Mo-MoF6[upper]</t>
  </si>
  <si>
    <t>°C] con Mn</t>
  </si>
  <si>
    <t>Fe-FeF2[lower]</t>
  </si>
  <si>
    <t>Fe-FeF3[upper]</t>
  </si>
  <si>
    <t>Mn Redox potential [V] from lin. Coeff.</t>
  </si>
  <si>
    <t>Mn Gibbs free energy [kcal/gfw] from lin. Coeff.</t>
  </si>
  <si>
    <t>Mn Gibbs free energy [J/mol] from Nerst eqation</t>
  </si>
  <si>
    <t xml:space="preserve">Mn Gibbs free energy [J/mol]. Conversion from lin. Coeff. </t>
  </si>
  <si>
    <t>O</t>
  </si>
  <si>
    <t>N</t>
  </si>
  <si>
    <t>H</t>
  </si>
  <si>
    <t>Si</t>
  </si>
  <si>
    <t>C</t>
  </si>
  <si>
    <t>Cu</t>
  </si>
  <si>
    <t>Nb</t>
  </si>
  <si>
    <t>V</t>
  </si>
  <si>
    <t>P</t>
  </si>
  <si>
    <t>S</t>
  </si>
  <si>
    <t>B</t>
  </si>
  <si>
    <t>Mg</t>
  </si>
  <si>
    <t>Sn</t>
  </si>
  <si>
    <t>Sn-SnF4</t>
  </si>
  <si>
    <t>Be-BeF2[FliBe]</t>
  </si>
  <si>
    <t>K_x0002_-KF[FliNaK]</t>
  </si>
  <si>
    <t>Li-LiF[FliBe]</t>
  </si>
  <si>
    <t>Li-LiF[FliNaK]</t>
  </si>
  <si>
    <t>Na-NaF[FliNaK]</t>
  </si>
  <si>
    <t>Ellingham Diagram fir Selected Fluorides: Part-X</t>
  </si>
  <si>
    <t>Cr-CrF3</t>
  </si>
  <si>
    <t>Mo-MoF6</t>
  </si>
  <si>
    <t>Fe-FeF2</t>
  </si>
  <si>
    <t>In questa sezione rimpicciolita, facendo riferimento anche al foglio "Ellingham diagram linear coeffi", è stata sviluppata con l'intenzione di calcolare i potenziali di ellingham per i materiali e per i crogioli, utilizzando due riferimenti diversi. Inizialmente si è usato il grafico ∆V [V] vs T[°C] [ricavato dal riferimento specificato nella tabella (rimpicciolita) affianco]. Si constata che non tutti gli elementi presenti nelle leghe esaminate sono presenti in tale grafico. Per sopperire alla mancanza di informazioni inerenti tali elementi si è utilizzato un secondo grafico ∆G [kcal/gfw] vs T[K] [ricavato dal riferimento specificato nella tabella (rimpicciolita) affianco]. L'equazione di Nerst permette passare dal ∆G [J] al ∆V [V]. Utilizzando tale equazione si è evinta un incongruenza tra i valori ricavati dai due grafici. Si è quindi deciso di abbandonare tale strada. Si è deciso quindi di considerare solo i valori ricavati dal grafico ∆G [kcal/gfw] vs T[K].</t>
  </si>
  <si>
    <t>($AM2*($BH$353+$BG$353*$I2)+$AN2*(($BH$354+$BG$354*$I2)+($BH$355+$BG$355*$I2))*0.5+$AO2*(($BH$356+$BG$356*$I2)+($BH$357+$BG$357*$I2))*0.5+$AP2*(($BH$358+$BG$358*$I2)+($BH$359+$BG$359*$I2))*0.5+$AQ2*($BH$360+$BG$360*$I2)+$AR2*($BH$361+$BG$361*$I2)+$AS2*($BH$362+$BG$362*$I2)+$AT2*($BH$363+$BG$363*$I2)+$AU2*($BH$364+$BG$364*$I2)+$BF2*($BH$365+$BG$365*$I2))/(SOMMA($AM2:$AU2)+$BF2)</t>
  </si>
  <si>
    <t>Formula usata precedentemente per calcolare il potenziale di ellingham ∆V [V] usando solo i valori calcolati per gli elementi presenti nel grafico ∆V [V] vs T[°C]</t>
  </si>
  <si>
    <r>
      <t xml:space="preserve">ELLINGHAM DIAGRAM GIBBS FREE ENERGY 
</t>
    </r>
    <r>
      <rPr>
        <b/>
        <sz val="11"/>
        <color rgb="FFFF0000"/>
        <rFont val="Calibri"/>
        <family val="2"/>
        <scheme val="minor"/>
      </rPr>
      <t>∆G [kcal/gfw] vs T[K]</t>
    </r>
    <r>
      <rPr>
        <sz val="11"/>
        <color theme="1"/>
        <rFont val="Calibri"/>
        <family val="2"/>
        <scheme val="minor"/>
      </rPr>
      <t xml:space="preserve"> LINEAR COEFFICIENTS </t>
    </r>
  </si>
  <si>
    <t>Ellingham ∆G [kcal/gfw] of material (approx. With Ni-Cr-Mo-Fe-W-Co-Mn-Al-Ti potential weighted by mol%)</t>
  </si>
  <si>
    <t>Ellingham ∆G [kcal/gfw] of crucible (approx. With Ni-Cr-Mo-Fe-W-Co-Mn-Al-Ti potential weighted by mol%)</t>
  </si>
  <si>
    <t>https://enispa.sharepoint.com/sites/Venicelaboratories-FLiNaKandFLiBecorrosion/Documenti%20condivisi/FLiNaK%20and%20FLiBe%20corrosion/3.%20Letteratura/Attività%202023/2019_Zhou_A%20simultaneous%20corrosion-irradiation%20facility%20for%20testing%20molten%20salt-facing%20materials.pdf</t>
  </si>
  <si>
    <t>A0316 L SS2015Zheng0</t>
  </si>
  <si>
    <t>A0316 L SS2015Zheng1</t>
  </si>
  <si>
    <t>A0316 L SS2015Zheng2</t>
  </si>
  <si>
    <t>A0316 L SS2015Zheng3</t>
  </si>
  <si>
    <t>A0316 L SS2015Zheng4</t>
  </si>
  <si>
    <t>A0316 L SS2015Zheng5</t>
  </si>
  <si>
    <t>A0Hastelloy N2015Zheng6</t>
  </si>
  <si>
    <t>A0Hastelloy N2015Zheng7</t>
  </si>
  <si>
    <t>A0Ni-20 Cr2015Zheng8</t>
  </si>
  <si>
    <t>A0Ni-20 Cr2015Zheng9</t>
  </si>
  <si>
    <t>A0Ni-20 Cr2015Zheng10</t>
  </si>
  <si>
    <t>A0Ni-5Cr2015Zheng11</t>
  </si>
  <si>
    <t>A0Ni-5Cr2015Zheng12</t>
  </si>
  <si>
    <t>A0Ni-5Cr2015Zheng13</t>
  </si>
  <si>
    <t>B1Cr2023Pint24</t>
  </si>
  <si>
    <t>B1Cr2023Pint25</t>
  </si>
  <si>
    <t>B1Cr2023Pint26</t>
  </si>
  <si>
    <t>B1Cr2023Pint27</t>
  </si>
  <si>
    <t>B1Cr2023Pint28</t>
  </si>
  <si>
    <t>B1Cr2023Pint29</t>
  </si>
  <si>
    <t>B1Cr2023Pint30</t>
  </si>
  <si>
    <t>B1Cr2023Pint31</t>
  </si>
  <si>
    <t>B1Cr2023Pint32</t>
  </si>
  <si>
    <t>B1Cr2023Pint33</t>
  </si>
  <si>
    <t>B1Cr2023Pint34</t>
  </si>
  <si>
    <t>B1Cr2023Pint35</t>
  </si>
  <si>
    <t>B0Cr2023Pint36</t>
  </si>
  <si>
    <t>B0Cr2023Pint37</t>
  </si>
  <si>
    <t>B0Cr2023Pint38</t>
  </si>
  <si>
    <t>B0Cr2023Pint39</t>
  </si>
  <si>
    <t>B0Cr2023Pint40</t>
  </si>
  <si>
    <t>B0Cr2023Pint41</t>
  </si>
  <si>
    <t>B0Cr2023Pint42</t>
  </si>
  <si>
    <t>B0Cr2023Pint43</t>
  </si>
  <si>
    <t>B0Cr2023Pint44</t>
  </si>
  <si>
    <t>B0Cr2023Pint45</t>
  </si>
  <si>
    <t>B0Cr2023Pint46</t>
  </si>
  <si>
    <t>B0Cr2023Pint47</t>
  </si>
  <si>
    <t>B0Fe2023Pint48</t>
  </si>
  <si>
    <t>B0Fe2023Pint49</t>
  </si>
  <si>
    <t>B0Fe2023Pint50</t>
  </si>
  <si>
    <t>B0Fe2023Pint51</t>
  </si>
  <si>
    <t>B0Fe2023Pint52</t>
  </si>
  <si>
    <t>B0Fe2023Pint53</t>
  </si>
  <si>
    <t>B0Fe2023Pint54</t>
  </si>
  <si>
    <t>B0Fe2023Pint55</t>
  </si>
  <si>
    <t>B0Fe2023Pint56</t>
  </si>
  <si>
    <t>B0Fe2023Pint57</t>
  </si>
  <si>
    <t>B0Fe2023Pint58</t>
  </si>
  <si>
    <t>B0Fe2023Pint59</t>
  </si>
  <si>
    <t>C12316 H SS023Doniger60</t>
  </si>
  <si>
    <t>C12316 H SS023Doniger61</t>
  </si>
  <si>
    <t>C12316 H SS023Doniger62</t>
  </si>
  <si>
    <t>C12316 L SS023Doniger63</t>
  </si>
  <si>
    <t>C12316 L SS023Doniger64</t>
  </si>
  <si>
    <t>C12316 L SS023Doniger65</t>
  </si>
  <si>
    <t>D1Hastelloy B-32013Ouyang66</t>
  </si>
  <si>
    <t>D1Hastelloy B-32013Ouyang67</t>
  </si>
  <si>
    <t>D1Hastelloy B-32013Ouyang68</t>
  </si>
  <si>
    <t>D1Hastelloy B-32013Ouyang69</t>
  </si>
  <si>
    <t>D1Hastelloy B-32013Ouyang70</t>
  </si>
  <si>
    <t>D1Hastelloy B-32013Ouyang71</t>
  </si>
  <si>
    <t>D1Hastelloy N2013Ouyang72</t>
  </si>
  <si>
    <t>D1Hastelloy N2013Ouyang73</t>
  </si>
  <si>
    <t>D1Hastelloy N2013Ouyang74</t>
  </si>
  <si>
    <t>D1Hastelloy N2013Ouyang75</t>
  </si>
  <si>
    <t>D1Hastelloy N2013Ouyang76</t>
  </si>
  <si>
    <t>D1Hastelloy N2013Ouyang77</t>
  </si>
  <si>
    <t>D1Haynes 2422013Ouyang78</t>
  </si>
  <si>
    <t>D1Haynes 2422013Ouyang79</t>
  </si>
  <si>
    <t>D1Haynes 2632013Ouyang80</t>
  </si>
  <si>
    <t>D1Haynes 2632013Ouyang81</t>
  </si>
  <si>
    <t>D1TZM2013Ouyang82</t>
  </si>
  <si>
    <t>D1TZM2013Ouyang83</t>
  </si>
  <si>
    <t>E1GH35352019Murànsky85</t>
  </si>
  <si>
    <t>E1GH35352019Murànsky86</t>
  </si>
  <si>
    <t>E1GH35352019Murànsky87</t>
  </si>
  <si>
    <t>E1Hastelloy N2019Murànsky88</t>
  </si>
  <si>
    <t>E1Hastelloy N2019Murànsky89</t>
  </si>
  <si>
    <t>E1Hastelloy N2019Murànsky90</t>
  </si>
  <si>
    <t>F0Hastelloy C-2762009Kondo94</t>
  </si>
  <si>
    <t>F0Hastelloy C-2762009Kondo95</t>
  </si>
  <si>
    <t>F0Inconel 6002009Kondo96</t>
  </si>
  <si>
    <t>F0Inconel 6002009Kondo97</t>
  </si>
  <si>
    <t>F0Inconel 6252009Kondo98</t>
  </si>
  <si>
    <t>F0Inconel 6252009Kondo99</t>
  </si>
  <si>
    <t>F1GH35352023Wang100</t>
  </si>
  <si>
    <t>F1GH35352023Wang101</t>
  </si>
  <si>
    <t>F1GH35352023Wang102</t>
  </si>
  <si>
    <t>G1Hastelloy B-32014Ouyang103</t>
  </si>
  <si>
    <t>G1Hastelloy B-32014Ouyang104</t>
  </si>
  <si>
    <t>G1Hastelloy B-32014Ouyang105</t>
  </si>
  <si>
    <t>G1Hastelloy B-32014Ouyang106</t>
  </si>
  <si>
    <t>G1Hastelloy N2014Ouyang107</t>
  </si>
  <si>
    <t>G1Hastelloy N2014Ouyang108</t>
  </si>
  <si>
    <t>G1Hastelloy N2014Ouyang109</t>
  </si>
  <si>
    <t>G1Hastelloy N2014Ouyang110</t>
  </si>
  <si>
    <t>H1316 L SS2020MCAlpine111</t>
  </si>
  <si>
    <t>H1316 L SS2020MCAlpine112</t>
  </si>
  <si>
    <t>H1316 L SS2020MCAlpine113</t>
  </si>
  <si>
    <t>H1Hastelloy N2020MCAlpine114</t>
  </si>
  <si>
    <t>H1Hastelloy N2020MCAlpine115</t>
  </si>
  <si>
    <t>H1Hastelloy N2020MCAlpine116</t>
  </si>
  <si>
    <t>H1Incoloy 800H2020MCAlpine117</t>
  </si>
  <si>
    <t>H1Incoloy 800H2020MCAlpine118</t>
  </si>
  <si>
    <t>H1Incoloy 800H2020MCAlpine119</t>
  </si>
  <si>
    <t>H1Ni 2012020MCAlpine120</t>
  </si>
  <si>
    <t>H1Ni 2012020MCAlpine121</t>
  </si>
  <si>
    <t>H1Ni 2012020MCAlpine122</t>
  </si>
  <si>
    <t>L1316 L SS2023Almousa123</t>
  </si>
  <si>
    <t>L1316 L SS2023Almousa124</t>
  </si>
  <si>
    <t>L1316 L SS2023Almousa125</t>
  </si>
  <si>
    <t>L1316 L SS2023Almousa126</t>
  </si>
  <si>
    <t>L1Incoloy 800H2023Almousa127</t>
  </si>
  <si>
    <t>L1Incoloy 800H2023Almousa128</t>
  </si>
  <si>
    <t>L1Incoloy 800H2023Almousa129</t>
  </si>
  <si>
    <t>L1Incoloy 800H2023Almousa130</t>
  </si>
  <si>
    <t>L1Inconel 6002023Almousa131</t>
  </si>
  <si>
    <t>L1Inconel 6002023Almousa132</t>
  </si>
  <si>
    <t>L1Inconel 6002023Almousa133</t>
  </si>
  <si>
    <t>L1Inconel 6002023Almousa134</t>
  </si>
  <si>
    <t>M0316 H SS2022Pint135</t>
  </si>
  <si>
    <t>M0316 H SS2022Pint136</t>
  </si>
  <si>
    <t>M0316 H SS2022Pint137</t>
  </si>
  <si>
    <t>M1316 H SS2022Raiman147</t>
  </si>
  <si>
    <t>M1316 H SS2022Raiman148</t>
  </si>
  <si>
    <t>M1316 H SS2022Raiman149</t>
  </si>
  <si>
    <t>M1316 H SS2022Raiman150</t>
  </si>
  <si>
    <t>M1316 H SS2022Raiman151</t>
  </si>
  <si>
    <t>N1NiCr202020Zhou159</t>
  </si>
  <si>
    <t>N1NiCr202020Zhou160</t>
  </si>
  <si>
    <t>N1NiCr202020Zhou161</t>
  </si>
  <si>
    <t>N1NiCr202020Zhou162</t>
  </si>
  <si>
    <t>N1NiCr202020Zhou163</t>
  </si>
  <si>
    <t>N1NiCr202020Zhou164</t>
  </si>
  <si>
    <t>Q1Hastelloy N2009Olson165</t>
  </si>
  <si>
    <t>Q1Hastelloy X2009Olson166</t>
  </si>
  <si>
    <t>Q1Haynes 2302009Olson167</t>
  </si>
  <si>
    <t>Q1Incoloy 800H2009Olson168</t>
  </si>
  <si>
    <t>Q1Incoloy 800H2009Olson169</t>
  </si>
  <si>
    <t>Q1Incoloy 800H2009Olson170</t>
  </si>
  <si>
    <t>Q1Incoloy 800H2009Olson171</t>
  </si>
  <si>
    <t>Q1Inconel 6172009Olson172</t>
  </si>
  <si>
    <t>Q1Nb-1Zr2009Olson173</t>
  </si>
  <si>
    <t>Q1Ni-2012009Olson174</t>
  </si>
  <si>
    <t>R0Hastelloy N2023Sankar191</t>
  </si>
  <si>
    <t>R0Haynes 2442023Sankar196</t>
  </si>
  <si>
    <t>R0Haynes 2442023Sankar197</t>
  </si>
  <si>
    <t>R0Hastelloy B-32023Sankar187</t>
  </si>
  <si>
    <t>R0Hastelloy B-32023Sankar188</t>
  </si>
  <si>
    <t>R0Haynes 2422023Sankar194</t>
  </si>
  <si>
    <t>R0Haynes 2422023Sankar195</t>
  </si>
  <si>
    <t>R0Hastelloy C-2762023Sankar189</t>
  </si>
  <si>
    <t>R0Hastelloy C-2762023Sankar190</t>
  </si>
  <si>
    <t>R0Haynes 2302023Sankar192</t>
  </si>
  <si>
    <t>R0Haynes 2302023Sankar193</t>
  </si>
  <si>
    <t>R0Inconel 6252023Sankar183</t>
  </si>
  <si>
    <t>R0Alloy 6252023Sankar184</t>
  </si>
  <si>
    <t>R0Inconel 6172023Sankar181</t>
  </si>
  <si>
    <t>R0Inconel 6172023Sankar182</t>
  </si>
  <si>
    <t>R0Inconel 6002023Sankar179</t>
  </si>
  <si>
    <t>R0Inconel 6002023Sankar180</t>
  </si>
  <si>
    <t>R0Incoloy 800H2023Sankar185</t>
  </si>
  <si>
    <t>R0Incoloy 800H2023Sankar186</t>
  </si>
  <si>
    <t>R0316 H SS2023Sankar175</t>
  </si>
  <si>
    <t>R0316 H SS2023Sankar176</t>
  </si>
  <si>
    <t>R0321 SS2023Sankar177</t>
  </si>
  <si>
    <t>R0321 SS2023Sankar178</t>
  </si>
  <si>
    <t>T0316 L SS2009Kondo199</t>
  </si>
  <si>
    <t>T0316 L SS2009Kondo200</t>
  </si>
  <si>
    <t>T0SS3042009Kondo201</t>
  </si>
  <si>
    <t>T0SS3042009Kondo202</t>
  </si>
  <si>
    <t>P1Incoloy 800H2018Dai203</t>
  </si>
  <si>
    <t>P1Hastelloy N2018Dai206</t>
  </si>
  <si>
    <t>R1Hastelloy N2020Liu211</t>
  </si>
  <si>
    <t>R1Hastelloy N2020Liu212</t>
  </si>
  <si>
    <t>R1Hastelloy N2020Liu213</t>
  </si>
  <si>
    <t>R1Hastelloy N2020Liu214</t>
  </si>
  <si>
    <t>T1Hastelloy N2023Banarjee216</t>
  </si>
  <si>
    <t>T1Hastelloy X2023Banarjee217</t>
  </si>
  <si>
    <t>U1Hastelloy N2023Liu218</t>
  </si>
  <si>
    <t>U1Hastelloy N2023Liu219</t>
  </si>
  <si>
    <t>U1Hastelloy N2023Liu220</t>
  </si>
  <si>
    <t>U1Hastelloy N2023Liu221</t>
  </si>
  <si>
    <t>V1Ni-2012011Olson222</t>
  </si>
  <si>
    <t>V1Incoloy 800H2011Olson223</t>
  </si>
  <si>
    <t>Z1SS3042023Hong225</t>
  </si>
  <si>
    <t>Z1SS3042023Hong226</t>
  </si>
  <si>
    <t>Z1SS3042023Hong227</t>
  </si>
  <si>
    <t>Z1SS3042023Hong228</t>
  </si>
  <si>
    <t>AA1Inconel MA7542021Lee229</t>
  </si>
  <si>
    <t>AA1GH35352021Lee230</t>
  </si>
  <si>
    <t>AA1hastelloy N2021Lee231</t>
  </si>
  <si>
    <t>C0316 H SS2021Pint232</t>
  </si>
  <si>
    <t>C0316 H SS2021Pint233</t>
  </si>
  <si>
    <t>AB1Hastelloy N2016Ye234</t>
  </si>
  <si>
    <t>AC1GH35352018Ai235</t>
  </si>
  <si>
    <t>AD1GH35352019Ai236</t>
  </si>
  <si>
    <t>AE1Alloy 7092024Yin238</t>
  </si>
  <si>
    <t>AE1Alloy 7092024Yin239</t>
  </si>
  <si>
    <t>AF1Hastelloy B2014Sona240</t>
  </si>
  <si>
    <t>AF1Hastelloy B2014Sona241</t>
  </si>
  <si>
    <t>AF1Hastelloy B2014Sona242</t>
  </si>
  <si>
    <t>AF1Hastelloy B2014Sona243</t>
  </si>
  <si>
    <t>AF1Ni-2012014Sona244</t>
  </si>
  <si>
    <t>AF1316 L SS2014Sona245</t>
  </si>
  <si>
    <t>AF1317 L SS2014Sona246</t>
  </si>
  <si>
    <t>AF1ncoloy 800H2014Sona247</t>
  </si>
  <si>
    <t>AF1Inconel 6252014Sona248</t>
  </si>
  <si>
    <t>A2316 L SS2025Cihlar249</t>
  </si>
  <si>
    <t>A2316 L SS2025Cihlar250</t>
  </si>
  <si>
    <t>A2316 L SS2025Cihlar251</t>
  </si>
  <si>
    <t>A2316 L SS2025Cihlar252</t>
  </si>
  <si>
    <t>A2Incoloy 800HT2025Cihlar253</t>
  </si>
  <si>
    <t>A2Incoloy 800HT2025Cihlar254</t>
  </si>
  <si>
    <t>A2Incoloy 800HT2025Cihlar255</t>
  </si>
  <si>
    <t>A2Inconel 6002025Cihlar259</t>
  </si>
  <si>
    <t>A2Inconel 6002025Cihlar260</t>
  </si>
  <si>
    <t>A2Inconel 6002025Cihlar261</t>
  </si>
  <si>
    <t>A2Inconel 6002025Cihlar262</t>
  </si>
  <si>
    <t>A2Inconel 6252025Cihlar263</t>
  </si>
  <si>
    <t>A2Inconel 6252025Cihlar264</t>
  </si>
  <si>
    <t>A2Inconel 6252025Cihlar265</t>
  </si>
  <si>
    <t>A2Inconel 7182025Cihlar266</t>
  </si>
  <si>
    <t>A2Inconel 7182025Cihlar267</t>
  </si>
  <si>
    <t>A2Inconel 7182025Cihlar268</t>
  </si>
  <si>
    <t>AG1316 SS2024Hong273</t>
  </si>
  <si>
    <t>AH1Cr2014Qui274</t>
  </si>
  <si>
    <t>AH1Cr2014Qui275</t>
  </si>
  <si>
    <t>AH1Cr2014Qui276</t>
  </si>
  <si>
    <t>AH1Cr2014Qui277</t>
  </si>
  <si>
    <t>AH1Cr2014Qui278</t>
  </si>
  <si>
    <t>AH1Cr2014Qui279</t>
  </si>
  <si>
    <t>AL1316 L SS2012Cheng280</t>
  </si>
  <si>
    <t>AL1Hastelloy N2012Cheng281</t>
  </si>
  <si>
    <t>AM1Ni-2012015Olson282</t>
  </si>
  <si>
    <t>AM1Ni-2012015Olson283</t>
  </si>
  <si>
    <t>AM1Hastelloy N2015Olson284</t>
  </si>
  <si>
    <t>AM1Hastelloy N2015Olson285</t>
  </si>
  <si>
    <t>AM1Incoloy 800H2015Olson286</t>
  </si>
  <si>
    <t>AM1Incoloy 800H2015Olson287</t>
  </si>
  <si>
    <t>AM1Incoloy 800H2015Olson288</t>
  </si>
  <si>
    <t>AM1Incoloy 800H2015Olson289</t>
  </si>
  <si>
    <t>Cr depletion depth data from a plot</t>
  </si>
  <si>
    <t>PBN</t>
  </si>
  <si>
    <t>M0316 H SS2022Pint138</t>
  </si>
  <si>
    <t>M0316 H SS2022Pint139</t>
  </si>
  <si>
    <t>M0316 H SS2022Pint140</t>
  </si>
  <si>
    <t>M0316 H SS2022Pint141</t>
  </si>
  <si>
    <t>M0316 H SS2022Pint142</t>
  </si>
  <si>
    <t>M1316 H SS2022Raiman143</t>
  </si>
  <si>
    <t>M1316 H SS2022Raiman144</t>
  </si>
  <si>
    <t>M1316 H SS2022Raiman145</t>
  </si>
  <si>
    <t>M1316 H SS2022Raiman146</t>
  </si>
  <si>
    <t>M1316 H SS2022Raiman152</t>
  </si>
  <si>
    <t>M1316 H SS2022Raiman153</t>
  </si>
  <si>
    <t>M1316 H SS2022Raiman154</t>
  </si>
  <si>
    <t>M1316 H SS2022Raiman155</t>
  </si>
  <si>
    <t>M1316 H SS2022Raiman156</t>
  </si>
  <si>
    <t>M1316 H SS2022Raiman157</t>
  </si>
  <si>
    <t>M1316 H SS2022Raiman158</t>
  </si>
  <si>
    <t>Test_ID</t>
  </si>
  <si>
    <t>Unique ID</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</si>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</sst>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0"/>
    <numFmt numFmtId="166" formatCode="0.000000000000E+00"/>
    <numFmt numFmtId="167" formatCode="0.0"/>
  </numFmts>
  <fonts count="15" x14ac:knownFonts="1">
    <font>
      <sz val="11"/>
      <color theme="1"/>
      <name val="Calibri"/>
      <family val="2"/>
      <scheme val="minor"/>
    </font>
    <font>
      <b/>
      <sz val="11"/>
      <color theme="0"/>
      <name val="Calibri"/>
      <family val="2"/>
      <scheme val="minor"/>
    </font>
    <font>
      <u/>
      <sz val="11"/>
      <color theme="10"/>
      <name val="Calibri"/>
      <family val="2"/>
      <scheme val="minor"/>
    </font>
    <font>
      <sz val="8"/>
      <name val="Calibri"/>
      <family val="2"/>
      <scheme val="minor"/>
    </font>
    <font>
      <sz val="12"/>
      <color theme="1"/>
      <name val="Calibri"/>
      <family val="2"/>
      <scheme val="minor"/>
    </font>
    <font>
      <sz val="12"/>
      <name val="Calibri"/>
      <family val="2"/>
      <scheme val="minor"/>
    </font>
    <font>
      <u/>
      <sz val="12"/>
      <color theme="10"/>
      <name val="Calibri"/>
      <family val="2"/>
      <scheme val="minor"/>
    </font>
    <font>
      <sz val="14"/>
      <color theme="1"/>
      <name val="Calibri"/>
      <family val="2"/>
      <scheme val="minor"/>
    </font>
    <font>
      <sz val="10"/>
      <color theme="1"/>
      <name val="Calibri"/>
      <family val="2"/>
      <scheme val="minor"/>
    </font>
    <font>
      <sz val="9"/>
      <color theme="1"/>
      <name val="Calibri"/>
      <family val="2"/>
      <scheme val="minor"/>
    </font>
    <font>
      <sz val="16"/>
      <color theme="1"/>
      <name val="Calibri"/>
      <family val="2"/>
      <scheme val="minor"/>
    </font>
    <font>
      <sz val="8"/>
      <color theme="1"/>
      <name val="Calibri"/>
      <family val="2"/>
      <scheme val="minor"/>
    </font>
    <font>
      <b/>
      <sz val="11"/>
      <color rgb="FFFF0000"/>
      <name val="Calibri"/>
      <family val="2"/>
      <scheme val="minor"/>
    </font>
    <font>
      <sz val="18"/>
      <color theme="1"/>
      <name val="Calibri"/>
      <family val="2"/>
      <scheme val="minor"/>
    </font>
    <font>
      <b/>
      <sz val="12"/>
      <color theme="0"/>
      <name val="Calibri"/>
      <family val="2"/>
      <scheme val="minor"/>
    </font>
  </fonts>
  <fills count="10">
    <fill>
      <patternFill patternType="none"/>
    </fill>
    <fill>
      <patternFill patternType="gray125"/>
    </fill>
    <fill>
      <patternFill patternType="solid">
        <fgColor theme="9"/>
        <bgColor theme="9"/>
      </patternFill>
    </fill>
    <fill>
      <patternFill patternType="solid">
        <fgColor rgb="FFFF00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theme="0"/>
        <bgColor indexed="64"/>
      </patternFill>
    </fill>
    <fill>
      <patternFill patternType="solid">
        <fgColor theme="7" tint="0.79998168889431442"/>
        <bgColor indexed="64"/>
      </patternFill>
    </fill>
  </fills>
  <borders count="10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thin">
        <color indexed="64"/>
      </top>
      <bottom style="medium">
        <color indexed="64"/>
      </bottom>
      <diagonal/>
    </border>
    <border>
      <left/>
      <right/>
      <top/>
      <bottom style="medium">
        <color rgb="FFFF0000"/>
      </bottom>
      <diagonal/>
    </border>
    <border>
      <left/>
      <right/>
      <top style="thin">
        <color theme="9" tint="0.3999755851924192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style="medium">
        <color indexed="64"/>
      </left>
      <right style="thin">
        <color indexed="64"/>
      </right>
      <top style="medium">
        <color indexed="64"/>
      </top>
      <bottom style="dashed">
        <color indexed="64"/>
      </bottom>
      <diagonal/>
    </border>
    <border>
      <left style="medium">
        <color indexed="64"/>
      </left>
      <right style="thin">
        <color indexed="64"/>
      </right>
      <top style="dashed">
        <color indexed="64"/>
      </top>
      <bottom style="thin">
        <color indexed="64"/>
      </bottom>
      <diagonal/>
    </border>
    <border>
      <left style="medium">
        <color indexed="64"/>
      </left>
      <right style="thin">
        <color indexed="64"/>
      </right>
      <top style="thin">
        <color indexed="64"/>
      </top>
      <bottom style="dashed">
        <color indexed="64"/>
      </bottom>
      <diagonal/>
    </border>
    <border>
      <left style="medium">
        <color indexed="64"/>
      </left>
      <right style="thin">
        <color indexed="64"/>
      </right>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medium">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medium">
        <color indexed="64"/>
      </bottom>
      <diagonal/>
    </border>
    <border>
      <left/>
      <right style="medium">
        <color indexed="64"/>
      </right>
      <top style="medium">
        <color indexed="64"/>
      </top>
      <bottom style="dashed">
        <color indexed="64"/>
      </bottom>
      <diagonal/>
    </border>
    <border>
      <left/>
      <right style="medium">
        <color indexed="64"/>
      </right>
      <top style="dashed">
        <color indexed="64"/>
      </top>
      <bottom style="thin">
        <color indexed="64"/>
      </bottom>
      <diagonal/>
    </border>
    <border>
      <left/>
      <right style="medium">
        <color indexed="64"/>
      </right>
      <top style="thin">
        <color indexed="64"/>
      </top>
      <bottom style="dashed">
        <color indexed="64"/>
      </bottom>
      <diagonal/>
    </border>
    <border>
      <left/>
      <right style="medium">
        <color indexed="64"/>
      </right>
      <top/>
      <bottom style="dashed">
        <color indexed="64"/>
      </bottom>
      <diagonal/>
    </border>
    <border>
      <left/>
      <right style="medium">
        <color indexed="64"/>
      </right>
      <top style="dashed">
        <color indexed="64"/>
      </top>
      <bottom style="medium">
        <color indexed="64"/>
      </bottom>
      <diagonal/>
    </border>
    <border>
      <left/>
      <right style="thin">
        <color indexed="64"/>
      </right>
      <top style="medium">
        <color indexed="64"/>
      </top>
      <bottom style="dashed">
        <color indexed="64"/>
      </bottom>
      <diagonal/>
    </border>
    <border>
      <left/>
      <right style="thin">
        <color indexed="64"/>
      </right>
      <top style="dashed">
        <color indexed="64"/>
      </top>
      <bottom style="thin">
        <color indexed="64"/>
      </bottom>
      <diagonal/>
    </border>
    <border>
      <left/>
      <right style="thin">
        <color indexed="64"/>
      </right>
      <top style="thin">
        <color indexed="64"/>
      </top>
      <bottom style="dashed">
        <color indexed="64"/>
      </bottom>
      <diagonal/>
    </border>
    <border>
      <left/>
      <right style="thin">
        <color indexed="64"/>
      </right>
      <top/>
      <bottom style="dashed">
        <color indexed="64"/>
      </bottom>
      <diagonal/>
    </border>
    <border>
      <left/>
      <right style="thin">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thin">
        <color indexed="64"/>
      </left>
      <right style="medium">
        <color indexed="64"/>
      </right>
      <top style="dashed">
        <color indexed="64"/>
      </top>
      <bottom style="thin">
        <color indexed="64"/>
      </bottom>
      <diagonal/>
    </border>
    <border>
      <left style="thin">
        <color indexed="64"/>
      </left>
      <right style="medium">
        <color indexed="64"/>
      </right>
      <top style="thin">
        <color indexed="64"/>
      </top>
      <bottom style="dashed">
        <color indexed="64"/>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top/>
      <bottom style="thin">
        <color theme="9" tint="0.39997558519241921"/>
      </bottom>
      <diagonal/>
    </border>
  </borders>
  <cellStyleXfs count="2">
    <xf numFmtId="0" fontId="0" fillId="0" borderId="0"/>
    <xf numFmtId="0" fontId="2" fillId="0" borderId="0" applyNumberFormat="0" applyFill="0" applyBorder="0" applyAlignment="0" applyProtection="0"/>
  </cellStyleXfs>
  <cellXfs count="424">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0" borderId="0" xfId="1" applyAlignment="1">
      <alignment vertical="center"/>
    </xf>
    <xf numFmtId="0" fontId="1" fillId="2" borderId="0" xfId="0" applyFont="1" applyFill="1"/>
    <xf numFmtId="0" fontId="0" fillId="0" borderId="20" xfId="0" applyBorder="1" applyAlignment="1">
      <alignment horizontal="center" vertical="center"/>
    </xf>
    <xf numFmtId="0" fontId="0" fillId="0" borderId="13" xfId="0" applyBorder="1" applyAlignment="1">
      <alignment horizontal="center" vertical="center"/>
    </xf>
    <xf numFmtId="0" fontId="0" fillId="7" borderId="20" xfId="0" applyFill="1" applyBorder="1" applyAlignment="1">
      <alignment vertical="center"/>
    </xf>
    <xf numFmtId="0" fontId="0" fillId="7" borderId="25" xfId="0" applyFill="1" applyBorder="1" applyAlignment="1">
      <alignment vertical="center"/>
    </xf>
    <xf numFmtId="0" fontId="0" fillId="7" borderId="30" xfId="0" applyFill="1" applyBorder="1" applyAlignment="1">
      <alignment vertical="center"/>
    </xf>
    <xf numFmtId="165" fontId="0" fillId="7" borderId="19" xfId="0" applyNumberFormat="1" applyFill="1" applyBorder="1" applyAlignment="1">
      <alignment vertical="center"/>
    </xf>
    <xf numFmtId="0" fontId="0" fillId="7" borderId="31" xfId="0" applyFill="1" applyBorder="1" applyAlignment="1">
      <alignment vertical="center"/>
    </xf>
    <xf numFmtId="0" fontId="0" fillId="0" borderId="20" xfId="0" applyBorder="1" applyAlignment="1">
      <alignment vertical="center"/>
    </xf>
    <xf numFmtId="165" fontId="0" fillId="0" borderId="16" xfId="0" applyNumberFormat="1" applyBorder="1" applyAlignment="1">
      <alignment vertical="center"/>
    </xf>
    <xf numFmtId="0" fontId="0" fillId="0" borderId="21" xfId="0" applyBorder="1" applyAlignment="1">
      <alignment vertical="center"/>
    </xf>
    <xf numFmtId="165" fontId="0" fillId="7" borderId="16" xfId="0" applyNumberFormat="1" applyFill="1" applyBorder="1" applyAlignment="1">
      <alignment vertical="center"/>
    </xf>
    <xf numFmtId="0" fontId="0" fillId="7" borderId="21" xfId="0" applyFill="1" applyBorder="1" applyAlignment="1">
      <alignment vertical="center"/>
    </xf>
    <xf numFmtId="0" fontId="0" fillId="0" borderId="27" xfId="0" applyBorder="1" applyAlignment="1">
      <alignment vertical="center"/>
    </xf>
    <xf numFmtId="0" fontId="0" fillId="7" borderId="28" xfId="0" applyFill="1" applyBorder="1" applyAlignment="1">
      <alignment vertical="center"/>
    </xf>
    <xf numFmtId="0" fontId="0" fillId="0" borderId="26" xfId="0" applyBorder="1" applyAlignment="1">
      <alignment vertical="center"/>
    </xf>
    <xf numFmtId="0" fontId="0" fillId="0" borderId="13" xfId="0" applyBorder="1" applyAlignment="1">
      <alignment vertical="center"/>
    </xf>
    <xf numFmtId="165" fontId="0" fillId="0" borderId="14" xfId="0" applyNumberFormat="1" applyBorder="1" applyAlignment="1">
      <alignment vertical="center"/>
    </xf>
    <xf numFmtId="0" fontId="0" fillId="0" borderId="15" xfId="0" applyBorder="1" applyAlignment="1">
      <alignment vertical="center"/>
    </xf>
    <xf numFmtId="0" fontId="0" fillId="7" borderId="20" xfId="0" applyFill="1" applyBorder="1" applyAlignment="1">
      <alignment horizontal="center" vertical="center"/>
    </xf>
    <xf numFmtId="0" fontId="0" fillId="0" borderId="0" xfId="0" applyAlignment="1">
      <alignment vertical="center"/>
    </xf>
    <xf numFmtId="165" fontId="0" fillId="7" borderId="20" xfId="0" applyNumberFormat="1" applyFill="1" applyBorder="1" applyAlignment="1">
      <alignment vertical="center"/>
    </xf>
    <xf numFmtId="165" fontId="0" fillId="7" borderId="21" xfId="0" applyNumberFormat="1" applyFill="1" applyBorder="1" applyAlignment="1">
      <alignment vertical="center"/>
    </xf>
    <xf numFmtId="165" fontId="0" fillId="0" borderId="20" xfId="0" applyNumberFormat="1" applyBorder="1" applyAlignment="1">
      <alignment vertical="center"/>
    </xf>
    <xf numFmtId="165" fontId="0" fillId="0" borderId="21" xfId="0" applyNumberFormat="1" applyBorder="1" applyAlignment="1">
      <alignment vertical="center"/>
    </xf>
    <xf numFmtId="165" fontId="0" fillId="0" borderId="13" xfId="0" applyNumberFormat="1" applyBorder="1" applyAlignment="1">
      <alignment vertical="center"/>
    </xf>
    <xf numFmtId="165" fontId="0" fillId="0" borderId="15" xfId="0" applyNumberFormat="1" applyBorder="1" applyAlignment="1">
      <alignment vertical="center"/>
    </xf>
    <xf numFmtId="0" fontId="0" fillId="8" borderId="0" xfId="0" applyFill="1" applyAlignment="1">
      <alignment vertical="center"/>
    </xf>
    <xf numFmtId="0" fontId="0" fillId="0" borderId="0" xfId="0" applyAlignment="1">
      <alignment vertical="center" wrapText="1"/>
    </xf>
    <xf numFmtId="0" fontId="4" fillId="0" borderId="0" xfId="0" applyFont="1" applyAlignment="1">
      <alignment vertical="center" wrapText="1"/>
    </xf>
    <xf numFmtId="0" fontId="2" fillId="0" borderId="0" xfId="1" applyBorder="1" applyAlignment="1">
      <alignment vertical="center" wrapText="1"/>
    </xf>
    <xf numFmtId="1" fontId="0" fillId="7" borderId="31" xfId="0" applyNumberFormat="1" applyFill="1" applyBorder="1" applyAlignment="1">
      <alignment vertical="center"/>
    </xf>
    <xf numFmtId="1" fontId="0" fillId="7" borderId="21" xfId="0" applyNumberFormat="1" applyFill="1" applyBorder="1" applyAlignment="1">
      <alignment vertical="center"/>
    </xf>
    <xf numFmtId="1" fontId="0" fillId="0" borderId="21" xfId="0" applyNumberFormat="1" applyBorder="1" applyAlignment="1">
      <alignment vertical="center"/>
    </xf>
    <xf numFmtId="165" fontId="0" fillId="7" borderId="17" xfId="0" applyNumberFormat="1" applyFill="1" applyBorder="1" applyAlignment="1">
      <alignment vertical="center"/>
    </xf>
    <xf numFmtId="165" fontId="0" fillId="0" borderId="17" xfId="0" applyNumberFormat="1" applyBorder="1" applyAlignment="1">
      <alignment vertical="center"/>
    </xf>
    <xf numFmtId="165" fontId="0" fillId="0" borderId="0" xfId="0" applyNumberFormat="1" applyAlignment="1">
      <alignment vertical="center"/>
    </xf>
    <xf numFmtId="0" fontId="0" fillId="0" borderId="16" xfId="0" applyBorder="1" applyAlignment="1">
      <alignment horizontal="center" vertical="center"/>
    </xf>
    <xf numFmtId="0" fontId="0" fillId="7" borderId="16" xfId="0" applyFill="1" applyBorder="1" applyAlignment="1">
      <alignment vertical="center"/>
    </xf>
    <xf numFmtId="0" fontId="0" fillId="0" borderId="16" xfId="0" applyBorder="1" applyAlignment="1">
      <alignment vertical="center"/>
    </xf>
    <xf numFmtId="0" fontId="0" fillId="7" borderId="16" xfId="0" applyFill="1" applyBorder="1" applyAlignment="1">
      <alignment horizontal="center" vertical="center"/>
    </xf>
    <xf numFmtId="1" fontId="0" fillId="0" borderId="21" xfId="0" applyNumberFormat="1" applyBorder="1" applyAlignment="1">
      <alignment horizontal="center" vertical="center"/>
    </xf>
    <xf numFmtId="1" fontId="0" fillId="7" borderId="21" xfId="0" applyNumberFormat="1" applyFill="1" applyBorder="1" applyAlignment="1">
      <alignment horizontal="center" vertical="center"/>
    </xf>
    <xf numFmtId="1" fontId="0" fillId="0" borderId="15" xfId="0" applyNumberFormat="1" applyBorder="1" applyAlignment="1">
      <alignment horizontal="center" vertical="center"/>
    </xf>
    <xf numFmtId="164" fontId="0" fillId="7" borderId="27" xfId="0" applyNumberFormat="1" applyFill="1" applyBorder="1" applyAlignment="1">
      <alignment vertical="center"/>
    </xf>
    <xf numFmtId="164" fontId="0" fillId="0" borderId="27" xfId="0" applyNumberFormat="1" applyBorder="1" applyAlignment="1">
      <alignment vertical="center"/>
    </xf>
    <xf numFmtId="164" fontId="0" fillId="0" borderId="26" xfId="0" applyNumberFormat="1" applyBorder="1" applyAlignment="1">
      <alignment vertical="center"/>
    </xf>
    <xf numFmtId="165"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65" fontId="0" fillId="7" borderId="20" xfId="0" applyNumberFormat="1" applyFill="1" applyBorder="1" applyAlignment="1">
      <alignment horizontal="center" vertical="center"/>
    </xf>
    <xf numFmtId="165" fontId="0" fillId="7" borderId="21" xfId="0" applyNumberFormat="1" applyFill="1" applyBorder="1" applyAlignment="1">
      <alignment horizontal="center" vertical="center"/>
    </xf>
    <xf numFmtId="0" fontId="0" fillId="7" borderId="27" xfId="0" applyFill="1" applyBorder="1" applyAlignment="1">
      <alignment vertical="center"/>
    </xf>
    <xf numFmtId="0" fontId="0" fillId="0" borderId="27" xfId="0" applyBorder="1" applyAlignment="1">
      <alignment horizontal="center" vertical="center"/>
    </xf>
    <xf numFmtId="0" fontId="0" fillId="7" borderId="27" xfId="0" applyFill="1" applyBorder="1" applyAlignment="1">
      <alignment horizontal="center" vertical="center"/>
    </xf>
    <xf numFmtId="0" fontId="0" fillId="7" borderId="19" xfId="0" applyFill="1" applyBorder="1" applyAlignment="1">
      <alignment vertical="center"/>
    </xf>
    <xf numFmtId="164" fontId="0" fillId="7" borderId="28" xfId="0" applyNumberFormat="1" applyFill="1" applyBorder="1" applyAlignment="1">
      <alignment vertical="center"/>
    </xf>
    <xf numFmtId="165" fontId="0" fillId="7" borderId="30" xfId="0" applyNumberFormat="1" applyFill="1" applyBorder="1" applyAlignment="1">
      <alignment vertical="center"/>
    </xf>
    <xf numFmtId="165" fontId="0" fillId="7" borderId="31" xfId="0" applyNumberFormat="1" applyFill="1" applyBorder="1" applyAlignment="1">
      <alignment vertical="center"/>
    </xf>
    <xf numFmtId="0" fontId="0" fillId="0" borderId="14" xfId="0" applyBorder="1" applyAlignment="1">
      <alignment horizontal="center" vertical="center"/>
    </xf>
    <xf numFmtId="165" fontId="0" fillId="0" borderId="13" xfId="0" applyNumberFormat="1" applyBorder="1" applyAlignment="1">
      <alignment horizontal="center" vertical="center"/>
    </xf>
    <xf numFmtId="165" fontId="0" fillId="0" borderId="15" xfId="0" applyNumberFormat="1" applyBorder="1" applyAlignment="1">
      <alignment horizontal="center" vertical="center"/>
    </xf>
    <xf numFmtId="0" fontId="0" fillId="0" borderId="26" xfId="0" applyBorder="1" applyAlignment="1">
      <alignment horizontal="center" vertical="center"/>
    </xf>
    <xf numFmtId="0" fontId="0" fillId="0" borderId="23" xfId="0" applyBorder="1" applyAlignment="1">
      <alignment horizontal="center" vertical="center"/>
    </xf>
    <xf numFmtId="164" fontId="0" fillId="0" borderId="42" xfId="0" applyNumberFormat="1" applyBorder="1" applyAlignment="1">
      <alignment horizontal="right" vertical="center" wrapText="1"/>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2" xfId="0" applyBorder="1" applyAlignment="1">
      <alignment horizontal="center" vertical="center"/>
    </xf>
    <xf numFmtId="0" fontId="0" fillId="0" borderId="42" xfId="0" applyBorder="1" applyAlignment="1">
      <alignment horizontal="center" vertical="center" wrapText="1"/>
    </xf>
    <xf numFmtId="1" fontId="0" fillId="0" borderId="31" xfId="0" applyNumberFormat="1" applyBorder="1" applyAlignment="1">
      <alignment horizontal="center" vertical="center"/>
    </xf>
    <xf numFmtId="0" fontId="0" fillId="7" borderId="11" xfId="0" applyFill="1" applyBorder="1" applyAlignment="1">
      <alignment vertical="center"/>
    </xf>
    <xf numFmtId="1" fontId="0" fillId="7" borderId="12" xfId="0" applyNumberFormat="1" applyFill="1" applyBorder="1" applyAlignment="1">
      <alignment vertical="center"/>
    </xf>
    <xf numFmtId="164" fontId="0" fillId="7" borderId="25" xfId="0" applyNumberFormat="1" applyFill="1" applyBorder="1" applyAlignment="1">
      <alignment vertical="center"/>
    </xf>
    <xf numFmtId="165" fontId="0" fillId="7" borderId="10" xfId="0" applyNumberFormat="1" applyFill="1" applyBorder="1" applyAlignment="1">
      <alignment vertical="center"/>
    </xf>
    <xf numFmtId="165" fontId="0" fillId="7" borderId="12" xfId="0" applyNumberFormat="1" applyFill="1" applyBorder="1" applyAlignment="1">
      <alignment vertical="center"/>
    </xf>
    <xf numFmtId="0" fontId="0" fillId="7" borderId="14" xfId="0" applyFill="1" applyBorder="1" applyAlignment="1">
      <alignment vertical="center"/>
    </xf>
    <xf numFmtId="1" fontId="0" fillId="7" borderId="15" xfId="0" applyNumberFormat="1" applyFill="1" applyBorder="1" applyAlignment="1">
      <alignment vertical="center"/>
    </xf>
    <xf numFmtId="164" fontId="0" fillId="7" borderId="26" xfId="0" applyNumberFormat="1" applyFill="1" applyBorder="1" applyAlignment="1">
      <alignment vertical="center"/>
    </xf>
    <xf numFmtId="0" fontId="0" fillId="7" borderId="26" xfId="0" applyFill="1" applyBorder="1" applyAlignment="1">
      <alignment vertical="center"/>
    </xf>
    <xf numFmtId="165" fontId="0" fillId="7" borderId="13" xfId="0" applyNumberFormat="1" applyFill="1" applyBorder="1" applyAlignment="1">
      <alignment vertical="center"/>
    </xf>
    <xf numFmtId="165" fontId="0" fillId="7" borderId="15" xfId="0" applyNumberFormat="1" applyFill="1"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7" borderId="31" xfId="0" applyFill="1" applyBorder="1" applyAlignment="1">
      <alignment horizontal="right" vertical="center"/>
    </xf>
    <xf numFmtId="0" fontId="0" fillId="0" borderId="21" xfId="0" applyBorder="1" applyAlignment="1">
      <alignment horizontal="right" vertical="center"/>
    </xf>
    <xf numFmtId="0" fontId="0" fillId="7" borderId="21" xfId="0" applyFill="1" applyBorder="1" applyAlignment="1">
      <alignment horizontal="right" vertical="center"/>
    </xf>
    <xf numFmtId="0" fontId="0" fillId="0" borderId="15" xfId="0" applyBorder="1" applyAlignment="1">
      <alignment horizontal="right" vertical="center"/>
    </xf>
    <xf numFmtId="0" fontId="0" fillId="0" borderId="45" xfId="0" applyBorder="1" applyAlignment="1">
      <alignment vertical="center"/>
    </xf>
    <xf numFmtId="0" fontId="0" fillId="0" borderId="45" xfId="0" applyBorder="1" applyAlignment="1">
      <alignment horizontal="center" vertical="center"/>
    </xf>
    <xf numFmtId="0" fontId="0" fillId="0" borderId="41" xfId="0" applyBorder="1" applyAlignment="1">
      <alignment vertical="center"/>
    </xf>
    <xf numFmtId="1" fontId="0" fillId="0" borderId="15" xfId="0" applyNumberFormat="1" applyBorder="1" applyAlignment="1">
      <alignment vertical="center"/>
    </xf>
    <xf numFmtId="0" fontId="0" fillId="0" borderId="24" xfId="0" applyBorder="1" applyAlignment="1">
      <alignment horizontal="center" vertical="center"/>
    </xf>
    <xf numFmtId="0" fontId="0" fillId="0" borderId="47" xfId="0" applyBorder="1" applyAlignment="1">
      <alignment vertical="center"/>
    </xf>
    <xf numFmtId="0" fontId="0" fillId="0" borderId="59" xfId="0" applyBorder="1" applyAlignment="1">
      <alignment vertical="center"/>
    </xf>
    <xf numFmtId="0" fontId="0" fillId="0" borderId="46" xfId="0" applyBorder="1" applyAlignment="1">
      <alignment vertical="center"/>
    </xf>
    <xf numFmtId="0" fontId="0" fillId="0" borderId="60" xfId="0" applyBorder="1" applyAlignment="1">
      <alignment vertical="center"/>
    </xf>
    <xf numFmtId="0" fontId="0" fillId="0" borderId="61" xfId="0" applyBorder="1" applyAlignment="1">
      <alignment vertical="center"/>
    </xf>
    <xf numFmtId="0" fontId="0" fillId="0" borderId="62" xfId="0" applyBorder="1" applyAlignment="1">
      <alignment vertical="center"/>
    </xf>
    <xf numFmtId="0" fontId="0" fillId="0" borderId="63" xfId="0" applyBorder="1" applyAlignment="1">
      <alignment vertical="center"/>
    </xf>
    <xf numFmtId="0" fontId="0" fillId="0" borderId="64" xfId="0" applyBorder="1" applyAlignment="1">
      <alignment vertical="center"/>
    </xf>
    <xf numFmtId="0" fontId="0" fillId="0" borderId="65" xfId="0" applyBorder="1" applyAlignment="1">
      <alignment vertical="center"/>
    </xf>
    <xf numFmtId="0" fontId="0" fillId="0" borderId="66" xfId="0" applyBorder="1" applyAlignment="1">
      <alignment vertical="center"/>
    </xf>
    <xf numFmtId="0" fontId="0" fillId="0" borderId="0" xfId="0" applyAlignment="1">
      <alignment horizontal="right" vertical="center"/>
    </xf>
    <xf numFmtId="0" fontId="0" fillId="0" borderId="67" xfId="0" applyBorder="1" applyAlignment="1">
      <alignment vertical="center"/>
    </xf>
    <xf numFmtId="0" fontId="0" fillId="0" borderId="68" xfId="0" applyBorder="1" applyAlignment="1">
      <alignment vertical="center"/>
    </xf>
    <xf numFmtId="0" fontId="0" fillId="0" borderId="69" xfId="0" applyBorder="1" applyAlignment="1">
      <alignment vertical="center"/>
    </xf>
    <xf numFmtId="0" fontId="0" fillId="0" borderId="70" xfId="0" applyBorder="1" applyAlignment="1">
      <alignment vertical="center"/>
    </xf>
    <xf numFmtId="0" fontId="0" fillId="0" borderId="71" xfId="0" applyBorder="1" applyAlignment="1">
      <alignment vertical="center"/>
    </xf>
    <xf numFmtId="165" fontId="0" fillId="7" borderId="18" xfId="0" applyNumberFormat="1" applyFill="1" applyBorder="1" applyAlignment="1">
      <alignment vertical="center"/>
    </xf>
    <xf numFmtId="165" fontId="0" fillId="0" borderId="32" xfId="0" applyNumberFormat="1" applyBorder="1" applyAlignment="1">
      <alignment vertical="center"/>
    </xf>
    <xf numFmtId="0" fontId="0" fillId="7" borderId="44" xfId="0" applyFill="1" applyBorder="1" applyAlignment="1">
      <alignment vertical="center"/>
    </xf>
    <xf numFmtId="0" fontId="0" fillId="0" borderId="39" xfId="0" applyBorder="1" applyAlignment="1">
      <alignment vertical="center"/>
    </xf>
    <xf numFmtId="0" fontId="0" fillId="7" borderId="39" xfId="0" applyFill="1" applyBorder="1" applyAlignment="1">
      <alignment vertical="center"/>
    </xf>
    <xf numFmtId="0" fontId="0" fillId="0" borderId="40" xfId="0" applyBorder="1" applyAlignment="1">
      <alignment vertical="center"/>
    </xf>
    <xf numFmtId="2" fontId="0" fillId="0" borderId="59" xfId="0" applyNumberFormat="1" applyBorder="1" applyAlignment="1">
      <alignment vertical="center"/>
    </xf>
    <xf numFmtId="2" fontId="0" fillId="0" borderId="62" xfId="0" applyNumberFormat="1" applyBorder="1" applyAlignment="1">
      <alignment vertical="center"/>
    </xf>
    <xf numFmtId="2" fontId="0" fillId="0" borderId="46" xfId="0" applyNumberFormat="1" applyBorder="1" applyAlignment="1">
      <alignment vertical="center"/>
    </xf>
    <xf numFmtId="2" fontId="0" fillId="0" borderId="63" xfId="0" applyNumberFormat="1" applyBorder="1" applyAlignment="1">
      <alignment vertical="center"/>
    </xf>
    <xf numFmtId="2" fontId="0" fillId="0" borderId="47" xfId="0" applyNumberFormat="1" applyBorder="1" applyAlignment="1">
      <alignment vertical="center"/>
    </xf>
    <xf numFmtId="2" fontId="0" fillId="0" borderId="64" xfId="0" applyNumberFormat="1" applyBorder="1" applyAlignment="1">
      <alignment vertical="center"/>
    </xf>
    <xf numFmtId="2" fontId="0" fillId="0" borderId="60" xfId="0" applyNumberFormat="1" applyBorder="1" applyAlignment="1">
      <alignment vertical="center"/>
    </xf>
    <xf numFmtId="2" fontId="0" fillId="0" borderId="65" xfId="0" applyNumberFormat="1" applyBorder="1" applyAlignment="1">
      <alignment vertical="center"/>
    </xf>
    <xf numFmtId="2" fontId="0" fillId="0" borderId="61" xfId="0" applyNumberFormat="1" applyBorder="1" applyAlignment="1">
      <alignment vertical="center"/>
    </xf>
    <xf numFmtId="2" fontId="0" fillId="0" borderId="66" xfId="0" applyNumberFormat="1" applyBorder="1" applyAlignment="1">
      <alignment vertical="center"/>
    </xf>
    <xf numFmtId="0" fontId="4" fillId="0" borderId="0" xfId="0" applyFont="1" applyAlignment="1">
      <alignment vertical="center"/>
    </xf>
    <xf numFmtId="2" fontId="4" fillId="0" borderId="0" xfId="0" applyNumberFormat="1" applyFont="1" applyAlignment="1">
      <alignment vertical="center"/>
    </xf>
    <xf numFmtId="0" fontId="4" fillId="3" borderId="0" xfId="0" applyFont="1" applyFill="1" applyAlignment="1">
      <alignment vertical="center"/>
    </xf>
    <xf numFmtId="0" fontId="6" fillId="0" borderId="0" xfId="1" applyFont="1" applyAlignment="1">
      <alignment vertical="center"/>
    </xf>
    <xf numFmtId="0" fontId="6" fillId="0" borderId="0" xfId="1" applyFont="1" applyFill="1" applyAlignment="1">
      <alignment vertical="center"/>
    </xf>
    <xf numFmtId="0" fontId="6" fillId="0" borderId="0" xfId="1" applyFont="1" applyFill="1" applyBorder="1" applyAlignment="1">
      <alignment vertical="center"/>
    </xf>
    <xf numFmtId="0" fontId="6" fillId="0" borderId="0" xfId="1" applyFont="1" applyBorder="1" applyAlignment="1">
      <alignment vertical="center"/>
    </xf>
    <xf numFmtId="0" fontId="4" fillId="0" borderId="5" xfId="0" applyFont="1" applyBorder="1" applyAlignment="1">
      <alignment vertical="center"/>
    </xf>
    <xf numFmtId="2" fontId="4" fillId="0" borderId="5" xfId="0" applyNumberFormat="1" applyFont="1" applyBorder="1" applyAlignment="1">
      <alignment vertical="center"/>
    </xf>
    <xf numFmtId="0" fontId="6" fillId="0" borderId="5" xfId="1" applyFont="1" applyBorder="1" applyAlignment="1">
      <alignment vertical="center"/>
    </xf>
    <xf numFmtId="0" fontId="4" fillId="3" borderId="5" xfId="0" applyFont="1" applyFill="1" applyBorder="1" applyAlignment="1">
      <alignment vertical="center"/>
    </xf>
    <xf numFmtId="164" fontId="4" fillId="0" borderId="0" xfId="0" applyNumberFormat="1" applyFont="1" applyAlignment="1">
      <alignment vertical="center"/>
    </xf>
    <xf numFmtId="164" fontId="4" fillId="0" borderId="5" xfId="0" applyNumberFormat="1" applyFont="1" applyBorder="1" applyAlignment="1">
      <alignment vertical="center"/>
    </xf>
    <xf numFmtId="0" fontId="4" fillId="0" borderId="4" xfId="0" applyFont="1" applyBorder="1" applyAlignment="1">
      <alignment vertical="center"/>
    </xf>
    <xf numFmtId="0" fontId="4" fillId="3" borderId="4" xfId="0" applyFont="1" applyFill="1" applyBorder="1" applyAlignment="1">
      <alignment vertical="center"/>
    </xf>
    <xf numFmtId="2" fontId="4" fillId="0" borderId="4" xfId="0" applyNumberFormat="1" applyFont="1" applyBorder="1" applyAlignment="1">
      <alignment vertical="center"/>
    </xf>
    <xf numFmtId="0" fontId="2" fillId="0" borderId="4" xfId="1" applyBorder="1" applyAlignment="1">
      <alignment vertical="center"/>
    </xf>
    <xf numFmtId="0" fontId="4" fillId="0" borderId="8" xfId="0" applyFont="1" applyBorder="1" applyAlignment="1">
      <alignment vertical="center"/>
    </xf>
    <xf numFmtId="2" fontId="4" fillId="0" borderId="8" xfId="0" applyNumberFormat="1" applyFont="1" applyBorder="1" applyAlignment="1">
      <alignment vertical="center"/>
    </xf>
    <xf numFmtId="0" fontId="4" fillId="4" borderId="0" xfId="0" applyFont="1" applyFill="1" applyAlignment="1">
      <alignment vertical="center"/>
    </xf>
    <xf numFmtId="2" fontId="4" fillId="4" borderId="0" xfId="0" applyNumberFormat="1" applyFont="1" applyFill="1" applyAlignment="1">
      <alignment vertical="center"/>
    </xf>
    <xf numFmtId="2" fontId="4" fillId="5" borderId="0" xfId="0" applyNumberFormat="1" applyFont="1" applyFill="1" applyAlignment="1">
      <alignment vertical="center"/>
    </xf>
    <xf numFmtId="0" fontId="5" fillId="0" borderId="0" xfId="0" applyFont="1" applyAlignment="1">
      <alignment vertical="center"/>
    </xf>
    <xf numFmtId="0" fontId="5" fillId="0" borderId="5" xfId="0" applyFont="1" applyBorder="1" applyAlignment="1">
      <alignment vertical="center"/>
    </xf>
    <xf numFmtId="0" fontId="5" fillId="0" borderId="4" xfId="0" applyFont="1" applyBorder="1" applyAlignment="1">
      <alignment vertical="center"/>
    </xf>
    <xf numFmtId="0" fontId="6" fillId="0" borderId="4" xfId="1" applyFont="1" applyBorder="1" applyAlignment="1">
      <alignment vertical="center"/>
    </xf>
    <xf numFmtId="0" fontId="2" fillId="0" borderId="0" xfId="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0" fillId="0" borderId="4" xfId="0" applyBorder="1" applyAlignment="1">
      <alignment vertical="center"/>
    </xf>
    <xf numFmtId="0" fontId="4" fillId="6" borderId="2" xfId="0" applyFont="1" applyFill="1" applyBorder="1" applyAlignment="1">
      <alignment vertical="center"/>
    </xf>
    <xf numFmtId="0" fontId="4" fillId="6" borderId="9" xfId="0" applyFont="1" applyFill="1" applyBorder="1" applyAlignment="1">
      <alignment vertical="center"/>
    </xf>
    <xf numFmtId="0" fontId="5" fillId="0" borderId="8" xfId="0" applyFont="1" applyBorder="1" applyAlignment="1">
      <alignment vertical="center"/>
    </xf>
    <xf numFmtId="2" fontId="0" fillId="0" borderId="0" xfId="0" applyNumberFormat="1" applyAlignment="1">
      <alignment vertical="center"/>
    </xf>
    <xf numFmtId="0" fontId="4" fillId="8" borderId="0" xfId="0" applyFont="1" applyFill="1" applyAlignment="1">
      <alignment vertical="center"/>
    </xf>
    <xf numFmtId="11" fontId="0" fillId="8" borderId="0" xfId="0" applyNumberFormat="1" applyFill="1" applyAlignment="1">
      <alignment vertical="center"/>
    </xf>
    <xf numFmtId="49" fontId="0" fillId="0" borderId="22" xfId="0" applyNumberFormat="1" applyBorder="1" applyAlignment="1">
      <alignment horizontal="left" vertical="center" wrapText="1"/>
    </xf>
    <xf numFmtId="49" fontId="0" fillId="7" borderId="30" xfId="0" applyNumberFormat="1" applyFill="1" applyBorder="1" applyAlignment="1">
      <alignment vertical="center"/>
    </xf>
    <xf numFmtId="49" fontId="0" fillId="0" borderId="20" xfId="0" applyNumberFormat="1" applyBorder="1" applyAlignment="1">
      <alignment vertical="center"/>
    </xf>
    <xf numFmtId="49" fontId="0" fillId="7" borderId="20" xfId="0" applyNumberFormat="1" applyFill="1" applyBorder="1" applyAlignment="1">
      <alignment vertical="center"/>
    </xf>
    <xf numFmtId="49" fontId="0" fillId="0" borderId="13" xfId="0" applyNumberFormat="1" applyBorder="1" applyAlignment="1">
      <alignment vertical="center"/>
    </xf>
    <xf numFmtId="49" fontId="0" fillId="7" borderId="10" xfId="0" applyNumberFormat="1" applyFill="1" applyBorder="1" applyAlignment="1">
      <alignment vertical="center"/>
    </xf>
    <xf numFmtId="49" fontId="0" fillId="7" borderId="13" xfId="0" applyNumberFormat="1" applyFill="1" applyBorder="1" applyAlignment="1">
      <alignment vertical="center"/>
    </xf>
    <xf numFmtId="1" fontId="0" fillId="7" borderId="28" xfId="0" applyNumberFormat="1" applyFill="1" applyBorder="1" applyAlignment="1">
      <alignment vertical="center"/>
    </xf>
    <xf numFmtId="1" fontId="0" fillId="0" borderId="27" xfId="0" applyNumberFormat="1" applyBorder="1" applyAlignment="1">
      <alignment vertical="center"/>
    </xf>
    <xf numFmtId="1" fontId="0" fillId="0" borderId="26" xfId="0" applyNumberFormat="1" applyBorder="1" applyAlignment="1">
      <alignment vertical="center"/>
    </xf>
    <xf numFmtId="1" fontId="0" fillId="0" borderId="25" xfId="0" applyNumberFormat="1" applyBorder="1" applyAlignment="1">
      <alignment vertical="center"/>
    </xf>
    <xf numFmtId="1" fontId="0" fillId="7" borderId="25" xfId="0" applyNumberFormat="1" applyFill="1" applyBorder="1" applyAlignment="1">
      <alignment vertical="center"/>
    </xf>
    <xf numFmtId="1" fontId="0" fillId="7" borderId="28" xfId="0" applyNumberFormat="1" applyFill="1" applyBorder="1" applyAlignment="1">
      <alignment horizontal="center" vertical="center"/>
    </xf>
    <xf numFmtId="1" fontId="0" fillId="0" borderId="26" xfId="0" applyNumberFormat="1" applyBorder="1" applyAlignment="1">
      <alignment horizontal="center" vertical="center"/>
    </xf>
    <xf numFmtId="1" fontId="0" fillId="7" borderId="79" xfId="0" applyNumberFormat="1" applyFill="1" applyBorder="1" applyAlignment="1">
      <alignment horizontal="center" vertical="center"/>
    </xf>
    <xf numFmtId="0" fontId="2" fillId="0" borderId="38" xfId="1" applyBorder="1" applyAlignment="1">
      <alignment vertical="center" wrapText="1"/>
    </xf>
    <xf numFmtId="0" fontId="2" fillId="0" borderId="37" xfId="1" applyBorder="1" applyAlignment="1">
      <alignment vertical="center" wrapText="1"/>
    </xf>
    <xf numFmtId="49" fontId="0" fillId="0" borderId="10" xfId="0" applyNumberFormat="1" applyBorder="1" applyAlignment="1">
      <alignment vertical="center"/>
    </xf>
    <xf numFmtId="165" fontId="0" fillId="0" borderId="10" xfId="0" applyNumberFormat="1" applyBorder="1" applyAlignment="1">
      <alignment vertical="center"/>
    </xf>
    <xf numFmtId="1" fontId="0" fillId="0" borderId="12" xfId="0" applyNumberFormat="1" applyBorder="1" applyAlignment="1">
      <alignment horizontal="center" vertical="center"/>
    </xf>
    <xf numFmtId="165" fontId="0" fillId="0" borderId="12" xfId="0" applyNumberFormat="1" applyBorder="1" applyAlignment="1">
      <alignment vertical="center"/>
    </xf>
    <xf numFmtId="0" fontId="0" fillId="0" borderId="25" xfId="0" applyBorder="1" applyAlignment="1">
      <alignment vertical="center"/>
    </xf>
    <xf numFmtId="1" fontId="0" fillId="0" borderId="84" xfId="0" applyNumberFormat="1" applyBorder="1" applyAlignment="1">
      <alignment horizontal="center" vertical="center"/>
    </xf>
    <xf numFmtId="0" fontId="0" fillId="0" borderId="85" xfId="0" applyBorder="1" applyAlignment="1">
      <alignment vertical="center"/>
    </xf>
    <xf numFmtId="0" fontId="0" fillId="7" borderId="86" xfId="0" applyFill="1" applyBorder="1" applyAlignment="1">
      <alignment vertical="center"/>
    </xf>
    <xf numFmtId="0" fontId="0" fillId="0" borderId="86" xfId="0" applyBorder="1" applyAlignment="1">
      <alignment vertical="center"/>
    </xf>
    <xf numFmtId="0" fontId="0" fillId="0" borderId="87" xfId="0" applyBorder="1" applyAlignment="1">
      <alignment vertical="center"/>
    </xf>
    <xf numFmtId="1" fontId="0" fillId="0" borderId="25" xfId="0" applyNumberFormat="1" applyBorder="1" applyAlignment="1">
      <alignment horizontal="center" vertical="center"/>
    </xf>
    <xf numFmtId="1" fontId="0" fillId="7" borderId="27" xfId="0" applyNumberFormat="1" applyFill="1" applyBorder="1" applyAlignment="1">
      <alignment horizontal="center" vertical="center"/>
    </xf>
    <xf numFmtId="1" fontId="0" fillId="0" borderId="28" xfId="0" applyNumberFormat="1" applyBorder="1" applyAlignment="1">
      <alignment horizontal="center" vertical="center"/>
    </xf>
    <xf numFmtId="1" fontId="0" fillId="0" borderId="79" xfId="0" applyNumberFormat="1" applyBorder="1" applyAlignment="1">
      <alignment horizontal="center" vertical="center"/>
    </xf>
    <xf numFmtId="1" fontId="7" fillId="8" borderId="0" xfId="0" applyNumberFormat="1" applyFont="1" applyFill="1" applyAlignment="1">
      <alignment vertical="center"/>
    </xf>
    <xf numFmtId="1" fontId="10" fillId="8" borderId="0" xfId="0" applyNumberFormat="1" applyFont="1" applyFill="1"/>
    <xf numFmtId="0" fontId="0" fillId="8" borderId="77" xfId="0" applyFill="1" applyBorder="1" applyAlignment="1">
      <alignment vertical="center"/>
    </xf>
    <xf numFmtId="0" fontId="0" fillId="8" borderId="88" xfId="0" applyFill="1" applyBorder="1" applyAlignment="1">
      <alignment vertical="center"/>
    </xf>
    <xf numFmtId="0" fontId="0" fillId="8" borderId="88" xfId="0" applyFill="1" applyBorder="1" applyAlignment="1">
      <alignment horizontal="center" vertical="center"/>
    </xf>
    <xf numFmtId="0" fontId="4" fillId="8" borderId="88" xfId="0" applyFont="1" applyFill="1" applyBorder="1" applyAlignment="1">
      <alignment vertical="center"/>
    </xf>
    <xf numFmtId="0" fontId="0" fillId="8" borderId="89" xfId="0" applyFill="1" applyBorder="1" applyAlignment="1">
      <alignment vertical="center"/>
    </xf>
    <xf numFmtId="0" fontId="0" fillId="8" borderId="90" xfId="0" applyFill="1" applyBorder="1" applyAlignment="1">
      <alignment vertical="center"/>
    </xf>
    <xf numFmtId="0" fontId="0" fillId="8" borderId="92" xfId="0" applyFill="1" applyBorder="1" applyAlignment="1">
      <alignment vertical="center"/>
    </xf>
    <xf numFmtId="0" fontId="0" fillId="8" borderId="18" xfId="0" applyFill="1" applyBorder="1" applyAlignment="1">
      <alignment vertical="center"/>
    </xf>
    <xf numFmtId="0" fontId="0" fillId="0" borderId="93" xfId="0" applyBorder="1" applyAlignment="1">
      <alignment vertical="center"/>
    </xf>
    <xf numFmtId="0" fontId="0" fillId="0" borderId="84" xfId="0" applyBorder="1" applyAlignment="1">
      <alignment vertical="center"/>
    </xf>
    <xf numFmtId="0" fontId="0" fillId="0" borderId="94" xfId="0" applyBorder="1" applyAlignment="1">
      <alignment vertical="center"/>
    </xf>
    <xf numFmtId="0" fontId="0" fillId="0" borderId="95" xfId="0" applyBorder="1" applyAlignment="1">
      <alignment horizontal="center" vertical="center"/>
    </xf>
    <xf numFmtId="0" fontId="0" fillId="0" borderId="37" xfId="0" applyBorder="1" applyAlignment="1">
      <alignment horizontal="center" vertical="center"/>
    </xf>
    <xf numFmtId="0" fontId="8" fillId="0" borderId="42" xfId="0" applyFont="1" applyBorder="1" applyAlignment="1">
      <alignment vertical="center"/>
    </xf>
    <xf numFmtId="0" fontId="0" fillId="0" borderId="0" xfId="0" applyBorder="1" applyAlignment="1">
      <alignment vertical="center"/>
    </xf>
    <xf numFmtId="0" fontId="0" fillId="0" borderId="0" xfId="0" applyFill="1" applyBorder="1" applyAlignment="1">
      <alignment vertical="center"/>
    </xf>
    <xf numFmtId="0" fontId="0" fillId="0" borderId="33" xfId="0" applyBorder="1" applyAlignment="1">
      <alignment vertical="center" wrapText="1"/>
    </xf>
    <xf numFmtId="0" fontId="0" fillId="7" borderId="10" xfId="0" applyFill="1" applyBorder="1" applyAlignment="1">
      <alignment vertical="center"/>
    </xf>
    <xf numFmtId="0" fontId="0" fillId="7" borderId="12" xfId="0" applyFill="1" applyBorder="1" applyAlignment="1">
      <alignment vertical="center"/>
    </xf>
    <xf numFmtId="165" fontId="0" fillId="7" borderId="100" xfId="0" applyNumberFormat="1" applyFill="1" applyBorder="1" applyAlignment="1">
      <alignment vertical="center"/>
    </xf>
    <xf numFmtId="165" fontId="0" fillId="7" borderId="11" xfId="0" applyNumberFormat="1" applyFill="1" applyBorder="1" applyAlignment="1">
      <alignment vertical="center"/>
    </xf>
    <xf numFmtId="0" fontId="0" fillId="7" borderId="13" xfId="0" applyFill="1" applyBorder="1" applyAlignment="1">
      <alignment vertical="center"/>
    </xf>
    <xf numFmtId="0" fontId="0" fillId="7" borderId="15" xfId="0" applyFill="1" applyBorder="1" applyAlignment="1">
      <alignment vertical="center"/>
    </xf>
    <xf numFmtId="165" fontId="0" fillId="7" borderId="32" xfId="0" applyNumberFormat="1" applyFill="1" applyBorder="1" applyAlignment="1">
      <alignment vertical="center"/>
    </xf>
    <xf numFmtId="165" fontId="0" fillId="7" borderId="14" xfId="0" applyNumberFormat="1" applyFill="1" applyBorder="1" applyAlignment="1">
      <alignment vertical="center"/>
    </xf>
    <xf numFmtId="165" fontId="0" fillId="7" borderId="101" xfId="0" applyNumberFormat="1" applyFill="1" applyBorder="1" applyAlignment="1">
      <alignment vertical="center"/>
    </xf>
    <xf numFmtId="165" fontId="0" fillId="0" borderId="20" xfId="0" applyNumberFormat="1" applyFill="1" applyBorder="1" applyAlignment="1">
      <alignment vertical="center"/>
    </xf>
    <xf numFmtId="165" fontId="0" fillId="0" borderId="17" xfId="0" applyNumberFormat="1" applyFill="1" applyBorder="1" applyAlignment="1">
      <alignment vertical="center"/>
    </xf>
    <xf numFmtId="49" fontId="0" fillId="0" borderId="0" xfId="0" applyNumberFormat="1" applyAlignment="1">
      <alignment vertical="center"/>
    </xf>
    <xf numFmtId="0" fontId="4" fillId="9" borderId="0" xfId="0" applyFont="1" applyFill="1" applyAlignment="1">
      <alignment vertical="center"/>
    </xf>
    <xf numFmtId="2" fontId="4" fillId="9" borderId="0" xfId="0" applyNumberFormat="1" applyFont="1" applyFill="1" applyAlignment="1">
      <alignment vertical="center"/>
    </xf>
    <xf numFmtId="0" fontId="5" fillId="9" borderId="0" xfId="0" applyFont="1" applyFill="1" applyAlignment="1">
      <alignment vertical="center"/>
    </xf>
    <xf numFmtId="0" fontId="2" fillId="9" borderId="0" xfId="1" applyFill="1" applyAlignment="1">
      <alignment vertical="center"/>
    </xf>
    <xf numFmtId="0" fontId="4" fillId="9" borderId="8" xfId="0" applyFont="1" applyFill="1" applyBorder="1" applyAlignment="1">
      <alignment vertical="center"/>
    </xf>
    <xf numFmtId="2" fontId="4" fillId="9" borderId="8" xfId="0" applyNumberFormat="1" applyFont="1" applyFill="1" applyBorder="1" applyAlignment="1">
      <alignment vertical="center"/>
    </xf>
    <xf numFmtId="0" fontId="5" fillId="9" borderId="8" xfId="0" applyFont="1" applyFill="1" applyBorder="1" applyAlignment="1">
      <alignment vertical="center"/>
    </xf>
    <xf numFmtId="0" fontId="4" fillId="0" borderId="0" xfId="0" applyFont="1" applyFill="1" applyAlignment="1">
      <alignment vertical="center"/>
    </xf>
    <xf numFmtId="0" fontId="4" fillId="0" borderId="5" xfId="0" applyFont="1" applyFill="1" applyBorder="1" applyAlignment="1">
      <alignment vertical="center"/>
    </xf>
    <xf numFmtId="0" fontId="6" fillId="9" borderId="0" xfId="1" applyFont="1" applyFill="1" applyBorder="1" applyAlignment="1">
      <alignment vertical="center"/>
    </xf>
    <xf numFmtId="0" fontId="4" fillId="0" borderId="4" xfId="0" applyFont="1" applyFill="1" applyBorder="1" applyAlignment="1">
      <alignment vertical="center"/>
    </xf>
    <xf numFmtId="0" fontId="4" fillId="0" borderId="0" xfId="0" applyFont="1" applyBorder="1" applyAlignment="1">
      <alignment vertical="center"/>
    </xf>
    <xf numFmtId="2" fontId="4" fillId="0" borderId="0" xfId="0" applyNumberFormat="1" applyFont="1" applyBorder="1" applyAlignment="1">
      <alignment vertical="center"/>
    </xf>
    <xf numFmtId="0" fontId="5" fillId="0" borderId="0" xfId="0" applyFont="1" applyBorder="1" applyAlignment="1">
      <alignment vertical="center"/>
    </xf>
    <xf numFmtId="0" fontId="4" fillId="0" borderId="2" xfId="0" applyFont="1" applyBorder="1" applyAlignment="1">
      <alignment vertical="center"/>
    </xf>
    <xf numFmtId="0" fontId="4" fillId="0" borderId="9" xfId="0" applyFont="1" applyBorder="1" applyAlignment="1">
      <alignment vertical="center"/>
    </xf>
    <xf numFmtId="0" fontId="4" fillId="3" borderId="0" xfId="0" applyFont="1" applyFill="1" applyBorder="1" applyAlignment="1">
      <alignment vertical="center"/>
    </xf>
    <xf numFmtId="0" fontId="4" fillId="9" borderId="0" xfId="0" applyFont="1" applyFill="1" applyBorder="1" applyAlignment="1">
      <alignment vertical="center"/>
    </xf>
    <xf numFmtId="2" fontId="4" fillId="9" borderId="0" xfId="0" applyNumberFormat="1" applyFont="1" applyFill="1" applyBorder="1" applyAlignment="1">
      <alignment vertical="center"/>
    </xf>
    <xf numFmtId="0" fontId="5" fillId="9" borderId="0" xfId="0" applyFont="1" applyFill="1" applyBorder="1" applyAlignment="1">
      <alignment vertical="center"/>
    </xf>
    <xf numFmtId="0" fontId="14" fillId="2" borderId="2" xfId="0" applyFont="1" applyFill="1" applyBorder="1" applyAlignment="1">
      <alignment vertical="center"/>
    </xf>
    <xf numFmtId="2" fontId="14" fillId="2" borderId="2" xfId="0" applyNumberFormat="1" applyFont="1" applyFill="1" applyBorder="1" applyAlignment="1">
      <alignment vertical="center"/>
    </xf>
    <xf numFmtId="2" fontId="4" fillId="6" borderId="2" xfId="0" applyNumberFormat="1" applyFont="1" applyFill="1" applyBorder="1" applyAlignment="1">
      <alignment vertical="center"/>
    </xf>
    <xf numFmtId="2" fontId="4" fillId="0" borderId="2" xfId="0" applyNumberFormat="1" applyFont="1" applyBorder="1" applyAlignment="1">
      <alignment vertical="center"/>
    </xf>
    <xf numFmtId="2" fontId="4" fillId="0" borderId="9" xfId="0" applyNumberFormat="1" applyFont="1" applyBorder="1" applyAlignment="1">
      <alignment vertical="center"/>
    </xf>
    <xf numFmtId="2" fontId="4" fillId="6" borderId="9" xfId="0" applyNumberFormat="1" applyFont="1" applyFill="1" applyBorder="1" applyAlignment="1">
      <alignment vertical="center"/>
    </xf>
    <xf numFmtId="164" fontId="4" fillId="0" borderId="2" xfId="0" applyNumberFormat="1" applyFont="1" applyBorder="1" applyAlignment="1">
      <alignment vertical="center"/>
    </xf>
    <xf numFmtId="164" fontId="4" fillId="6" borderId="2" xfId="0" applyNumberFormat="1" applyFont="1" applyFill="1" applyBorder="1" applyAlignment="1">
      <alignment vertical="center"/>
    </xf>
    <xf numFmtId="164" fontId="4" fillId="6" borderId="9" xfId="0" applyNumberFormat="1" applyFont="1" applyFill="1" applyBorder="1" applyAlignment="1">
      <alignment vertical="center"/>
    </xf>
    <xf numFmtId="0" fontId="4" fillId="6" borderId="4" xfId="0" applyFont="1" applyFill="1" applyBorder="1" applyAlignment="1">
      <alignment vertical="center"/>
    </xf>
    <xf numFmtId="2" fontId="4" fillId="6" borderId="4" xfId="0" applyNumberFormat="1" applyFont="1" applyFill="1" applyBorder="1" applyAlignment="1">
      <alignment vertical="center"/>
    </xf>
    <xf numFmtId="0" fontId="5" fillId="0" borderId="2" xfId="0" applyFont="1" applyBorder="1" applyAlignment="1">
      <alignment vertical="center"/>
    </xf>
    <xf numFmtId="0" fontId="5" fillId="6" borderId="2" xfId="0" applyFont="1" applyFill="1" applyBorder="1" applyAlignment="1">
      <alignment vertical="center"/>
    </xf>
    <xf numFmtId="0" fontId="5" fillId="6" borderId="9" xfId="0" applyFont="1" applyFill="1" applyBorder="1" applyAlignment="1">
      <alignment vertical="center"/>
    </xf>
    <xf numFmtId="0" fontId="5" fillId="0" borderId="9" xfId="0" applyFont="1" applyBorder="1" applyAlignment="1">
      <alignment vertical="center"/>
    </xf>
    <xf numFmtId="0" fontId="5" fillId="6" borderId="4" xfId="0" applyFont="1" applyFill="1" applyBorder="1" applyAlignment="1">
      <alignment vertical="center"/>
    </xf>
    <xf numFmtId="1" fontId="14" fillId="2" borderId="2" xfId="0" applyNumberFormat="1" applyFont="1" applyFill="1" applyBorder="1" applyAlignment="1">
      <alignment vertical="center"/>
    </xf>
    <xf numFmtId="1" fontId="4" fillId="6" borderId="2" xfId="0" applyNumberFormat="1" applyFont="1" applyFill="1" applyBorder="1" applyAlignment="1">
      <alignment vertical="center"/>
    </xf>
    <xf numFmtId="1" fontId="4" fillId="0" borderId="2" xfId="0" applyNumberFormat="1" applyFont="1" applyBorder="1" applyAlignment="1">
      <alignment vertical="center"/>
    </xf>
    <xf numFmtId="1" fontId="4" fillId="0" borderId="9" xfId="0" applyNumberFormat="1" applyFont="1" applyBorder="1" applyAlignment="1">
      <alignment vertical="center"/>
    </xf>
    <xf numFmtId="1" fontId="4" fillId="6" borderId="9" xfId="0" applyNumberFormat="1" applyFont="1" applyFill="1" applyBorder="1" applyAlignment="1">
      <alignment vertical="center"/>
    </xf>
    <xf numFmtId="1" fontId="4" fillId="6" borderId="4" xfId="0" applyNumberFormat="1" applyFont="1" applyFill="1" applyBorder="1" applyAlignment="1">
      <alignment vertical="center"/>
    </xf>
    <xf numFmtId="1" fontId="4" fillId="0" borderId="4" xfId="0" applyNumberFormat="1" applyFont="1" applyBorder="1" applyAlignment="1">
      <alignment vertical="center"/>
    </xf>
    <xf numFmtId="1" fontId="4" fillId="0" borderId="0" xfId="0" applyNumberFormat="1" applyFont="1" applyAlignment="1">
      <alignment vertical="center"/>
    </xf>
    <xf numFmtId="0" fontId="4" fillId="0" borderId="102" xfId="0" applyFont="1" applyBorder="1" applyAlignment="1">
      <alignment vertical="center"/>
    </xf>
    <xf numFmtId="2" fontId="4" fillId="0" borderId="102" xfId="0" applyNumberFormat="1" applyFont="1" applyBorder="1" applyAlignment="1">
      <alignment vertical="center"/>
    </xf>
    <xf numFmtId="1" fontId="4" fillId="0" borderId="102" xfId="0" applyNumberFormat="1" applyFont="1" applyBorder="1" applyAlignment="1">
      <alignment vertical="center"/>
    </xf>
    <xf numFmtId="0" fontId="14" fillId="0" borderId="2" xfId="0" applyFont="1" applyFill="1" applyBorder="1" applyAlignment="1">
      <alignment vertical="center"/>
    </xf>
    <xf numFmtId="0" fontId="14" fillId="0" borderId="0" xfId="0" applyFont="1" applyFill="1" applyBorder="1" applyAlignment="1">
      <alignment vertical="center"/>
    </xf>
    <xf numFmtId="1" fontId="14" fillId="0" borderId="0" xfId="0" applyNumberFormat="1" applyFont="1" applyFill="1" applyBorder="1" applyAlignment="1">
      <alignment vertical="center"/>
    </xf>
    <xf numFmtId="2" fontId="14" fillId="0" borderId="0" xfId="0" applyNumberFormat="1" applyFont="1" applyFill="1" applyBorder="1" applyAlignment="1">
      <alignment vertical="center"/>
    </xf>
    <xf numFmtId="0" fontId="0" fillId="0" borderId="0" xfId="0" applyFill="1"/>
    <xf numFmtId="0" fontId="2" fillId="0" borderId="0" xfId="1" applyFill="1" applyAlignment="1">
      <alignment vertical="center"/>
    </xf>
    <xf numFmtId="0" fontId="2" fillId="0" borderId="5" xfId="1" applyBorder="1" applyAlignment="1">
      <alignment vertical="center"/>
    </xf>
    <xf numFmtId="0" fontId="0" fillId="7" borderId="57" xfId="0" applyFill="1" applyBorder="1" applyAlignment="1">
      <alignment horizontal="center" vertical="center"/>
    </xf>
    <xf numFmtId="0" fontId="0" fillId="7" borderId="55" xfId="0" applyFill="1" applyBorder="1" applyAlignment="1">
      <alignment horizontal="center" vertical="center"/>
    </xf>
    <xf numFmtId="0" fontId="0" fillId="7" borderId="75" xfId="0" applyFill="1" applyBorder="1" applyAlignment="1">
      <alignment horizontal="center" vertical="center"/>
    </xf>
    <xf numFmtId="0" fontId="0" fillId="7" borderId="73" xfId="0" applyFill="1"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75" xfId="0" applyBorder="1" applyAlignment="1">
      <alignment horizontal="center" vertical="center"/>
    </xf>
    <xf numFmtId="0" fontId="0" fillId="0" borderId="76" xfId="0" applyBorder="1" applyAlignment="1">
      <alignment horizontal="center" vertical="center"/>
    </xf>
    <xf numFmtId="0" fontId="0" fillId="0" borderId="56" xfId="0" applyBorder="1" applyAlignment="1">
      <alignment horizontal="center" vertical="center"/>
    </xf>
    <xf numFmtId="0" fontId="0" fillId="0" borderId="55" xfId="0" applyBorder="1" applyAlignment="1">
      <alignment horizontal="center" vertical="center"/>
    </xf>
    <xf numFmtId="0" fontId="0" fillId="0" borderId="74" xfId="0" applyBorder="1" applyAlignment="1">
      <alignment horizontal="center" vertical="center"/>
    </xf>
    <xf numFmtId="0" fontId="0" fillId="0" borderId="73" xfId="0" applyBorder="1" applyAlignment="1">
      <alignment horizontal="center" vertical="center"/>
    </xf>
    <xf numFmtId="0" fontId="0" fillId="7" borderId="56" xfId="0" applyFill="1" applyBorder="1" applyAlignment="1">
      <alignment horizontal="center" vertical="center"/>
    </xf>
    <xf numFmtId="0" fontId="0" fillId="7" borderId="74" xfId="0" applyFill="1" applyBorder="1" applyAlignment="1">
      <alignment horizontal="center" vertical="center"/>
    </xf>
    <xf numFmtId="0" fontId="0" fillId="0" borderId="33" xfId="0" applyBorder="1" applyAlignment="1">
      <alignment horizontal="center" vertical="center" wrapText="1"/>
    </xf>
    <xf numFmtId="0" fontId="2" fillId="0" borderId="10" xfId="1" applyBorder="1" applyAlignment="1">
      <alignment horizontal="center" vertical="center" wrapText="1"/>
    </xf>
    <xf numFmtId="0" fontId="2" fillId="0" borderId="11" xfId="1" applyBorder="1" applyAlignment="1">
      <alignment horizontal="center" vertical="center" wrapText="1"/>
    </xf>
    <xf numFmtId="0" fontId="2" fillId="0" borderId="12" xfId="1" applyBorder="1" applyAlignment="1">
      <alignment horizontal="center" vertical="center" wrapText="1"/>
    </xf>
    <xf numFmtId="0" fontId="2" fillId="0" borderId="29" xfId="1" applyBorder="1" applyAlignment="1">
      <alignment horizontal="center" vertical="center"/>
    </xf>
    <xf numFmtId="0" fontId="2" fillId="0" borderId="7" xfId="1" applyBorder="1" applyAlignment="1">
      <alignment horizontal="center" vertical="center"/>
    </xf>
    <xf numFmtId="0" fontId="2" fillId="0" borderId="40" xfId="1" applyBorder="1" applyAlignment="1">
      <alignment horizontal="center" vertical="center"/>
    </xf>
    <xf numFmtId="0" fontId="9" fillId="8" borderId="48" xfId="0" applyFont="1" applyFill="1" applyBorder="1" applyAlignment="1">
      <alignment horizontal="center" vertical="center" wrapText="1"/>
    </xf>
    <xf numFmtId="0" fontId="9" fillId="8" borderId="49" xfId="0" applyFont="1" applyFill="1" applyBorder="1" applyAlignment="1">
      <alignment horizontal="center" vertical="center" wrapText="1"/>
    </xf>
    <xf numFmtId="0" fontId="9" fillId="8" borderId="50" xfId="0" applyFont="1" applyFill="1" applyBorder="1" applyAlignment="1">
      <alignment horizontal="center" vertical="center" wrapText="1"/>
    </xf>
    <xf numFmtId="0" fontId="9" fillId="8" borderId="51" xfId="0" applyFont="1" applyFill="1" applyBorder="1" applyAlignment="1">
      <alignment horizontal="center" vertical="center" wrapText="1"/>
    </xf>
    <xf numFmtId="0" fontId="9" fillId="8" borderId="52" xfId="0" applyFont="1" applyFill="1" applyBorder="1" applyAlignment="1">
      <alignment horizontal="center" vertical="center" wrapText="1"/>
    </xf>
    <xf numFmtId="0" fontId="9" fillId="8" borderId="53" xfId="0" applyFont="1" applyFill="1" applyBorder="1" applyAlignment="1">
      <alignment horizontal="center" vertical="center" wrapText="1"/>
    </xf>
    <xf numFmtId="0" fontId="0" fillId="7" borderId="54" xfId="0" applyFill="1" applyBorder="1" applyAlignment="1">
      <alignment horizontal="center" vertical="center"/>
    </xf>
    <xf numFmtId="0" fontId="0" fillId="7" borderId="72" xfId="0" applyFill="1" applyBorder="1" applyAlignment="1">
      <alignment horizontal="center" vertical="center"/>
    </xf>
    <xf numFmtId="0" fontId="0" fillId="8" borderId="33" xfId="0" applyFill="1" applyBorder="1" applyAlignment="1">
      <alignment horizontal="center" vertical="center" wrapText="1"/>
    </xf>
    <xf numFmtId="0" fontId="0" fillId="8" borderId="0" xfId="0" applyFill="1" applyAlignment="1">
      <alignment horizontal="center" vertical="center" wrapText="1"/>
    </xf>
    <xf numFmtId="0" fontId="0" fillId="8" borderId="38" xfId="0" applyFill="1" applyBorder="1" applyAlignment="1">
      <alignment horizontal="center" vertical="center" wrapText="1"/>
    </xf>
    <xf numFmtId="0" fontId="0" fillId="8" borderId="36" xfId="0" applyFill="1" applyBorder="1" applyAlignment="1">
      <alignment horizontal="center" vertical="center" wrapText="1"/>
    </xf>
    <xf numFmtId="0" fontId="0" fillId="8" borderId="5" xfId="0" applyFill="1" applyBorder="1" applyAlignment="1">
      <alignment horizontal="center" vertical="center" wrapText="1"/>
    </xf>
    <xf numFmtId="0" fontId="0" fillId="8" borderId="37" xfId="0" applyFill="1" applyBorder="1" applyAlignment="1">
      <alignment horizontal="center" vertical="center" wrapText="1"/>
    </xf>
    <xf numFmtId="0" fontId="2" fillId="0" borderId="43" xfId="1" applyBorder="1" applyAlignment="1">
      <alignment horizontal="center" vertical="center"/>
    </xf>
    <xf numFmtId="0" fontId="2" fillId="0" borderId="4" xfId="1" applyBorder="1" applyAlignment="1">
      <alignment horizontal="center" vertical="center"/>
    </xf>
    <xf numFmtId="0" fontId="2" fillId="0" borderId="45" xfId="1" applyBorder="1" applyAlignment="1">
      <alignment horizontal="center" vertical="center"/>
    </xf>
    <xf numFmtId="0" fontId="0" fillId="8" borderId="10" xfId="0" applyFill="1" applyBorder="1" applyAlignment="1">
      <alignment horizontal="center" vertical="center" wrapText="1"/>
    </xf>
    <xf numFmtId="0" fontId="0" fillId="8" borderId="11" xfId="0" applyFill="1" applyBorder="1" applyAlignment="1">
      <alignment horizontal="center" vertical="center" wrapText="1"/>
    </xf>
    <xf numFmtId="0" fontId="0" fillId="8" borderId="12" xfId="0" applyFill="1" applyBorder="1" applyAlignment="1">
      <alignment horizontal="center" vertical="center" wrapText="1"/>
    </xf>
    <xf numFmtId="0" fontId="0" fillId="8" borderId="13" xfId="0" applyFill="1" applyBorder="1" applyAlignment="1">
      <alignment horizontal="center" vertical="center" wrapText="1"/>
    </xf>
    <xf numFmtId="0" fontId="0" fillId="8" borderId="14" xfId="0" applyFill="1" applyBorder="1" applyAlignment="1">
      <alignment horizontal="center" vertical="center" wrapText="1"/>
    </xf>
    <xf numFmtId="0" fontId="0" fillId="8" borderId="15" xfId="0" applyFill="1" applyBorder="1" applyAlignment="1">
      <alignment horizontal="center" vertical="center" wrapText="1"/>
    </xf>
    <xf numFmtId="0" fontId="0" fillId="0" borderId="38" xfId="0" applyBorder="1" applyAlignment="1">
      <alignment horizontal="center" vertical="center"/>
    </xf>
    <xf numFmtId="0" fontId="0" fillId="7" borderId="98" xfId="0" applyFill="1" applyBorder="1" applyAlignment="1">
      <alignment horizontal="center" vertical="center"/>
    </xf>
    <xf numFmtId="0" fontId="0" fillId="7" borderId="30" xfId="0" applyFill="1" applyBorder="1" applyAlignment="1">
      <alignment horizontal="center" vertical="center"/>
    </xf>
    <xf numFmtId="0" fontId="0" fillId="7" borderId="99" xfId="0" applyFill="1" applyBorder="1" applyAlignment="1">
      <alignment horizontal="center" vertical="center"/>
    </xf>
    <xf numFmtId="0" fontId="0" fillId="7" borderId="31" xfId="0" applyFill="1" applyBorder="1" applyAlignment="1">
      <alignment horizontal="center" vertical="center"/>
    </xf>
    <xf numFmtId="0" fontId="0" fillId="0" borderId="80" xfId="0" applyBorder="1" applyAlignment="1">
      <alignment horizontal="center" vertical="center"/>
    </xf>
    <xf numFmtId="0" fontId="0" fillId="0" borderId="79" xfId="0" applyBorder="1" applyAlignment="1">
      <alignment horizontal="center" vertical="center"/>
    </xf>
    <xf numFmtId="0" fontId="0" fillId="7" borderId="93" xfId="0" applyFill="1" applyBorder="1" applyAlignment="1">
      <alignment horizontal="center" vertical="center"/>
    </xf>
    <xf numFmtId="0" fontId="0" fillId="7" borderId="84" xfId="0" applyFill="1" applyBorder="1" applyAlignment="1">
      <alignment horizontal="center" vertical="center"/>
    </xf>
    <xf numFmtId="0" fontId="0" fillId="0" borderId="82" xfId="0" applyBorder="1" applyAlignment="1">
      <alignment horizontal="center" vertical="center"/>
    </xf>
    <xf numFmtId="0" fontId="0" fillId="0" borderId="30" xfId="0" applyBorder="1" applyAlignment="1">
      <alignment horizontal="center" vertical="center"/>
    </xf>
    <xf numFmtId="0" fontId="0" fillId="0" borderId="83" xfId="0" applyBorder="1" applyAlignment="1">
      <alignment horizontal="center" vertical="center"/>
    </xf>
    <xf numFmtId="0" fontId="0" fillId="0" borderId="31" xfId="0" applyBorder="1" applyAlignment="1">
      <alignment horizontal="center" vertical="center"/>
    </xf>
    <xf numFmtId="0" fontId="9" fillId="8" borderId="34"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9" fillId="8" borderId="35" xfId="0" applyFont="1" applyFill="1" applyBorder="1" applyAlignment="1">
      <alignment horizontal="center" vertical="center" wrapText="1"/>
    </xf>
    <xf numFmtId="0" fontId="9" fillId="8" borderId="36"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9" fillId="8" borderId="37" xfId="0" applyFont="1" applyFill="1" applyBorder="1" applyAlignment="1">
      <alignment horizontal="center" vertical="center" wrapText="1"/>
    </xf>
    <xf numFmtId="0" fontId="0" fillId="0" borderId="78" xfId="0" applyBorder="1" applyAlignment="1">
      <alignment horizontal="center" vertical="center"/>
    </xf>
    <xf numFmtId="0" fontId="0" fillId="7" borderId="97" xfId="0" applyFill="1" applyBorder="1" applyAlignment="1">
      <alignment horizontal="center" vertical="center"/>
    </xf>
    <xf numFmtId="0" fontId="0" fillId="7" borderId="96" xfId="0" applyFill="1" applyBorder="1" applyAlignment="1">
      <alignment horizontal="center" vertical="center"/>
    </xf>
    <xf numFmtId="2" fontId="13" fillId="8" borderId="0" xfId="0" applyNumberFormat="1" applyFont="1" applyFill="1" applyAlignment="1">
      <alignment horizontal="left" vertical="center"/>
    </xf>
    <xf numFmtId="0" fontId="0" fillId="0" borderId="0" xfId="0" applyAlignment="1">
      <alignment horizontal="center" vertical="center" wrapText="1"/>
    </xf>
    <xf numFmtId="1" fontId="10" fillId="8" borderId="0" xfId="0" applyNumberFormat="1" applyFont="1" applyFill="1" applyAlignment="1">
      <alignment horizontal="left"/>
    </xf>
    <xf numFmtId="0" fontId="4" fillId="0" borderId="0" xfId="0" applyFont="1" applyAlignment="1">
      <alignment horizontal="center" vertical="center"/>
    </xf>
    <xf numFmtId="0" fontId="8" fillId="0" borderId="0" xfId="0" applyFont="1" applyAlignment="1">
      <alignment horizontal="center" vertical="center" wrapText="1"/>
    </xf>
    <xf numFmtId="11" fontId="4" fillId="0" borderId="0" xfId="0" applyNumberFormat="1" applyFont="1" applyAlignment="1">
      <alignment horizontal="center" vertical="center"/>
    </xf>
    <xf numFmtId="0" fontId="0" fillId="0" borderId="20" xfId="0" applyBorder="1" applyAlignment="1">
      <alignment horizontal="center" vertical="center" wrapText="1"/>
    </xf>
    <xf numFmtId="0" fontId="0" fillId="0" borderId="13" xfId="0" applyBorder="1" applyAlignment="1">
      <alignment horizontal="center" vertical="center" wrapText="1"/>
    </xf>
    <xf numFmtId="0" fontId="0" fillId="0" borderId="21" xfId="0" applyBorder="1" applyAlignment="1">
      <alignment horizontal="center" vertical="center" wrapText="1"/>
    </xf>
    <xf numFmtId="0" fontId="0" fillId="0" borderId="15" xfId="0" applyBorder="1" applyAlignment="1">
      <alignment horizontal="center" vertical="center" wrapText="1"/>
    </xf>
    <xf numFmtId="165" fontId="0" fillId="7" borderId="83" xfId="0" applyNumberFormat="1" applyFill="1" applyBorder="1" applyAlignment="1">
      <alignment horizontal="right" vertical="center"/>
    </xf>
    <xf numFmtId="165" fontId="0" fillId="7" borderId="31" xfId="0" applyNumberFormat="1" applyFill="1" applyBorder="1" applyAlignment="1">
      <alignment horizontal="right" vertical="center"/>
    </xf>
    <xf numFmtId="165" fontId="0" fillId="7" borderId="82" xfId="0" applyNumberFormat="1" applyFill="1" applyBorder="1" applyAlignment="1">
      <alignment horizontal="right" vertical="center"/>
    </xf>
    <xf numFmtId="165" fontId="0" fillId="7" borderId="30" xfId="0" applyNumberFormat="1" applyFill="1" applyBorder="1" applyAlignment="1">
      <alignment horizontal="right" vertical="center"/>
    </xf>
    <xf numFmtId="165" fontId="0" fillId="0" borderId="83" xfId="0" applyNumberFormat="1" applyBorder="1" applyAlignment="1">
      <alignment horizontal="right" vertical="center"/>
    </xf>
    <xf numFmtId="165" fontId="0" fillId="0" borderId="31" xfId="0" applyNumberFormat="1" applyBorder="1" applyAlignment="1">
      <alignment horizontal="right" vertical="center"/>
    </xf>
    <xf numFmtId="166" fontId="7" fillId="8" borderId="0" xfId="0" applyNumberFormat="1" applyFont="1" applyFill="1" applyAlignment="1">
      <alignment horizontal="center" vertical="center"/>
    </xf>
    <xf numFmtId="0" fontId="2" fillId="0" borderId="78" xfId="1" applyBorder="1" applyAlignment="1">
      <alignment horizontal="center" vertical="center" wrapText="1"/>
    </xf>
    <xf numFmtId="0" fontId="2" fillId="0" borderId="79" xfId="1" applyBorder="1" applyAlignment="1">
      <alignment horizontal="center" vertical="center" wrapText="1"/>
    </xf>
    <xf numFmtId="164" fontId="0" fillId="0" borderId="27" xfId="0" applyNumberFormat="1" applyBorder="1" applyAlignment="1">
      <alignment horizontal="right" vertical="center"/>
    </xf>
    <xf numFmtId="0" fontId="0" fillId="0" borderId="11" xfId="0"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wrapText="1"/>
    </xf>
    <xf numFmtId="0" fontId="0" fillId="0" borderId="31" xfId="0" applyBorder="1" applyAlignment="1">
      <alignment horizontal="center" vertical="center" wrapText="1"/>
    </xf>
    <xf numFmtId="0" fontId="4" fillId="0" borderId="25"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6" xfId="0" applyFont="1" applyBorder="1" applyAlignment="1">
      <alignment horizontal="center" vertical="center" wrapText="1"/>
    </xf>
    <xf numFmtId="1" fontId="0" fillId="0" borderId="81" xfId="0" applyNumberFormat="1" applyBorder="1" applyAlignment="1">
      <alignment horizontal="right" vertical="center"/>
    </xf>
    <xf numFmtId="1" fontId="0" fillId="0" borderId="28" xfId="0" applyNumberFormat="1" applyBorder="1" applyAlignment="1">
      <alignment horizontal="right" vertical="center"/>
    </xf>
    <xf numFmtId="1" fontId="0" fillId="7" borderId="81" xfId="0" applyNumberFormat="1" applyFill="1" applyBorder="1" applyAlignment="1">
      <alignment horizontal="right" vertical="center"/>
    </xf>
    <xf numFmtId="1" fontId="0" fillId="7" borderId="28" xfId="0" applyNumberFormat="1" applyFill="1" applyBorder="1" applyAlignment="1">
      <alignment horizontal="right" vertical="center"/>
    </xf>
    <xf numFmtId="164" fontId="0" fillId="7" borderId="27" xfId="0" applyNumberFormat="1" applyFill="1" applyBorder="1" applyAlignment="1">
      <alignment horizontal="right" vertical="center"/>
    </xf>
    <xf numFmtId="49" fontId="0" fillId="7" borderId="20" xfId="0" applyNumberFormat="1" applyFill="1" applyBorder="1" applyAlignment="1">
      <alignment horizontal="left" vertical="center"/>
    </xf>
    <xf numFmtId="0" fontId="0" fillId="0" borderId="10" xfId="0" applyBorder="1" applyAlignment="1">
      <alignment horizontal="center" vertical="center" wrapText="1"/>
    </xf>
    <xf numFmtId="0" fontId="0" fillId="0" borderId="30" xfId="0" applyBorder="1" applyAlignment="1">
      <alignment horizontal="center" vertical="center" wrapText="1"/>
    </xf>
    <xf numFmtId="49" fontId="0" fillId="0" borderId="20" xfId="0" applyNumberFormat="1" applyBorder="1" applyAlignment="1">
      <alignment horizontal="left" vertical="center"/>
    </xf>
    <xf numFmtId="49" fontId="0" fillId="7" borderId="82" xfId="0" applyNumberFormat="1" applyFill="1" applyBorder="1" applyAlignment="1">
      <alignment horizontal="left" vertical="center"/>
    </xf>
    <xf numFmtId="49" fontId="0" fillId="7" borderId="30" xfId="0" applyNumberFormat="1" applyFill="1" applyBorder="1" applyAlignment="1">
      <alignment horizontal="left" vertical="center"/>
    </xf>
    <xf numFmtId="0" fontId="0" fillId="0" borderId="0" xfId="0" applyAlignment="1">
      <alignment horizontal="center" vertical="center"/>
    </xf>
    <xf numFmtId="0" fontId="0" fillId="0" borderId="78" xfId="0" applyBorder="1" applyAlignment="1">
      <alignment horizontal="center" vertical="center" wrapText="1"/>
    </xf>
    <xf numFmtId="0" fontId="2" fillId="0" borderId="0" xfId="1" applyFill="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88" xfId="0" applyFont="1" applyBorder="1" applyAlignment="1">
      <alignment horizontal="center" vertical="center"/>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0" fillId="0" borderId="25" xfId="0" applyBorder="1" applyAlignment="1">
      <alignment horizontal="center" vertical="center" wrapText="1"/>
    </xf>
    <xf numFmtId="0" fontId="0" fillId="0" borderId="28" xfId="0" applyBorder="1" applyAlignment="1">
      <alignment horizontal="center" vertical="center" wrapText="1"/>
    </xf>
    <xf numFmtId="0" fontId="0" fillId="0" borderId="27" xfId="0" applyBorder="1" applyAlignment="1">
      <alignment horizontal="center" vertical="center" wrapText="1"/>
    </xf>
    <xf numFmtId="0" fontId="0" fillId="0" borderId="26" xfId="0" applyBorder="1" applyAlignment="1">
      <alignment horizontal="center" vertical="center" wrapText="1"/>
    </xf>
    <xf numFmtId="0" fontId="2" fillId="0" borderId="34" xfId="1" applyBorder="1" applyAlignment="1">
      <alignment horizontal="center" vertical="center" wrapText="1"/>
    </xf>
    <xf numFmtId="0" fontId="2" fillId="0" borderId="35" xfId="1" applyBorder="1" applyAlignment="1">
      <alignment horizontal="center" vertical="center" wrapText="1"/>
    </xf>
    <xf numFmtId="0" fontId="2" fillId="0" borderId="36" xfId="1" applyBorder="1" applyAlignment="1">
      <alignment horizontal="center" vertical="center" wrapText="1"/>
    </xf>
    <xf numFmtId="0" fontId="2" fillId="0" borderId="37" xfId="1" applyBorder="1" applyAlignment="1">
      <alignment horizontal="center" vertical="center" wrapText="1"/>
    </xf>
    <xf numFmtId="0" fontId="2" fillId="0" borderId="13" xfId="1" applyBorder="1" applyAlignment="1">
      <alignment horizontal="center" vertical="center" wrapText="1"/>
    </xf>
    <xf numFmtId="0" fontId="2" fillId="0" borderId="15" xfId="1" applyBorder="1" applyAlignment="1">
      <alignment horizontal="center" vertical="center" wrapText="1"/>
    </xf>
    <xf numFmtId="165" fontId="0" fillId="0" borderId="82" xfId="0" applyNumberFormat="1" applyBorder="1" applyAlignment="1">
      <alignment horizontal="right" vertical="center"/>
    </xf>
    <xf numFmtId="165" fontId="0" fillId="0" borderId="30" xfId="0" applyNumberFormat="1" applyBorder="1" applyAlignment="1">
      <alignment horizontal="right" vertical="center"/>
    </xf>
    <xf numFmtId="0" fontId="11" fillId="0" borderId="0" xfId="0" applyFont="1" applyAlignment="1">
      <alignment horizontal="left" vertical="center" wrapText="1"/>
    </xf>
    <xf numFmtId="165" fontId="0" fillId="0" borderId="83" xfId="0" applyNumberFormat="1" applyBorder="1" applyAlignment="1">
      <alignment horizontal="center" vertical="center"/>
    </xf>
    <xf numFmtId="165" fontId="0" fillId="0" borderId="31" xfId="0" applyNumberFormat="1" applyBorder="1" applyAlignment="1">
      <alignment horizontal="center" vertical="center"/>
    </xf>
    <xf numFmtId="1" fontId="0" fillId="7" borderId="91" xfId="0" applyNumberFormat="1" applyFill="1" applyBorder="1" applyAlignment="1">
      <alignment horizontal="right" vertical="center"/>
    </xf>
    <xf numFmtId="1" fontId="0" fillId="7" borderId="44" xfId="0" applyNumberFormat="1" applyFill="1" applyBorder="1" applyAlignment="1">
      <alignment horizontal="right" vertical="center"/>
    </xf>
    <xf numFmtId="164" fontId="0" fillId="7" borderId="20" xfId="0" applyNumberFormat="1" applyFill="1" applyBorder="1" applyAlignment="1">
      <alignment horizontal="right" vertical="center"/>
    </xf>
    <xf numFmtId="167" fontId="0" fillId="0" borderId="81" xfId="0" applyNumberFormat="1" applyBorder="1" applyAlignment="1">
      <alignment horizontal="right" vertical="center"/>
    </xf>
    <xf numFmtId="167" fontId="0" fillId="0" borderId="28" xfId="0" applyNumberFormat="1" applyBorder="1" applyAlignment="1">
      <alignment horizontal="right" vertical="center"/>
    </xf>
    <xf numFmtId="167" fontId="0" fillId="7" borderId="81" xfId="0" applyNumberFormat="1" applyFill="1" applyBorder="1" applyAlignment="1">
      <alignment horizontal="right" vertical="center"/>
    </xf>
    <xf numFmtId="167" fontId="0" fillId="7" borderId="28" xfId="0" applyNumberFormat="1" applyFill="1" applyBorder="1" applyAlignment="1">
      <alignment horizontal="right" vertical="center"/>
    </xf>
  </cellXfs>
  <cellStyles count="2">
    <cellStyle name="Collegamento ipertestuale" xfId="1" builtinId="8"/>
    <cellStyle name="Normale" xfId="0" builtinId="0"/>
  </cellStyles>
  <dxfs count="128">
    <dxf>
      <font>
        <strike val="0"/>
        <outline val="0"/>
        <shadow val="0"/>
        <u val="none"/>
        <vertAlign val="baseline"/>
        <sz val="12"/>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rgb="FFFFFF00"/>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rgb="FFFFFF00"/>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rgb="FFFFFF00"/>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rgb="FFFFFF00"/>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rgb="FFFFFF00"/>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rgb="FFFFFF00"/>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vertical="center" textRotation="0" indent="0" justifyLastLine="0" shrinkToFit="0" readingOrder="0"/>
    </dxf>
    <dxf>
      <font>
        <strike val="0"/>
        <outline val="0"/>
        <shadow val="0"/>
        <u val="none"/>
        <vertAlign val="baseline"/>
        <sz val="12"/>
        <color theme="1"/>
        <name val="Calibri"/>
        <family val="2"/>
        <scheme val="minor"/>
      </font>
      <numFmt numFmtId="2" formatCode="0.00"/>
      <alignment vertical="center" textRotation="0" indent="0" justifyLastLine="0" shrinkToFit="0" readingOrder="0"/>
    </dxf>
    <dxf>
      <font>
        <strike val="0"/>
        <outline val="0"/>
        <shadow val="0"/>
        <u val="none"/>
        <vertAlign val="baseline"/>
        <sz val="12"/>
        <color theme="1"/>
        <name val="Calibri"/>
        <family val="2"/>
        <scheme val="minor"/>
      </font>
      <numFmt numFmtId="2" formatCode="0.00"/>
      <alignment vertical="center" textRotation="0" indent="0" justifyLastLine="0" shrinkToFit="0" readingOrder="0"/>
    </dxf>
    <dxf>
      <font>
        <strike val="0"/>
        <outline val="0"/>
        <shadow val="0"/>
        <u val="none"/>
        <vertAlign val="baseline"/>
        <sz val="12"/>
        <color theme="1"/>
        <name val="Calibri"/>
        <family val="2"/>
        <scheme val="minor"/>
      </font>
      <numFmt numFmtId="2" formatCode="0.00"/>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vertAlign val="baseline"/>
        <sz val="12"/>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vertAlign val="baseline"/>
        <sz val="12"/>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fill>
        <patternFill patternType="solid">
          <fgColor indexed="64"/>
          <bgColor theme="5" tint="0.79998168889431442"/>
        </patternFill>
      </fill>
      <alignment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fill>
        <patternFill patternType="solid">
          <fgColor indexed="64"/>
          <bgColor theme="5" tint="0.79998168889431442"/>
        </patternFill>
      </fill>
      <alignment vertical="center" textRotation="0" indent="0" justifyLastLine="0" shrinkToFit="0" readingOrder="0"/>
    </dxf>
    <dxf>
      <font>
        <strike val="0"/>
        <outline val="0"/>
        <shadow val="0"/>
        <u val="none"/>
        <vertAlign val="baseline"/>
        <sz val="12"/>
        <color rgb="FF000000"/>
        <name val="Calibri"/>
        <family val="2"/>
        <scheme val="minor"/>
      </font>
      <alignment vertical="center" textRotation="0" indent="0" justifyLastLine="0" shrinkToFit="0" readingOrder="0"/>
    </dxf>
    <dxf>
      <font>
        <strike val="0"/>
        <outline val="0"/>
        <shadow val="0"/>
        <u val="none"/>
        <vertAlign val="baseline"/>
        <sz val="12"/>
        <color theme="1"/>
        <name val="Calibri"/>
        <family val="2"/>
        <scheme val="minor"/>
      </font>
      <alignment vertical="center" textRotation="0" indent="0" justifyLastLine="0" shrinkToFit="0" readingOrder="0"/>
    </dxf>
    <dxf>
      <font>
        <color rgb="FFFFC000"/>
      </font>
      <fill>
        <patternFill>
          <bgColor rgb="FFC00000"/>
        </patternFill>
      </fill>
    </dxf>
  </dxfs>
  <tableStyles count="0" defaultTableStyle="TableStyleMedium2" defaultPivotStyle="PivotStyleLight16"/>
  <colors>
    <mruColors>
      <color rgb="FFFF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15</xdr:col>
      <xdr:colOff>201680</xdr:colOff>
      <xdr:row>0</xdr:row>
      <xdr:rowOff>125185</xdr:rowOff>
    </xdr:from>
    <xdr:to>
      <xdr:col>18</xdr:col>
      <xdr:colOff>1082887</xdr:colOff>
      <xdr:row>26</xdr:row>
      <xdr:rowOff>188886</xdr:rowOff>
    </xdr:to>
    <xdr:pic>
      <xdr:nvPicPr>
        <xdr:cNvPr id="3" name="Immagine 2">
          <a:extLst>
            <a:ext uri="{FF2B5EF4-FFF2-40B4-BE49-F238E27FC236}">
              <a16:creationId xmlns:a16="http://schemas.microsoft.com/office/drawing/2014/main" id="{D3146339-C0FE-3606-9A7A-23EB1A73D1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271216" y="125185"/>
          <a:ext cx="3044742" cy="50575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62</xdr:col>
      <xdr:colOff>716956</xdr:colOff>
      <xdr:row>666</xdr:row>
      <xdr:rowOff>19620</xdr:rowOff>
    </xdr:from>
    <xdr:ext cx="2846513" cy="375680"/>
    <mc:AlternateContent xmlns:mc="http://schemas.openxmlformats.org/markup-compatibility/2006" xmlns:a14="http://schemas.microsoft.com/office/drawing/2010/main">
      <mc:Choice Requires="a14">
        <xdr:sp macro="" textlink="">
          <xdr:nvSpPr>
            <xdr:cNvPr id="6" name="CasellaDiTesto 5">
              <a:extLst>
                <a:ext uri="{FF2B5EF4-FFF2-40B4-BE49-F238E27FC236}">
                  <a16:creationId xmlns:a16="http://schemas.microsoft.com/office/drawing/2014/main" id="{419CD4D4-ADD4-4F8B-A9A4-954B891E27E7}"/>
                </a:ext>
              </a:extLst>
            </xdr:cNvPr>
            <xdr:cNvSpPr txBox="1"/>
          </xdr:nvSpPr>
          <xdr:spPr>
            <a:xfrm>
              <a:off x="44778485" y="71356267"/>
              <a:ext cx="2846513"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2400" i="1">
                        <a:latin typeface="Cambria Math" panose="02040503050406030204" pitchFamily="18" charset="0"/>
                      </a:rPr>
                      <m:t>Δ</m:t>
                    </m:r>
                    <m:r>
                      <a:rPr lang="it-IT" sz="2400" b="0" i="1">
                        <a:latin typeface="Cambria Math" panose="02040503050406030204" pitchFamily="18" charset="0"/>
                      </a:rPr>
                      <m:t>𝐺</m:t>
                    </m:r>
                    <m:r>
                      <a:rPr lang="it-IT" sz="2400" i="1">
                        <a:latin typeface="Cambria Math" panose="02040503050406030204" pitchFamily="18" charset="0"/>
                      </a:rPr>
                      <m:t>=</m:t>
                    </m:r>
                    <m:r>
                      <a:rPr lang="it-IT" sz="2400" b="0" i="1">
                        <a:latin typeface="Cambria Math" panose="02040503050406030204" pitchFamily="18" charset="0"/>
                      </a:rPr>
                      <m:t>𝑛</m:t>
                    </m:r>
                    <m:r>
                      <a:rPr lang="it-IT" sz="2400" b="0" i="1">
                        <a:latin typeface="Cambria Math" panose="02040503050406030204" pitchFamily="18" charset="0"/>
                      </a:rPr>
                      <m:t>∗</m:t>
                    </m:r>
                    <m:r>
                      <a:rPr lang="it-IT" sz="2400" b="0" i="1">
                        <a:latin typeface="Cambria Math" panose="02040503050406030204" pitchFamily="18" charset="0"/>
                      </a:rPr>
                      <m:t>𝐹</m:t>
                    </m:r>
                    <m:r>
                      <a:rPr lang="it-IT" sz="2400" b="0" i="1">
                        <a:latin typeface="Cambria Math" panose="02040503050406030204" pitchFamily="18" charset="0"/>
                      </a:rPr>
                      <m:t>∗</m:t>
                    </m:r>
                    <m:r>
                      <a:rPr lang="el-GR" sz="2400" i="1">
                        <a:latin typeface="Cambria Math" panose="02040503050406030204" pitchFamily="18" charset="0"/>
                      </a:rPr>
                      <m:t>𝛥</m:t>
                    </m:r>
                    <m:r>
                      <a:rPr lang="it-IT" sz="2400" b="0" i="1">
                        <a:latin typeface="Cambria Math" panose="02040503050406030204" pitchFamily="18" charset="0"/>
                      </a:rPr>
                      <m:t>𝑉</m:t>
                    </m:r>
                  </m:oMath>
                </m:oMathPara>
              </a14:m>
              <a:endParaRPr lang="it-IT" sz="1050"/>
            </a:p>
          </xdr:txBody>
        </xdr:sp>
      </mc:Choice>
      <mc:Fallback xmlns="">
        <xdr:sp macro="" textlink="">
          <xdr:nvSpPr>
            <xdr:cNvPr id="6" name="CasellaDiTesto 5">
              <a:extLst>
                <a:ext uri="{FF2B5EF4-FFF2-40B4-BE49-F238E27FC236}">
                  <a16:creationId xmlns:a16="http://schemas.microsoft.com/office/drawing/2014/main" id="{419CD4D4-ADD4-4F8B-A9A4-954B891E27E7}"/>
                </a:ext>
              </a:extLst>
            </xdr:cNvPr>
            <xdr:cNvSpPr txBox="1"/>
          </xdr:nvSpPr>
          <xdr:spPr>
            <a:xfrm>
              <a:off x="44778485" y="71356267"/>
              <a:ext cx="2846513"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2400" i="0">
                  <a:latin typeface="Cambria Math" panose="02040503050406030204" pitchFamily="18" charset="0"/>
                </a:rPr>
                <a:t>Δ</a:t>
              </a:r>
              <a:r>
                <a:rPr lang="it-IT" sz="2400" b="0" i="0">
                  <a:latin typeface="Cambria Math" panose="02040503050406030204" pitchFamily="18" charset="0"/>
                </a:rPr>
                <a:t>𝐺</a:t>
              </a:r>
              <a:r>
                <a:rPr lang="it-IT" sz="2400" i="0">
                  <a:latin typeface="Cambria Math" panose="02040503050406030204" pitchFamily="18" charset="0"/>
                </a:rPr>
                <a:t>=</a:t>
              </a:r>
              <a:r>
                <a:rPr lang="it-IT" sz="2400" b="0" i="0">
                  <a:latin typeface="Cambria Math" panose="02040503050406030204" pitchFamily="18" charset="0"/>
                </a:rPr>
                <a:t>𝑛∗𝐹∗</a:t>
              </a:r>
              <a:r>
                <a:rPr lang="el-GR" sz="2400" i="0">
                  <a:latin typeface="Cambria Math" panose="02040503050406030204" pitchFamily="18" charset="0"/>
                </a:rPr>
                <a:t>𝛥</a:t>
              </a:r>
              <a:r>
                <a:rPr lang="it-IT" sz="2400" b="0" i="0">
                  <a:latin typeface="Cambria Math" panose="02040503050406030204" pitchFamily="18" charset="0"/>
                </a:rPr>
                <a:t>𝑉</a:t>
              </a:r>
              <a:endParaRPr lang="it-IT" sz="1050"/>
            </a:p>
          </xdr:txBody>
        </xdr:sp>
      </mc:Fallback>
    </mc:AlternateContent>
    <xdr:clientData/>
  </xdr:oneCellAnchor>
  <xdr:oneCellAnchor>
    <xdr:from>
      <xdr:col>64</xdr:col>
      <xdr:colOff>152179</xdr:colOff>
      <xdr:row>666</xdr:row>
      <xdr:rowOff>172020</xdr:rowOff>
    </xdr:from>
    <xdr:ext cx="2846513" cy="375680"/>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7F9D3C6B-5B00-467E-994D-8141D88C2B4A}"/>
                </a:ext>
              </a:extLst>
            </xdr:cNvPr>
            <xdr:cNvSpPr txBox="1"/>
          </xdr:nvSpPr>
          <xdr:spPr>
            <a:xfrm>
              <a:off x="44930885" y="71508667"/>
              <a:ext cx="2846513"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2400" i="1">
                        <a:latin typeface="Cambria Math" panose="02040503050406030204" pitchFamily="18" charset="0"/>
                      </a:rPr>
                      <m:t>Δ</m:t>
                    </m:r>
                    <m:r>
                      <a:rPr lang="it-IT" sz="2400" b="0" i="1">
                        <a:latin typeface="Cambria Math" panose="02040503050406030204" pitchFamily="18" charset="0"/>
                      </a:rPr>
                      <m:t>𝐺</m:t>
                    </m:r>
                    <m:r>
                      <a:rPr lang="it-IT" sz="2400" i="1">
                        <a:latin typeface="Cambria Math" panose="02040503050406030204" pitchFamily="18" charset="0"/>
                      </a:rPr>
                      <m:t>=</m:t>
                    </m:r>
                    <m:r>
                      <a:rPr lang="it-IT" sz="2400" b="0" i="1">
                        <a:latin typeface="Cambria Math" panose="02040503050406030204" pitchFamily="18" charset="0"/>
                      </a:rPr>
                      <m:t>𝑛</m:t>
                    </m:r>
                    <m:r>
                      <a:rPr lang="it-IT" sz="2400" b="0" i="1">
                        <a:latin typeface="Cambria Math" panose="02040503050406030204" pitchFamily="18" charset="0"/>
                      </a:rPr>
                      <m:t>∗</m:t>
                    </m:r>
                    <m:r>
                      <a:rPr lang="it-IT" sz="2400" b="0" i="1">
                        <a:latin typeface="Cambria Math" panose="02040503050406030204" pitchFamily="18" charset="0"/>
                      </a:rPr>
                      <m:t>𝐹</m:t>
                    </m:r>
                    <m:r>
                      <a:rPr lang="it-IT" sz="2400" b="0" i="1">
                        <a:latin typeface="Cambria Math" panose="02040503050406030204" pitchFamily="18" charset="0"/>
                      </a:rPr>
                      <m:t>∗</m:t>
                    </m:r>
                    <m:r>
                      <a:rPr lang="el-GR" sz="2400" i="1">
                        <a:latin typeface="Cambria Math" panose="02040503050406030204" pitchFamily="18" charset="0"/>
                      </a:rPr>
                      <m:t>𝛥</m:t>
                    </m:r>
                    <m:r>
                      <a:rPr lang="it-IT" sz="2400" b="0" i="1">
                        <a:latin typeface="Cambria Math" panose="02040503050406030204" pitchFamily="18" charset="0"/>
                      </a:rPr>
                      <m:t>𝑉</m:t>
                    </m:r>
                  </m:oMath>
                </m:oMathPara>
              </a14:m>
              <a:endParaRPr lang="it-IT" sz="1050"/>
            </a:p>
          </xdr:txBody>
        </xdr:sp>
      </mc:Choice>
      <mc:Fallback xmlns="">
        <xdr:sp macro="" textlink="">
          <xdr:nvSpPr>
            <xdr:cNvPr id="7" name="CasellaDiTesto 6">
              <a:extLst>
                <a:ext uri="{FF2B5EF4-FFF2-40B4-BE49-F238E27FC236}">
                  <a16:creationId xmlns:a16="http://schemas.microsoft.com/office/drawing/2014/main" id="{7F9D3C6B-5B00-467E-994D-8141D88C2B4A}"/>
                </a:ext>
              </a:extLst>
            </xdr:cNvPr>
            <xdr:cNvSpPr txBox="1"/>
          </xdr:nvSpPr>
          <xdr:spPr>
            <a:xfrm>
              <a:off x="44930885" y="71508667"/>
              <a:ext cx="2846513"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2400" i="0">
                  <a:latin typeface="Cambria Math" panose="02040503050406030204" pitchFamily="18" charset="0"/>
                </a:rPr>
                <a:t>Δ</a:t>
              </a:r>
              <a:r>
                <a:rPr lang="it-IT" sz="2400" b="0" i="0">
                  <a:latin typeface="Cambria Math" panose="02040503050406030204" pitchFamily="18" charset="0"/>
                </a:rPr>
                <a:t>𝐺</a:t>
              </a:r>
              <a:r>
                <a:rPr lang="it-IT" sz="2400" i="0">
                  <a:latin typeface="Cambria Math" panose="02040503050406030204" pitchFamily="18" charset="0"/>
                </a:rPr>
                <a:t>=</a:t>
              </a:r>
              <a:r>
                <a:rPr lang="it-IT" sz="2400" b="0" i="0">
                  <a:latin typeface="Cambria Math" panose="02040503050406030204" pitchFamily="18" charset="0"/>
                </a:rPr>
                <a:t>𝑛∗𝐹∗</a:t>
              </a:r>
              <a:r>
                <a:rPr lang="el-GR" sz="2400" i="0">
                  <a:latin typeface="Cambria Math" panose="02040503050406030204" pitchFamily="18" charset="0"/>
                </a:rPr>
                <a:t>𝛥</a:t>
              </a:r>
              <a:r>
                <a:rPr lang="it-IT" sz="2400" b="0" i="0">
                  <a:latin typeface="Cambria Math" panose="02040503050406030204" pitchFamily="18" charset="0"/>
                </a:rPr>
                <a:t>𝑉</a:t>
              </a:r>
              <a:endParaRPr lang="it-IT" sz="1050"/>
            </a:p>
          </xdr:txBody>
        </xdr:sp>
      </mc:Fallback>
    </mc:AlternateContent>
    <xdr:clientData/>
  </xdr:oneCellAnchor>
  <xdr:oneCellAnchor>
    <xdr:from>
      <xdr:col>56</xdr:col>
      <xdr:colOff>89427</xdr:colOff>
      <xdr:row>324</xdr:row>
      <xdr:rowOff>42031</xdr:rowOff>
    </xdr:from>
    <xdr:ext cx="2846513" cy="375680"/>
    <mc:AlternateContent xmlns:mc="http://schemas.openxmlformats.org/markup-compatibility/2006" xmlns:a14="http://schemas.microsoft.com/office/drawing/2010/main">
      <mc:Choice Requires="a14">
        <xdr:sp macro="" textlink="">
          <xdr:nvSpPr>
            <xdr:cNvPr id="25" name="CasellaDiTesto 24">
              <a:extLst>
                <a:ext uri="{FF2B5EF4-FFF2-40B4-BE49-F238E27FC236}">
                  <a16:creationId xmlns:a16="http://schemas.microsoft.com/office/drawing/2014/main" id="{73F281B8-9D2E-49D9-936C-ED1316E9DCC2}"/>
                </a:ext>
              </a:extLst>
            </xdr:cNvPr>
            <xdr:cNvSpPr txBox="1"/>
          </xdr:nvSpPr>
          <xdr:spPr>
            <a:xfrm>
              <a:off x="46201633" y="5107090"/>
              <a:ext cx="2846513"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2400" i="1">
                        <a:latin typeface="Cambria Math" panose="02040503050406030204" pitchFamily="18" charset="0"/>
                      </a:rPr>
                      <m:t>Δ</m:t>
                    </m:r>
                    <m:r>
                      <a:rPr lang="it-IT" sz="2400" b="0" i="1">
                        <a:latin typeface="Cambria Math" panose="02040503050406030204" pitchFamily="18" charset="0"/>
                      </a:rPr>
                      <m:t>𝐺</m:t>
                    </m:r>
                    <m:r>
                      <a:rPr lang="it-IT" sz="2400" i="1">
                        <a:latin typeface="Cambria Math" panose="02040503050406030204" pitchFamily="18" charset="0"/>
                      </a:rPr>
                      <m:t>=</m:t>
                    </m:r>
                    <m:r>
                      <a:rPr lang="it-IT" sz="2400" b="0" i="1">
                        <a:latin typeface="Cambria Math" panose="02040503050406030204" pitchFamily="18" charset="0"/>
                      </a:rPr>
                      <m:t>𝑛</m:t>
                    </m:r>
                    <m:r>
                      <a:rPr lang="it-IT" sz="2400" b="0" i="1">
                        <a:latin typeface="Cambria Math" panose="02040503050406030204" pitchFamily="18" charset="0"/>
                      </a:rPr>
                      <m:t>∗</m:t>
                    </m:r>
                    <m:r>
                      <a:rPr lang="it-IT" sz="2400" b="0" i="1">
                        <a:latin typeface="Cambria Math" panose="02040503050406030204" pitchFamily="18" charset="0"/>
                      </a:rPr>
                      <m:t>𝐹</m:t>
                    </m:r>
                    <m:r>
                      <a:rPr lang="it-IT" sz="2400" b="0" i="1">
                        <a:latin typeface="Cambria Math" panose="02040503050406030204" pitchFamily="18" charset="0"/>
                      </a:rPr>
                      <m:t>∗</m:t>
                    </m:r>
                    <m:r>
                      <a:rPr lang="el-GR" sz="2400" i="1">
                        <a:latin typeface="Cambria Math" panose="02040503050406030204" pitchFamily="18" charset="0"/>
                      </a:rPr>
                      <m:t>𝛥</m:t>
                    </m:r>
                    <m:r>
                      <a:rPr lang="it-IT" sz="2400" b="0" i="1">
                        <a:latin typeface="Cambria Math" panose="02040503050406030204" pitchFamily="18" charset="0"/>
                      </a:rPr>
                      <m:t>𝑉</m:t>
                    </m:r>
                  </m:oMath>
                </m:oMathPara>
              </a14:m>
              <a:endParaRPr lang="it-IT" sz="1050"/>
            </a:p>
          </xdr:txBody>
        </xdr:sp>
      </mc:Choice>
      <mc:Fallback xmlns="">
        <xdr:sp macro="" textlink="">
          <xdr:nvSpPr>
            <xdr:cNvPr id="25" name="CasellaDiTesto 24">
              <a:extLst>
                <a:ext uri="{FF2B5EF4-FFF2-40B4-BE49-F238E27FC236}">
                  <a16:creationId xmlns:a16="http://schemas.microsoft.com/office/drawing/2014/main" id="{73F281B8-9D2E-49D9-936C-ED1316E9DCC2}"/>
                </a:ext>
              </a:extLst>
            </xdr:cNvPr>
            <xdr:cNvSpPr txBox="1"/>
          </xdr:nvSpPr>
          <xdr:spPr>
            <a:xfrm>
              <a:off x="46201633" y="5107090"/>
              <a:ext cx="2846513"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2400" i="0">
                  <a:latin typeface="Cambria Math" panose="02040503050406030204" pitchFamily="18" charset="0"/>
                </a:rPr>
                <a:t>Δ</a:t>
              </a:r>
              <a:r>
                <a:rPr lang="it-IT" sz="2400" b="0" i="0">
                  <a:latin typeface="Cambria Math" panose="02040503050406030204" pitchFamily="18" charset="0"/>
                </a:rPr>
                <a:t>𝐺</a:t>
              </a:r>
              <a:r>
                <a:rPr lang="it-IT" sz="2400" i="0">
                  <a:latin typeface="Cambria Math" panose="02040503050406030204" pitchFamily="18" charset="0"/>
                </a:rPr>
                <a:t>=</a:t>
              </a:r>
              <a:r>
                <a:rPr lang="it-IT" sz="2400" b="0" i="0">
                  <a:latin typeface="Cambria Math" panose="02040503050406030204" pitchFamily="18" charset="0"/>
                </a:rPr>
                <a:t>𝑛∗𝐹∗</a:t>
              </a:r>
              <a:r>
                <a:rPr lang="el-GR" sz="2400" i="0">
                  <a:latin typeface="Cambria Math" panose="02040503050406030204" pitchFamily="18" charset="0"/>
                </a:rPr>
                <a:t>𝛥</a:t>
              </a:r>
              <a:r>
                <a:rPr lang="it-IT" sz="2400" b="0" i="0">
                  <a:latin typeface="Cambria Math" panose="02040503050406030204" pitchFamily="18" charset="0"/>
                </a:rPr>
                <a:t>𝑉</a:t>
              </a:r>
              <a:endParaRPr lang="it-IT" sz="1050"/>
            </a:p>
          </xdr:txBody>
        </xdr:sp>
      </mc:Fallback>
    </mc:AlternateContent>
    <xdr:clientData/>
  </xdr:oneCellAnchor>
  <xdr:oneCellAnchor>
    <xdr:from>
      <xdr:col>56</xdr:col>
      <xdr:colOff>73740</xdr:colOff>
      <xdr:row>326</xdr:row>
      <xdr:rowOff>37551</xdr:rowOff>
    </xdr:from>
    <xdr:ext cx="2846513" cy="691600"/>
    <mc:AlternateContent xmlns:mc="http://schemas.openxmlformats.org/markup-compatibility/2006" xmlns:a14="http://schemas.microsoft.com/office/drawing/2010/main">
      <mc:Choice Requires="a14">
        <xdr:sp macro="" textlink="">
          <xdr:nvSpPr>
            <xdr:cNvPr id="26" name="CasellaDiTesto 25">
              <a:extLst>
                <a:ext uri="{FF2B5EF4-FFF2-40B4-BE49-F238E27FC236}">
                  <a16:creationId xmlns:a16="http://schemas.microsoft.com/office/drawing/2014/main" id="{1E3BB7E7-E83A-4822-8E09-A6AC872ED70F}"/>
                </a:ext>
              </a:extLst>
            </xdr:cNvPr>
            <xdr:cNvSpPr txBox="1"/>
          </xdr:nvSpPr>
          <xdr:spPr>
            <a:xfrm>
              <a:off x="46185946" y="5506022"/>
              <a:ext cx="2846513" cy="69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2400" i="1">
                        <a:latin typeface="Cambria Math" panose="02040503050406030204" pitchFamily="18" charset="0"/>
                      </a:rPr>
                      <m:t>Δ</m:t>
                    </m:r>
                    <m:r>
                      <a:rPr lang="it-IT" sz="2400" b="0" i="1">
                        <a:latin typeface="Cambria Math" panose="02040503050406030204" pitchFamily="18" charset="0"/>
                      </a:rPr>
                      <m:t>𝑉</m:t>
                    </m:r>
                    <m:r>
                      <a:rPr lang="it-IT" sz="2400" i="1">
                        <a:latin typeface="Cambria Math" panose="02040503050406030204" pitchFamily="18" charset="0"/>
                      </a:rPr>
                      <m:t>=</m:t>
                    </m:r>
                    <m:f>
                      <m:fPr>
                        <m:ctrlPr>
                          <a:rPr lang="it-IT" sz="2400" i="1">
                            <a:latin typeface="Cambria Math" panose="02040503050406030204" pitchFamily="18" charset="0"/>
                          </a:rPr>
                        </m:ctrlPr>
                      </m:fPr>
                      <m:num>
                        <m:r>
                          <a:rPr lang="it-IT" sz="2400" i="1">
                            <a:latin typeface="Cambria Math" panose="02040503050406030204" pitchFamily="18" charset="0"/>
                          </a:rPr>
                          <m:t>𝑛</m:t>
                        </m:r>
                        <m:r>
                          <a:rPr lang="it-IT" sz="2400" i="1">
                            <a:latin typeface="Cambria Math" panose="02040503050406030204" pitchFamily="18" charset="0"/>
                          </a:rPr>
                          <m:t>∗</m:t>
                        </m:r>
                        <m:r>
                          <a:rPr lang="it-IT" sz="2400" i="1">
                            <a:latin typeface="Cambria Math" panose="02040503050406030204" pitchFamily="18" charset="0"/>
                          </a:rPr>
                          <m:t>𝐹</m:t>
                        </m:r>
                      </m:num>
                      <m:den>
                        <m:r>
                          <a:rPr lang="el-GR" sz="2400" i="1">
                            <a:latin typeface="Cambria Math" panose="02040503050406030204" pitchFamily="18" charset="0"/>
                          </a:rPr>
                          <m:t>𝛥</m:t>
                        </m:r>
                        <m:r>
                          <a:rPr lang="el-GR" sz="2400" i="1">
                            <a:latin typeface="Cambria Math" panose="02040503050406030204" pitchFamily="18" charset="0"/>
                          </a:rPr>
                          <m:t>𝐺</m:t>
                        </m:r>
                      </m:den>
                    </m:f>
                  </m:oMath>
                </m:oMathPara>
              </a14:m>
              <a:endParaRPr lang="it-IT" sz="1400"/>
            </a:p>
          </xdr:txBody>
        </xdr:sp>
      </mc:Choice>
      <mc:Fallback xmlns="">
        <xdr:sp macro="" textlink="">
          <xdr:nvSpPr>
            <xdr:cNvPr id="26" name="CasellaDiTesto 25">
              <a:extLst>
                <a:ext uri="{FF2B5EF4-FFF2-40B4-BE49-F238E27FC236}">
                  <a16:creationId xmlns:a16="http://schemas.microsoft.com/office/drawing/2014/main" id="{1E3BB7E7-E83A-4822-8E09-A6AC872ED70F}"/>
                </a:ext>
              </a:extLst>
            </xdr:cNvPr>
            <xdr:cNvSpPr txBox="1"/>
          </xdr:nvSpPr>
          <xdr:spPr>
            <a:xfrm>
              <a:off x="46185946" y="5506022"/>
              <a:ext cx="2846513" cy="69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2400" i="0">
                  <a:latin typeface="Cambria Math" panose="02040503050406030204" pitchFamily="18" charset="0"/>
                </a:rPr>
                <a:t>Δ</a:t>
              </a:r>
              <a:r>
                <a:rPr lang="it-IT" sz="2400" b="0" i="0">
                  <a:latin typeface="Cambria Math" panose="02040503050406030204" pitchFamily="18" charset="0"/>
                </a:rPr>
                <a:t>𝑉</a:t>
              </a:r>
              <a:r>
                <a:rPr lang="it-IT" sz="2400" i="0">
                  <a:latin typeface="Cambria Math" panose="02040503050406030204" pitchFamily="18" charset="0"/>
                </a:rPr>
                <a:t>=(𝑛∗𝐹)/</a:t>
              </a:r>
              <a:r>
                <a:rPr lang="el-GR" sz="2400" i="0">
                  <a:latin typeface="Cambria Math" panose="02040503050406030204" pitchFamily="18" charset="0"/>
                </a:rPr>
                <a:t>𝛥𝐺</a:t>
              </a:r>
              <a:endParaRPr lang="it-IT" sz="1400"/>
            </a:p>
          </xdr:txBody>
        </xdr:sp>
      </mc:Fallback>
    </mc:AlternateContent>
    <xdr:clientData/>
  </xdr:oneCellAnchor>
  <xdr:oneCellAnchor>
    <xdr:from>
      <xdr:col>55</xdr:col>
      <xdr:colOff>634036</xdr:colOff>
      <xdr:row>329</xdr:row>
      <xdr:rowOff>160812</xdr:rowOff>
    </xdr:from>
    <xdr:ext cx="598612" cy="281808"/>
    <mc:AlternateContent xmlns:mc="http://schemas.openxmlformats.org/markup-compatibility/2006" xmlns:a14="http://schemas.microsoft.com/office/drawing/2010/main">
      <mc:Choice Requires="a14">
        <xdr:sp macro="" textlink="">
          <xdr:nvSpPr>
            <xdr:cNvPr id="27" name="CasellaDiTesto 26">
              <a:extLst>
                <a:ext uri="{FF2B5EF4-FFF2-40B4-BE49-F238E27FC236}">
                  <a16:creationId xmlns:a16="http://schemas.microsoft.com/office/drawing/2014/main" id="{4D6A917E-C8A8-4F39-9840-C3F9443306EF}"/>
                </a:ext>
              </a:extLst>
            </xdr:cNvPr>
            <xdr:cNvSpPr txBox="1"/>
          </xdr:nvSpPr>
          <xdr:spPr>
            <a:xfrm>
              <a:off x="46017860" y="6234400"/>
              <a:ext cx="59861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800" i="1">
                        <a:latin typeface="Cambria Math" panose="02040503050406030204" pitchFamily="18" charset="0"/>
                      </a:rPr>
                      <m:t>𝐹</m:t>
                    </m:r>
                    <m:r>
                      <a:rPr lang="it-IT" sz="1800" b="0" i="1">
                        <a:latin typeface="Cambria Math" panose="02040503050406030204" pitchFamily="18" charset="0"/>
                      </a:rPr>
                      <m:t>=</m:t>
                    </m:r>
                  </m:oMath>
                </m:oMathPara>
              </a14:m>
              <a:endParaRPr lang="it-IT" sz="900"/>
            </a:p>
          </xdr:txBody>
        </xdr:sp>
      </mc:Choice>
      <mc:Fallback xmlns="">
        <xdr:sp macro="" textlink="">
          <xdr:nvSpPr>
            <xdr:cNvPr id="27" name="CasellaDiTesto 26">
              <a:extLst>
                <a:ext uri="{FF2B5EF4-FFF2-40B4-BE49-F238E27FC236}">
                  <a16:creationId xmlns:a16="http://schemas.microsoft.com/office/drawing/2014/main" id="{4D6A917E-C8A8-4F39-9840-C3F9443306EF}"/>
                </a:ext>
              </a:extLst>
            </xdr:cNvPr>
            <xdr:cNvSpPr txBox="1"/>
          </xdr:nvSpPr>
          <xdr:spPr>
            <a:xfrm>
              <a:off x="46017860" y="6234400"/>
              <a:ext cx="59861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i="0">
                  <a:latin typeface="Cambria Math" panose="02040503050406030204" pitchFamily="18" charset="0"/>
                </a:rPr>
                <a:t>𝐹</a:t>
              </a:r>
              <a:r>
                <a:rPr lang="it-IT" sz="1800" b="0" i="0">
                  <a:latin typeface="Cambria Math" panose="02040503050406030204" pitchFamily="18" charset="0"/>
                </a:rPr>
                <a:t>=</a:t>
              </a:r>
              <a:endParaRPr lang="it-IT" sz="900"/>
            </a:p>
          </xdr:txBody>
        </xdr:sp>
      </mc:Fallback>
    </mc:AlternateContent>
    <xdr:clientData/>
  </xdr:oneCellAnchor>
  <xdr:oneCellAnchor>
    <xdr:from>
      <xdr:col>59</xdr:col>
      <xdr:colOff>313765</xdr:colOff>
      <xdr:row>329</xdr:row>
      <xdr:rowOff>190502</xdr:rowOff>
    </xdr:from>
    <xdr:ext cx="818029" cy="286297"/>
    <mc:AlternateContent xmlns:mc="http://schemas.openxmlformats.org/markup-compatibility/2006" xmlns:a14="http://schemas.microsoft.com/office/drawing/2010/main">
      <mc:Choice Requires="a14">
        <xdr:sp macro="" textlink="">
          <xdr:nvSpPr>
            <xdr:cNvPr id="28" name="CasellaDiTesto 27">
              <a:extLst>
                <a:ext uri="{FF2B5EF4-FFF2-40B4-BE49-F238E27FC236}">
                  <a16:creationId xmlns:a16="http://schemas.microsoft.com/office/drawing/2014/main" id="{10463D8C-AF71-4C31-A71D-F6AB4E15F26F}"/>
                </a:ext>
              </a:extLst>
            </xdr:cNvPr>
            <xdr:cNvSpPr txBox="1"/>
          </xdr:nvSpPr>
          <xdr:spPr>
            <a:xfrm>
              <a:off x="42089294" y="3014384"/>
              <a:ext cx="818029" cy="286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800" i="1">
                        <a:latin typeface="Cambria Math" panose="02040503050406030204" pitchFamily="18" charset="0"/>
                      </a:rPr>
                      <m:t>𝐶</m:t>
                    </m:r>
                    <m:sSup>
                      <m:sSupPr>
                        <m:ctrlPr>
                          <a:rPr lang="it-IT" sz="1800" i="1">
                            <a:latin typeface="Cambria Math" panose="02040503050406030204" pitchFamily="18" charset="0"/>
                          </a:rPr>
                        </m:ctrlPr>
                      </m:sSupPr>
                      <m:e>
                        <m:r>
                          <a:rPr lang="it-IT" sz="1800" b="0" i="1">
                            <a:latin typeface="Cambria Math" panose="02040503050406030204" pitchFamily="18" charset="0"/>
                          </a:rPr>
                          <m:t>𝑚𝑜𝑙</m:t>
                        </m:r>
                      </m:e>
                      <m:sup>
                        <m:r>
                          <a:rPr lang="it-IT" sz="1800" b="0" i="1">
                            <a:latin typeface="Cambria Math" panose="02040503050406030204" pitchFamily="18" charset="0"/>
                          </a:rPr>
                          <m:t>−1</m:t>
                        </m:r>
                      </m:sup>
                    </m:sSup>
                  </m:oMath>
                </m:oMathPara>
              </a14:m>
              <a:endParaRPr lang="it-IT" sz="900"/>
            </a:p>
          </xdr:txBody>
        </xdr:sp>
      </mc:Choice>
      <mc:Fallback xmlns="">
        <xdr:sp macro="" textlink="">
          <xdr:nvSpPr>
            <xdr:cNvPr id="28" name="CasellaDiTesto 27">
              <a:extLst>
                <a:ext uri="{FF2B5EF4-FFF2-40B4-BE49-F238E27FC236}">
                  <a16:creationId xmlns:a16="http://schemas.microsoft.com/office/drawing/2014/main" id="{10463D8C-AF71-4C31-A71D-F6AB4E15F26F}"/>
                </a:ext>
              </a:extLst>
            </xdr:cNvPr>
            <xdr:cNvSpPr txBox="1"/>
          </xdr:nvSpPr>
          <xdr:spPr>
            <a:xfrm>
              <a:off x="42089294" y="3014384"/>
              <a:ext cx="818029" cy="286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i="0">
                  <a:latin typeface="Cambria Math" panose="02040503050406030204" pitchFamily="18" charset="0"/>
                </a:rPr>
                <a:t>𝐶〖</a:t>
              </a:r>
              <a:r>
                <a:rPr lang="it-IT" sz="1800" b="0" i="0">
                  <a:latin typeface="Cambria Math" panose="02040503050406030204" pitchFamily="18" charset="0"/>
                </a:rPr>
                <a:t>𝑚𝑜𝑙〗^(−1)</a:t>
              </a:r>
              <a:endParaRPr lang="it-IT" sz="900"/>
            </a:p>
          </xdr:txBody>
        </xdr:sp>
      </mc:Fallback>
    </mc:AlternateContent>
    <xdr:clientData/>
  </xdr:oneCellAnchor>
  <xdr:oneCellAnchor>
    <xdr:from>
      <xdr:col>60</xdr:col>
      <xdr:colOff>593913</xdr:colOff>
      <xdr:row>323</xdr:row>
      <xdr:rowOff>201707</xdr:rowOff>
    </xdr:from>
    <xdr:ext cx="974912" cy="461088"/>
    <mc:AlternateContent xmlns:mc="http://schemas.openxmlformats.org/markup-compatibility/2006" xmlns:a14="http://schemas.microsoft.com/office/drawing/2010/main">
      <mc:Choice Requires="a14">
        <xdr:sp macro="" textlink="">
          <xdr:nvSpPr>
            <xdr:cNvPr id="29" name="CasellaDiTesto 28">
              <a:extLst>
                <a:ext uri="{FF2B5EF4-FFF2-40B4-BE49-F238E27FC236}">
                  <a16:creationId xmlns:a16="http://schemas.microsoft.com/office/drawing/2014/main" id="{9F48B719-85B0-496F-875F-7AE215ECF994}"/>
                </a:ext>
              </a:extLst>
            </xdr:cNvPr>
            <xdr:cNvSpPr txBox="1"/>
          </xdr:nvSpPr>
          <xdr:spPr>
            <a:xfrm>
              <a:off x="49417942" y="5065060"/>
              <a:ext cx="974912" cy="461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1600" i="1">
                        <a:latin typeface="Cambria Math" panose="02040503050406030204" pitchFamily="18" charset="0"/>
                      </a:rPr>
                      <m:t>Δ</m:t>
                    </m:r>
                    <m:r>
                      <a:rPr lang="it-IT" sz="1600" b="0" i="1">
                        <a:latin typeface="Cambria Math" panose="02040503050406030204" pitchFamily="18" charset="0"/>
                      </a:rPr>
                      <m:t>𝐺</m:t>
                    </m:r>
                    <m:r>
                      <a:rPr lang="it-IT" sz="1600" i="1">
                        <a:latin typeface="Cambria Math" panose="02040503050406030204" pitchFamily="18" charset="0"/>
                      </a:rPr>
                      <m:t> </m:t>
                    </m:r>
                    <m:r>
                      <a:rPr lang="it-IT" sz="1600" b="0" i="1">
                        <a:latin typeface="Cambria Math" panose="02040503050406030204" pitchFamily="18" charset="0"/>
                      </a:rPr>
                      <m:t>[</m:t>
                    </m:r>
                    <m:f>
                      <m:fPr>
                        <m:ctrlPr>
                          <a:rPr lang="it-IT" sz="1600" b="0" i="1">
                            <a:latin typeface="Cambria Math" panose="02040503050406030204" pitchFamily="18" charset="0"/>
                          </a:rPr>
                        </m:ctrlPr>
                      </m:fPr>
                      <m:num>
                        <m:r>
                          <a:rPr lang="it-IT" sz="1600" b="0" i="1">
                            <a:latin typeface="Cambria Math" panose="02040503050406030204" pitchFamily="18" charset="0"/>
                          </a:rPr>
                          <m:t>𝐽</m:t>
                        </m:r>
                      </m:num>
                      <m:den>
                        <m:r>
                          <a:rPr lang="it-IT" sz="1600" b="0" i="1">
                            <a:latin typeface="Cambria Math" panose="02040503050406030204" pitchFamily="18" charset="0"/>
                          </a:rPr>
                          <m:t>𝑚𝑜𝑙</m:t>
                        </m:r>
                      </m:den>
                    </m:f>
                    <m:r>
                      <a:rPr lang="it-IT" sz="1600" b="0" i="1">
                        <a:latin typeface="Cambria Math" panose="02040503050406030204" pitchFamily="18" charset="0"/>
                      </a:rPr>
                      <m:t>]</m:t>
                    </m:r>
                  </m:oMath>
                </m:oMathPara>
              </a14:m>
              <a:endParaRPr lang="it-IT" sz="1050"/>
            </a:p>
          </xdr:txBody>
        </xdr:sp>
      </mc:Choice>
      <mc:Fallback xmlns="">
        <xdr:sp macro="" textlink="">
          <xdr:nvSpPr>
            <xdr:cNvPr id="29" name="CasellaDiTesto 28">
              <a:extLst>
                <a:ext uri="{FF2B5EF4-FFF2-40B4-BE49-F238E27FC236}">
                  <a16:creationId xmlns:a16="http://schemas.microsoft.com/office/drawing/2014/main" id="{9F48B719-85B0-496F-875F-7AE215ECF994}"/>
                </a:ext>
              </a:extLst>
            </xdr:cNvPr>
            <xdr:cNvSpPr txBox="1"/>
          </xdr:nvSpPr>
          <xdr:spPr>
            <a:xfrm>
              <a:off x="49417942" y="5065060"/>
              <a:ext cx="974912" cy="461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600" i="0">
                  <a:latin typeface="Cambria Math" panose="02040503050406030204" pitchFamily="18" charset="0"/>
                </a:rPr>
                <a:t>Δ</a:t>
              </a:r>
              <a:r>
                <a:rPr lang="it-IT" sz="1600" b="0" i="0">
                  <a:latin typeface="Cambria Math" panose="02040503050406030204" pitchFamily="18" charset="0"/>
                </a:rPr>
                <a:t>𝐺</a:t>
              </a:r>
              <a:r>
                <a:rPr lang="it-IT" sz="1600" i="0">
                  <a:latin typeface="Cambria Math" panose="02040503050406030204" pitchFamily="18" charset="0"/>
                </a:rPr>
                <a:t> </a:t>
              </a:r>
              <a:r>
                <a:rPr lang="it-IT" sz="1600" b="0" i="0">
                  <a:latin typeface="Cambria Math" panose="02040503050406030204" pitchFamily="18" charset="0"/>
                </a:rPr>
                <a:t>[𝐽/𝑚𝑜𝑙]</a:t>
              </a:r>
              <a:endParaRPr lang="it-IT" sz="1050"/>
            </a:p>
          </xdr:txBody>
        </xdr:sp>
      </mc:Fallback>
    </mc:AlternateContent>
    <xdr:clientData/>
  </xdr:oneCellAnchor>
  <xdr:oneCellAnchor>
    <xdr:from>
      <xdr:col>62</xdr:col>
      <xdr:colOff>286873</xdr:colOff>
      <xdr:row>323</xdr:row>
      <xdr:rowOff>208430</xdr:rowOff>
    </xdr:from>
    <xdr:ext cx="974912" cy="461088"/>
    <mc:AlternateContent xmlns:mc="http://schemas.openxmlformats.org/markup-compatibility/2006" xmlns:a14="http://schemas.microsoft.com/office/drawing/2010/main">
      <mc:Choice Requires="a14">
        <xdr:sp macro="" textlink="">
          <xdr:nvSpPr>
            <xdr:cNvPr id="30" name="CasellaDiTesto 29">
              <a:extLst>
                <a:ext uri="{FF2B5EF4-FFF2-40B4-BE49-F238E27FC236}">
                  <a16:creationId xmlns:a16="http://schemas.microsoft.com/office/drawing/2014/main" id="{572FED72-6FAE-4FF1-83C3-5BB291C7DC54}"/>
                </a:ext>
              </a:extLst>
            </xdr:cNvPr>
            <xdr:cNvSpPr txBox="1"/>
          </xdr:nvSpPr>
          <xdr:spPr>
            <a:xfrm>
              <a:off x="50321138" y="5062258"/>
              <a:ext cx="974912" cy="461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600" i="1">
                        <a:latin typeface="Cambria Math" panose="02040503050406030204" pitchFamily="18" charset="0"/>
                      </a:rPr>
                      <m:t>𝐹</m:t>
                    </m:r>
                    <m:r>
                      <a:rPr lang="it-IT" sz="1600" b="0" i="1">
                        <a:latin typeface="Cambria Math" panose="02040503050406030204" pitchFamily="18" charset="0"/>
                      </a:rPr>
                      <m:t>[</m:t>
                    </m:r>
                    <m:f>
                      <m:fPr>
                        <m:ctrlPr>
                          <a:rPr lang="it-IT" sz="1600" b="0" i="1">
                            <a:latin typeface="Cambria Math" panose="02040503050406030204" pitchFamily="18" charset="0"/>
                          </a:rPr>
                        </m:ctrlPr>
                      </m:fPr>
                      <m:num>
                        <m:r>
                          <a:rPr lang="it-IT" sz="1600" b="0" i="1">
                            <a:latin typeface="Cambria Math" panose="02040503050406030204" pitchFamily="18" charset="0"/>
                          </a:rPr>
                          <m:t>𝐶</m:t>
                        </m:r>
                      </m:num>
                      <m:den>
                        <m:r>
                          <a:rPr lang="it-IT" sz="1600" b="0" i="1">
                            <a:latin typeface="Cambria Math" panose="02040503050406030204" pitchFamily="18" charset="0"/>
                          </a:rPr>
                          <m:t>𝑚𝑜𝑙</m:t>
                        </m:r>
                      </m:den>
                    </m:f>
                    <m:r>
                      <a:rPr lang="it-IT" sz="1600" b="0" i="1">
                        <a:latin typeface="Cambria Math" panose="02040503050406030204" pitchFamily="18" charset="0"/>
                      </a:rPr>
                      <m:t>]</m:t>
                    </m:r>
                  </m:oMath>
                </m:oMathPara>
              </a14:m>
              <a:endParaRPr lang="it-IT" sz="1050"/>
            </a:p>
          </xdr:txBody>
        </xdr:sp>
      </mc:Choice>
      <mc:Fallback xmlns="">
        <xdr:sp macro="" textlink="">
          <xdr:nvSpPr>
            <xdr:cNvPr id="30" name="CasellaDiTesto 29">
              <a:extLst>
                <a:ext uri="{FF2B5EF4-FFF2-40B4-BE49-F238E27FC236}">
                  <a16:creationId xmlns:a16="http://schemas.microsoft.com/office/drawing/2014/main" id="{572FED72-6FAE-4FF1-83C3-5BB291C7DC54}"/>
                </a:ext>
              </a:extLst>
            </xdr:cNvPr>
            <xdr:cNvSpPr txBox="1"/>
          </xdr:nvSpPr>
          <xdr:spPr>
            <a:xfrm>
              <a:off x="50321138" y="5062258"/>
              <a:ext cx="974912" cy="461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600" i="0">
                  <a:latin typeface="Cambria Math" panose="02040503050406030204" pitchFamily="18" charset="0"/>
                </a:rPr>
                <a:t>𝐹</a:t>
              </a:r>
              <a:r>
                <a:rPr lang="it-IT" sz="1600" b="0" i="0">
                  <a:latin typeface="Cambria Math" panose="02040503050406030204" pitchFamily="18" charset="0"/>
                </a:rPr>
                <a:t>[𝐶/𝑚𝑜𝑙]</a:t>
              </a:r>
              <a:endParaRPr lang="it-IT" sz="1050"/>
            </a:p>
          </xdr:txBody>
        </xdr:sp>
      </mc:Fallback>
    </mc:AlternateContent>
    <xdr:clientData/>
  </xdr:oneCellAnchor>
  <xdr:oneCellAnchor>
    <xdr:from>
      <xdr:col>64</xdr:col>
      <xdr:colOff>448235</xdr:colOff>
      <xdr:row>324</xdr:row>
      <xdr:rowOff>123266</xdr:rowOff>
    </xdr:from>
    <xdr:ext cx="974912" cy="250453"/>
    <mc:AlternateContent xmlns:mc="http://schemas.openxmlformats.org/markup-compatibility/2006" xmlns:a14="http://schemas.microsoft.com/office/drawing/2010/main">
      <mc:Choice Requires="a14">
        <xdr:sp macro="" textlink="">
          <xdr:nvSpPr>
            <xdr:cNvPr id="31" name="CasellaDiTesto 30">
              <a:extLst>
                <a:ext uri="{FF2B5EF4-FFF2-40B4-BE49-F238E27FC236}">
                  <a16:creationId xmlns:a16="http://schemas.microsoft.com/office/drawing/2014/main" id="{28F4A1DE-E0C0-4545-80EE-80B658E29C07}"/>
                </a:ext>
              </a:extLst>
            </xdr:cNvPr>
            <xdr:cNvSpPr txBox="1"/>
          </xdr:nvSpPr>
          <xdr:spPr>
            <a:xfrm>
              <a:off x="51087617" y="5188325"/>
              <a:ext cx="974912"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1600" i="1">
                        <a:latin typeface="Cambria Math" panose="02040503050406030204" pitchFamily="18" charset="0"/>
                      </a:rPr>
                      <m:t>Δ</m:t>
                    </m:r>
                    <m:r>
                      <a:rPr lang="it-IT" sz="1600" b="0" i="1">
                        <a:latin typeface="Cambria Math" panose="02040503050406030204" pitchFamily="18" charset="0"/>
                      </a:rPr>
                      <m:t>𝑉</m:t>
                    </m:r>
                    <m:r>
                      <a:rPr lang="it-IT" sz="1600" i="1">
                        <a:latin typeface="Cambria Math" panose="02040503050406030204" pitchFamily="18" charset="0"/>
                      </a:rPr>
                      <m:t> </m:t>
                    </m:r>
                    <m:r>
                      <a:rPr lang="it-IT" sz="1600" b="0" i="1">
                        <a:latin typeface="Cambria Math" panose="02040503050406030204" pitchFamily="18" charset="0"/>
                      </a:rPr>
                      <m:t>[</m:t>
                    </m:r>
                    <m:r>
                      <a:rPr lang="it-IT" sz="1600" b="0" i="1">
                        <a:latin typeface="Cambria Math" panose="02040503050406030204" pitchFamily="18" charset="0"/>
                      </a:rPr>
                      <m:t>𝑉</m:t>
                    </m:r>
                    <m:r>
                      <a:rPr lang="it-IT" sz="1600" b="0" i="1">
                        <a:latin typeface="Cambria Math" panose="02040503050406030204" pitchFamily="18" charset="0"/>
                      </a:rPr>
                      <m:t>]</m:t>
                    </m:r>
                  </m:oMath>
                </m:oMathPara>
              </a14:m>
              <a:endParaRPr lang="it-IT" sz="1050"/>
            </a:p>
          </xdr:txBody>
        </xdr:sp>
      </mc:Choice>
      <mc:Fallback xmlns="">
        <xdr:sp macro="" textlink="">
          <xdr:nvSpPr>
            <xdr:cNvPr id="31" name="CasellaDiTesto 30">
              <a:extLst>
                <a:ext uri="{FF2B5EF4-FFF2-40B4-BE49-F238E27FC236}">
                  <a16:creationId xmlns:a16="http://schemas.microsoft.com/office/drawing/2014/main" id="{28F4A1DE-E0C0-4545-80EE-80B658E29C07}"/>
                </a:ext>
              </a:extLst>
            </xdr:cNvPr>
            <xdr:cNvSpPr txBox="1"/>
          </xdr:nvSpPr>
          <xdr:spPr>
            <a:xfrm>
              <a:off x="51087617" y="5188325"/>
              <a:ext cx="974912"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600" i="0">
                  <a:latin typeface="Cambria Math" panose="02040503050406030204" pitchFamily="18" charset="0"/>
                </a:rPr>
                <a:t>Δ</a:t>
              </a:r>
              <a:r>
                <a:rPr lang="it-IT" sz="1600" b="0" i="0">
                  <a:latin typeface="Cambria Math" panose="02040503050406030204" pitchFamily="18" charset="0"/>
                </a:rPr>
                <a:t>𝑉</a:t>
              </a:r>
              <a:r>
                <a:rPr lang="it-IT" sz="1600" i="0">
                  <a:latin typeface="Cambria Math" panose="02040503050406030204" pitchFamily="18" charset="0"/>
                </a:rPr>
                <a:t> </a:t>
              </a:r>
              <a:r>
                <a:rPr lang="it-IT" sz="1600" b="0" i="0">
                  <a:latin typeface="Cambria Math" panose="02040503050406030204" pitchFamily="18" charset="0"/>
                </a:rPr>
                <a:t>[𝑉]</a:t>
              </a:r>
              <a:endParaRPr lang="it-IT" sz="1050"/>
            </a:p>
          </xdr:txBody>
        </xdr:sp>
      </mc:Fallback>
    </mc:AlternateContent>
    <xdr:clientData/>
  </xdr:oneCellAnchor>
  <xdr:twoCellAnchor editAs="oneCell">
    <xdr:from>
      <xdr:col>77</xdr:col>
      <xdr:colOff>136571</xdr:colOff>
      <xdr:row>323</xdr:row>
      <xdr:rowOff>1265</xdr:rowOff>
    </xdr:from>
    <xdr:to>
      <xdr:col>77</xdr:col>
      <xdr:colOff>544286</xdr:colOff>
      <xdr:row>384</xdr:row>
      <xdr:rowOff>161431</xdr:rowOff>
    </xdr:to>
    <xdr:pic>
      <xdr:nvPicPr>
        <xdr:cNvPr id="33" name="Immagine 32">
          <a:extLst>
            <a:ext uri="{FF2B5EF4-FFF2-40B4-BE49-F238E27FC236}">
              <a16:creationId xmlns:a16="http://schemas.microsoft.com/office/drawing/2014/main" id="{3E0110E1-09CD-BF3A-1A23-03E08DA62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34714" y="1062622"/>
          <a:ext cx="407715" cy="772488"/>
        </a:xfrm>
        <a:prstGeom prst="rect">
          <a:avLst/>
        </a:prstGeom>
      </xdr:spPr>
    </xdr:pic>
    <xdr:clientData/>
  </xdr:twoCellAnchor>
  <xdr:oneCellAnchor>
    <xdr:from>
      <xdr:col>60</xdr:col>
      <xdr:colOff>607918</xdr:colOff>
      <xdr:row>329</xdr:row>
      <xdr:rowOff>168791</xdr:rowOff>
    </xdr:from>
    <xdr:ext cx="975612" cy="281808"/>
    <mc:AlternateContent xmlns:mc="http://schemas.openxmlformats.org/markup-compatibility/2006" xmlns:a14="http://schemas.microsoft.com/office/drawing/2010/main">
      <mc:Choice Requires="a14">
        <xdr:sp macro="" textlink="">
          <xdr:nvSpPr>
            <xdr:cNvPr id="2" name="CasellaDiTesto 1">
              <a:extLst>
                <a:ext uri="{FF2B5EF4-FFF2-40B4-BE49-F238E27FC236}">
                  <a16:creationId xmlns:a16="http://schemas.microsoft.com/office/drawing/2014/main" id="{013B5182-B4E2-4FE6-9361-F195EE60B8E5}"/>
                </a:ext>
              </a:extLst>
            </xdr:cNvPr>
            <xdr:cNvSpPr txBox="1"/>
          </xdr:nvSpPr>
          <xdr:spPr>
            <a:xfrm>
              <a:off x="43851418" y="3002479"/>
              <a:ext cx="97561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800" i="1">
                        <a:latin typeface="Cambria Math" panose="02040503050406030204" pitchFamily="18" charset="0"/>
                      </a:rPr>
                      <m:t>1</m:t>
                    </m:r>
                    <m:r>
                      <a:rPr lang="it-IT" sz="1800" b="0" i="1">
                        <a:latin typeface="Cambria Math" panose="02040503050406030204" pitchFamily="18" charset="0"/>
                      </a:rPr>
                      <m:t> </m:t>
                    </m:r>
                    <m:r>
                      <a:rPr lang="it-IT" sz="1800" b="0" i="1">
                        <a:latin typeface="Cambria Math" panose="02040503050406030204" pitchFamily="18" charset="0"/>
                      </a:rPr>
                      <m:t>𝑘𝐶𝑎𝑙</m:t>
                    </m:r>
                    <m:r>
                      <a:rPr lang="it-IT" sz="1800" b="0" i="1">
                        <a:latin typeface="Cambria Math" panose="02040503050406030204" pitchFamily="18" charset="0"/>
                      </a:rPr>
                      <m:t>= </m:t>
                    </m:r>
                  </m:oMath>
                </m:oMathPara>
              </a14:m>
              <a:endParaRPr lang="it-IT" sz="900"/>
            </a:p>
          </xdr:txBody>
        </xdr:sp>
      </mc:Choice>
      <mc:Fallback xmlns="">
        <xdr:sp macro="" textlink="">
          <xdr:nvSpPr>
            <xdr:cNvPr id="2" name="CasellaDiTesto 1">
              <a:extLst>
                <a:ext uri="{FF2B5EF4-FFF2-40B4-BE49-F238E27FC236}">
                  <a16:creationId xmlns:a16="http://schemas.microsoft.com/office/drawing/2014/main" id="{013B5182-B4E2-4FE6-9361-F195EE60B8E5}"/>
                </a:ext>
              </a:extLst>
            </xdr:cNvPr>
            <xdr:cNvSpPr txBox="1"/>
          </xdr:nvSpPr>
          <xdr:spPr>
            <a:xfrm>
              <a:off x="43851418" y="3002479"/>
              <a:ext cx="97561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i="0">
                  <a:latin typeface="Cambria Math" panose="02040503050406030204" pitchFamily="18" charset="0"/>
                </a:rPr>
                <a:t>1</a:t>
              </a:r>
              <a:r>
                <a:rPr lang="it-IT" sz="1800" b="0" i="0">
                  <a:latin typeface="Cambria Math" panose="02040503050406030204" pitchFamily="18" charset="0"/>
                </a:rPr>
                <a:t> 𝑘𝐶𝑎𝑙= </a:t>
              </a:r>
              <a:endParaRPr lang="it-IT" sz="900"/>
            </a:p>
          </xdr:txBody>
        </xdr:sp>
      </mc:Fallback>
    </mc:AlternateContent>
    <xdr:clientData/>
  </xdr:oneCellAnchor>
  <xdr:oneCellAnchor>
    <xdr:from>
      <xdr:col>62</xdr:col>
      <xdr:colOff>488156</xdr:colOff>
      <xdr:row>329</xdr:row>
      <xdr:rowOff>142875</xdr:rowOff>
    </xdr:from>
    <xdr:ext cx="425122" cy="286297"/>
    <mc:AlternateContent xmlns:mc="http://schemas.openxmlformats.org/markup-compatibility/2006" xmlns:a14="http://schemas.microsoft.com/office/drawing/2010/main">
      <mc:Choice Requires="a14">
        <xdr:sp macro="" textlink="">
          <xdr:nvSpPr>
            <xdr:cNvPr id="3" name="CasellaDiTesto 2">
              <a:extLst>
                <a:ext uri="{FF2B5EF4-FFF2-40B4-BE49-F238E27FC236}">
                  <a16:creationId xmlns:a16="http://schemas.microsoft.com/office/drawing/2014/main" id="{7DF0BA30-3A51-4EDF-97E7-F0F2C5F2362A}"/>
                </a:ext>
              </a:extLst>
            </xdr:cNvPr>
            <xdr:cNvSpPr txBox="1"/>
          </xdr:nvSpPr>
          <xdr:spPr>
            <a:xfrm>
              <a:off x="45255656" y="2976563"/>
              <a:ext cx="425122" cy="286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800" i="1">
                        <a:latin typeface="Cambria Math" panose="02040503050406030204" pitchFamily="18" charset="0"/>
                      </a:rPr>
                      <m:t>𝐽</m:t>
                    </m:r>
                  </m:oMath>
                </m:oMathPara>
              </a14:m>
              <a:endParaRPr lang="it-IT" sz="900"/>
            </a:p>
          </xdr:txBody>
        </xdr:sp>
      </mc:Choice>
      <mc:Fallback xmlns="">
        <xdr:sp macro="" textlink="">
          <xdr:nvSpPr>
            <xdr:cNvPr id="3" name="CasellaDiTesto 2">
              <a:extLst>
                <a:ext uri="{FF2B5EF4-FFF2-40B4-BE49-F238E27FC236}">
                  <a16:creationId xmlns:a16="http://schemas.microsoft.com/office/drawing/2014/main" id="{7DF0BA30-3A51-4EDF-97E7-F0F2C5F2362A}"/>
                </a:ext>
              </a:extLst>
            </xdr:cNvPr>
            <xdr:cNvSpPr txBox="1"/>
          </xdr:nvSpPr>
          <xdr:spPr>
            <a:xfrm>
              <a:off x="45255656" y="2976563"/>
              <a:ext cx="425122" cy="286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i="0">
                  <a:latin typeface="Cambria Math" panose="02040503050406030204" pitchFamily="18" charset="0"/>
                </a:rPr>
                <a:t>𝐽</a:t>
              </a:r>
              <a:endParaRPr lang="it-IT" sz="900"/>
            </a:p>
          </xdr:txBody>
        </xdr:sp>
      </mc:Fallback>
    </mc:AlternateContent>
    <xdr:clientData/>
  </xdr:oneCellAnchor>
  <xdr:oneCellAnchor>
    <xdr:from>
      <xdr:col>56</xdr:col>
      <xdr:colOff>89427</xdr:colOff>
      <xdr:row>383</xdr:row>
      <xdr:rowOff>42031</xdr:rowOff>
    </xdr:from>
    <xdr:ext cx="2846513" cy="375680"/>
    <mc:AlternateContent xmlns:mc="http://schemas.openxmlformats.org/markup-compatibility/2006" xmlns:a14="http://schemas.microsoft.com/office/drawing/2010/main">
      <mc:Choice Requires="a14">
        <xdr:sp macro="" textlink="">
          <xdr:nvSpPr>
            <xdr:cNvPr id="15" name="CasellaDiTesto 14">
              <a:extLst>
                <a:ext uri="{FF2B5EF4-FFF2-40B4-BE49-F238E27FC236}">
                  <a16:creationId xmlns:a16="http://schemas.microsoft.com/office/drawing/2014/main" id="{B7F3802B-CCD0-4FFA-B467-BFFD63376B05}"/>
                </a:ext>
              </a:extLst>
            </xdr:cNvPr>
            <xdr:cNvSpPr txBox="1"/>
          </xdr:nvSpPr>
          <xdr:spPr>
            <a:xfrm>
              <a:off x="40749271" y="68145781"/>
              <a:ext cx="2846513"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2400" i="1">
                        <a:latin typeface="Cambria Math" panose="02040503050406030204" pitchFamily="18" charset="0"/>
                      </a:rPr>
                      <m:t>Δ</m:t>
                    </m:r>
                    <m:r>
                      <a:rPr lang="it-IT" sz="2400" b="0" i="1">
                        <a:latin typeface="Cambria Math" panose="02040503050406030204" pitchFamily="18" charset="0"/>
                      </a:rPr>
                      <m:t>𝐺</m:t>
                    </m:r>
                    <m:r>
                      <a:rPr lang="it-IT" sz="2400" i="1">
                        <a:latin typeface="Cambria Math" panose="02040503050406030204" pitchFamily="18" charset="0"/>
                      </a:rPr>
                      <m:t>=</m:t>
                    </m:r>
                    <m:r>
                      <a:rPr lang="it-IT" sz="2400" b="0" i="1">
                        <a:latin typeface="Cambria Math" panose="02040503050406030204" pitchFamily="18" charset="0"/>
                      </a:rPr>
                      <m:t>𝑛</m:t>
                    </m:r>
                    <m:r>
                      <a:rPr lang="it-IT" sz="2400" b="0" i="1">
                        <a:latin typeface="Cambria Math" panose="02040503050406030204" pitchFamily="18" charset="0"/>
                      </a:rPr>
                      <m:t>∗</m:t>
                    </m:r>
                    <m:r>
                      <a:rPr lang="it-IT" sz="2400" b="0" i="1">
                        <a:latin typeface="Cambria Math" panose="02040503050406030204" pitchFamily="18" charset="0"/>
                      </a:rPr>
                      <m:t>𝐹</m:t>
                    </m:r>
                    <m:r>
                      <a:rPr lang="it-IT" sz="2400" b="0" i="1">
                        <a:latin typeface="Cambria Math" panose="02040503050406030204" pitchFamily="18" charset="0"/>
                      </a:rPr>
                      <m:t>∗</m:t>
                    </m:r>
                    <m:r>
                      <a:rPr lang="el-GR" sz="2400" i="1">
                        <a:latin typeface="Cambria Math" panose="02040503050406030204" pitchFamily="18" charset="0"/>
                      </a:rPr>
                      <m:t>𝛥</m:t>
                    </m:r>
                    <m:r>
                      <a:rPr lang="it-IT" sz="2400" b="0" i="1">
                        <a:latin typeface="Cambria Math" panose="02040503050406030204" pitchFamily="18" charset="0"/>
                      </a:rPr>
                      <m:t>𝑉</m:t>
                    </m:r>
                  </m:oMath>
                </m:oMathPara>
              </a14:m>
              <a:endParaRPr lang="it-IT" sz="1050"/>
            </a:p>
          </xdr:txBody>
        </xdr:sp>
      </mc:Choice>
      <mc:Fallback xmlns="">
        <xdr:sp macro="" textlink="">
          <xdr:nvSpPr>
            <xdr:cNvPr id="15" name="CasellaDiTesto 14">
              <a:extLst>
                <a:ext uri="{FF2B5EF4-FFF2-40B4-BE49-F238E27FC236}">
                  <a16:creationId xmlns:a16="http://schemas.microsoft.com/office/drawing/2014/main" id="{B7F3802B-CCD0-4FFA-B467-BFFD63376B05}"/>
                </a:ext>
              </a:extLst>
            </xdr:cNvPr>
            <xdr:cNvSpPr txBox="1"/>
          </xdr:nvSpPr>
          <xdr:spPr>
            <a:xfrm>
              <a:off x="40749271" y="68145781"/>
              <a:ext cx="2846513"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2400" i="0">
                  <a:latin typeface="Cambria Math" panose="02040503050406030204" pitchFamily="18" charset="0"/>
                </a:rPr>
                <a:t>Δ</a:t>
              </a:r>
              <a:r>
                <a:rPr lang="it-IT" sz="2400" b="0" i="0">
                  <a:latin typeface="Cambria Math" panose="02040503050406030204" pitchFamily="18" charset="0"/>
                </a:rPr>
                <a:t>𝐺</a:t>
              </a:r>
              <a:r>
                <a:rPr lang="it-IT" sz="2400" i="0">
                  <a:latin typeface="Cambria Math" panose="02040503050406030204" pitchFamily="18" charset="0"/>
                </a:rPr>
                <a:t>=</a:t>
              </a:r>
              <a:r>
                <a:rPr lang="it-IT" sz="2400" b="0" i="0">
                  <a:latin typeface="Cambria Math" panose="02040503050406030204" pitchFamily="18" charset="0"/>
                </a:rPr>
                <a:t>𝑛∗𝐹∗</a:t>
              </a:r>
              <a:r>
                <a:rPr lang="el-GR" sz="2400" i="0">
                  <a:latin typeface="Cambria Math" panose="02040503050406030204" pitchFamily="18" charset="0"/>
                </a:rPr>
                <a:t>𝛥</a:t>
              </a:r>
              <a:r>
                <a:rPr lang="it-IT" sz="2400" b="0" i="0">
                  <a:latin typeface="Cambria Math" panose="02040503050406030204" pitchFamily="18" charset="0"/>
                </a:rPr>
                <a:t>𝑉</a:t>
              </a:r>
              <a:endParaRPr lang="it-IT" sz="1050"/>
            </a:p>
          </xdr:txBody>
        </xdr:sp>
      </mc:Fallback>
    </mc:AlternateContent>
    <xdr:clientData/>
  </xdr:oneCellAnchor>
  <xdr:oneCellAnchor>
    <xdr:from>
      <xdr:col>56</xdr:col>
      <xdr:colOff>73740</xdr:colOff>
      <xdr:row>385</xdr:row>
      <xdr:rowOff>37551</xdr:rowOff>
    </xdr:from>
    <xdr:ext cx="2846513" cy="691600"/>
    <mc:AlternateContent xmlns:mc="http://schemas.openxmlformats.org/markup-compatibility/2006" xmlns:a14="http://schemas.microsoft.com/office/drawing/2010/main">
      <mc:Choice Requires="a14">
        <xdr:sp macro="" textlink="">
          <xdr:nvSpPr>
            <xdr:cNvPr id="16" name="CasellaDiTesto 15">
              <a:extLst>
                <a:ext uri="{FF2B5EF4-FFF2-40B4-BE49-F238E27FC236}">
                  <a16:creationId xmlns:a16="http://schemas.microsoft.com/office/drawing/2014/main" id="{AD53831F-1403-4F09-8580-1BD23772F91C}"/>
                </a:ext>
              </a:extLst>
            </xdr:cNvPr>
            <xdr:cNvSpPr txBox="1"/>
          </xdr:nvSpPr>
          <xdr:spPr>
            <a:xfrm>
              <a:off x="40733584" y="68546114"/>
              <a:ext cx="2846513" cy="69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2400" i="1">
                        <a:latin typeface="Cambria Math" panose="02040503050406030204" pitchFamily="18" charset="0"/>
                      </a:rPr>
                      <m:t>Δ</m:t>
                    </m:r>
                    <m:r>
                      <a:rPr lang="it-IT" sz="2400" b="0" i="1">
                        <a:latin typeface="Cambria Math" panose="02040503050406030204" pitchFamily="18" charset="0"/>
                      </a:rPr>
                      <m:t>𝑉</m:t>
                    </m:r>
                    <m:r>
                      <a:rPr lang="it-IT" sz="2400" i="1">
                        <a:latin typeface="Cambria Math" panose="02040503050406030204" pitchFamily="18" charset="0"/>
                      </a:rPr>
                      <m:t>=</m:t>
                    </m:r>
                    <m:f>
                      <m:fPr>
                        <m:ctrlPr>
                          <a:rPr lang="it-IT" sz="2400" i="1">
                            <a:latin typeface="Cambria Math" panose="02040503050406030204" pitchFamily="18" charset="0"/>
                          </a:rPr>
                        </m:ctrlPr>
                      </m:fPr>
                      <m:num>
                        <m:r>
                          <a:rPr lang="it-IT" sz="2400" i="1">
                            <a:latin typeface="Cambria Math" panose="02040503050406030204" pitchFamily="18" charset="0"/>
                          </a:rPr>
                          <m:t>𝑛</m:t>
                        </m:r>
                        <m:r>
                          <a:rPr lang="it-IT" sz="2400" i="1">
                            <a:latin typeface="Cambria Math" panose="02040503050406030204" pitchFamily="18" charset="0"/>
                          </a:rPr>
                          <m:t>∗</m:t>
                        </m:r>
                        <m:r>
                          <a:rPr lang="it-IT" sz="2400" i="1">
                            <a:latin typeface="Cambria Math" panose="02040503050406030204" pitchFamily="18" charset="0"/>
                          </a:rPr>
                          <m:t>𝐹</m:t>
                        </m:r>
                      </m:num>
                      <m:den>
                        <m:r>
                          <a:rPr lang="el-GR" sz="2400" i="1">
                            <a:latin typeface="Cambria Math" panose="02040503050406030204" pitchFamily="18" charset="0"/>
                          </a:rPr>
                          <m:t>𝛥</m:t>
                        </m:r>
                        <m:r>
                          <a:rPr lang="el-GR" sz="2400" i="1">
                            <a:latin typeface="Cambria Math" panose="02040503050406030204" pitchFamily="18" charset="0"/>
                          </a:rPr>
                          <m:t>𝐺</m:t>
                        </m:r>
                      </m:den>
                    </m:f>
                  </m:oMath>
                </m:oMathPara>
              </a14:m>
              <a:endParaRPr lang="it-IT" sz="1400"/>
            </a:p>
          </xdr:txBody>
        </xdr:sp>
      </mc:Choice>
      <mc:Fallback xmlns="">
        <xdr:sp macro="" textlink="">
          <xdr:nvSpPr>
            <xdr:cNvPr id="16" name="CasellaDiTesto 15">
              <a:extLst>
                <a:ext uri="{FF2B5EF4-FFF2-40B4-BE49-F238E27FC236}">
                  <a16:creationId xmlns:a16="http://schemas.microsoft.com/office/drawing/2014/main" id="{AD53831F-1403-4F09-8580-1BD23772F91C}"/>
                </a:ext>
              </a:extLst>
            </xdr:cNvPr>
            <xdr:cNvSpPr txBox="1"/>
          </xdr:nvSpPr>
          <xdr:spPr>
            <a:xfrm>
              <a:off x="40733584" y="68546114"/>
              <a:ext cx="2846513" cy="69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2400" i="0">
                  <a:latin typeface="Cambria Math" panose="02040503050406030204" pitchFamily="18" charset="0"/>
                </a:rPr>
                <a:t>Δ</a:t>
              </a:r>
              <a:r>
                <a:rPr lang="it-IT" sz="2400" b="0" i="0">
                  <a:latin typeface="Cambria Math" panose="02040503050406030204" pitchFamily="18" charset="0"/>
                </a:rPr>
                <a:t>𝑉</a:t>
              </a:r>
              <a:r>
                <a:rPr lang="it-IT" sz="2400" i="0">
                  <a:latin typeface="Cambria Math" panose="02040503050406030204" pitchFamily="18" charset="0"/>
                </a:rPr>
                <a:t>=(𝑛∗𝐹)/</a:t>
              </a:r>
              <a:r>
                <a:rPr lang="el-GR" sz="2400" i="0">
                  <a:latin typeface="Cambria Math" panose="02040503050406030204" pitchFamily="18" charset="0"/>
                </a:rPr>
                <a:t>𝛥𝐺</a:t>
              </a:r>
              <a:endParaRPr lang="it-IT" sz="1400"/>
            </a:p>
          </xdr:txBody>
        </xdr:sp>
      </mc:Fallback>
    </mc:AlternateContent>
    <xdr:clientData/>
  </xdr:oneCellAnchor>
  <xdr:oneCellAnchor>
    <xdr:from>
      <xdr:col>56</xdr:col>
      <xdr:colOff>110160</xdr:colOff>
      <xdr:row>388</xdr:row>
      <xdr:rowOff>256062</xdr:rowOff>
    </xdr:from>
    <xdr:ext cx="598612" cy="281808"/>
    <mc:AlternateContent xmlns:mc="http://schemas.openxmlformats.org/markup-compatibility/2006" xmlns:a14="http://schemas.microsoft.com/office/drawing/2010/main">
      <mc:Choice Requires="a14">
        <xdr:sp macro="" textlink="">
          <xdr:nvSpPr>
            <xdr:cNvPr id="17" name="CasellaDiTesto 16">
              <a:extLst>
                <a:ext uri="{FF2B5EF4-FFF2-40B4-BE49-F238E27FC236}">
                  <a16:creationId xmlns:a16="http://schemas.microsoft.com/office/drawing/2014/main" id="{35526361-AB24-448C-B9E2-A333DF7CA7A0}"/>
                </a:ext>
              </a:extLst>
            </xdr:cNvPr>
            <xdr:cNvSpPr txBox="1"/>
          </xdr:nvSpPr>
          <xdr:spPr>
            <a:xfrm>
              <a:off x="40770004" y="70300531"/>
              <a:ext cx="59861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800" i="1">
                        <a:latin typeface="Cambria Math" panose="02040503050406030204" pitchFamily="18" charset="0"/>
                      </a:rPr>
                      <m:t>𝐹</m:t>
                    </m:r>
                    <m:r>
                      <a:rPr lang="it-IT" sz="1800" b="0" i="1">
                        <a:latin typeface="Cambria Math" panose="02040503050406030204" pitchFamily="18" charset="0"/>
                      </a:rPr>
                      <m:t>=</m:t>
                    </m:r>
                  </m:oMath>
                </m:oMathPara>
              </a14:m>
              <a:endParaRPr lang="it-IT" sz="900"/>
            </a:p>
          </xdr:txBody>
        </xdr:sp>
      </mc:Choice>
      <mc:Fallback xmlns="">
        <xdr:sp macro="" textlink="">
          <xdr:nvSpPr>
            <xdr:cNvPr id="17" name="CasellaDiTesto 16">
              <a:extLst>
                <a:ext uri="{FF2B5EF4-FFF2-40B4-BE49-F238E27FC236}">
                  <a16:creationId xmlns:a16="http://schemas.microsoft.com/office/drawing/2014/main" id="{35526361-AB24-448C-B9E2-A333DF7CA7A0}"/>
                </a:ext>
              </a:extLst>
            </xdr:cNvPr>
            <xdr:cNvSpPr txBox="1"/>
          </xdr:nvSpPr>
          <xdr:spPr>
            <a:xfrm>
              <a:off x="40770004" y="70300531"/>
              <a:ext cx="59861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i="0">
                  <a:latin typeface="Cambria Math" panose="02040503050406030204" pitchFamily="18" charset="0"/>
                </a:rPr>
                <a:t>𝐹</a:t>
              </a:r>
              <a:r>
                <a:rPr lang="it-IT" sz="1800" b="0" i="0">
                  <a:latin typeface="Cambria Math" panose="02040503050406030204" pitchFamily="18" charset="0"/>
                </a:rPr>
                <a:t>=</a:t>
              </a:r>
              <a:endParaRPr lang="it-IT" sz="900"/>
            </a:p>
          </xdr:txBody>
        </xdr:sp>
      </mc:Fallback>
    </mc:AlternateContent>
    <xdr:clientData/>
  </xdr:oneCellAnchor>
  <xdr:oneCellAnchor>
    <xdr:from>
      <xdr:col>59</xdr:col>
      <xdr:colOff>170890</xdr:colOff>
      <xdr:row>388</xdr:row>
      <xdr:rowOff>238127</xdr:rowOff>
    </xdr:from>
    <xdr:ext cx="818029" cy="286297"/>
    <mc:AlternateContent xmlns:mc="http://schemas.openxmlformats.org/markup-compatibility/2006" xmlns:a14="http://schemas.microsoft.com/office/drawing/2010/main">
      <mc:Choice Requires="a14">
        <xdr:sp macro="" textlink="">
          <xdr:nvSpPr>
            <xdr:cNvPr id="18" name="CasellaDiTesto 17">
              <a:extLst>
                <a:ext uri="{FF2B5EF4-FFF2-40B4-BE49-F238E27FC236}">
                  <a16:creationId xmlns:a16="http://schemas.microsoft.com/office/drawing/2014/main" id="{E6559D04-F598-4B0E-B0AC-A56EE0951932}"/>
                </a:ext>
              </a:extLst>
            </xdr:cNvPr>
            <xdr:cNvSpPr txBox="1"/>
          </xdr:nvSpPr>
          <xdr:spPr>
            <a:xfrm>
              <a:off x="42866703" y="70282596"/>
              <a:ext cx="818029" cy="286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800" i="1">
                        <a:latin typeface="Cambria Math" panose="02040503050406030204" pitchFamily="18" charset="0"/>
                      </a:rPr>
                      <m:t>𝐶</m:t>
                    </m:r>
                    <m:sSup>
                      <m:sSupPr>
                        <m:ctrlPr>
                          <a:rPr lang="it-IT" sz="1800" i="1">
                            <a:latin typeface="Cambria Math" panose="02040503050406030204" pitchFamily="18" charset="0"/>
                          </a:rPr>
                        </m:ctrlPr>
                      </m:sSupPr>
                      <m:e>
                        <m:r>
                          <a:rPr lang="it-IT" sz="1800" b="0" i="1">
                            <a:latin typeface="Cambria Math" panose="02040503050406030204" pitchFamily="18" charset="0"/>
                          </a:rPr>
                          <m:t>𝑚𝑜𝑙</m:t>
                        </m:r>
                      </m:e>
                      <m:sup>
                        <m:r>
                          <a:rPr lang="it-IT" sz="1800" b="0" i="1">
                            <a:latin typeface="Cambria Math" panose="02040503050406030204" pitchFamily="18" charset="0"/>
                          </a:rPr>
                          <m:t>−1</m:t>
                        </m:r>
                      </m:sup>
                    </m:sSup>
                  </m:oMath>
                </m:oMathPara>
              </a14:m>
              <a:endParaRPr lang="it-IT" sz="900"/>
            </a:p>
          </xdr:txBody>
        </xdr:sp>
      </mc:Choice>
      <mc:Fallback xmlns="">
        <xdr:sp macro="" textlink="">
          <xdr:nvSpPr>
            <xdr:cNvPr id="18" name="CasellaDiTesto 17">
              <a:extLst>
                <a:ext uri="{FF2B5EF4-FFF2-40B4-BE49-F238E27FC236}">
                  <a16:creationId xmlns:a16="http://schemas.microsoft.com/office/drawing/2014/main" id="{E6559D04-F598-4B0E-B0AC-A56EE0951932}"/>
                </a:ext>
              </a:extLst>
            </xdr:cNvPr>
            <xdr:cNvSpPr txBox="1"/>
          </xdr:nvSpPr>
          <xdr:spPr>
            <a:xfrm>
              <a:off x="42866703" y="70282596"/>
              <a:ext cx="818029" cy="286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i="0">
                  <a:latin typeface="Cambria Math" panose="02040503050406030204" pitchFamily="18" charset="0"/>
                </a:rPr>
                <a:t>𝐶〖</a:t>
              </a:r>
              <a:r>
                <a:rPr lang="it-IT" sz="1800" b="0" i="0">
                  <a:latin typeface="Cambria Math" panose="02040503050406030204" pitchFamily="18" charset="0"/>
                </a:rPr>
                <a:t>𝑚𝑜𝑙〗^(−1)</a:t>
              </a:r>
              <a:endParaRPr lang="it-IT" sz="900"/>
            </a:p>
          </xdr:txBody>
        </xdr:sp>
      </mc:Fallback>
    </mc:AlternateContent>
    <xdr:clientData/>
  </xdr:oneCellAnchor>
  <xdr:oneCellAnchor>
    <xdr:from>
      <xdr:col>60</xdr:col>
      <xdr:colOff>593913</xdr:colOff>
      <xdr:row>382</xdr:row>
      <xdr:rowOff>201707</xdr:rowOff>
    </xdr:from>
    <xdr:ext cx="974912" cy="461088"/>
    <mc:AlternateContent xmlns:mc="http://schemas.openxmlformats.org/markup-compatibility/2006" xmlns:a14="http://schemas.microsoft.com/office/drawing/2010/main">
      <mc:Choice Requires="a14">
        <xdr:sp macro="" textlink="">
          <xdr:nvSpPr>
            <xdr:cNvPr id="19" name="CasellaDiTesto 18">
              <a:extLst>
                <a:ext uri="{FF2B5EF4-FFF2-40B4-BE49-F238E27FC236}">
                  <a16:creationId xmlns:a16="http://schemas.microsoft.com/office/drawing/2014/main" id="{88AC3CBB-4DDC-44F9-A31E-A73025929509}"/>
                </a:ext>
              </a:extLst>
            </xdr:cNvPr>
            <xdr:cNvSpPr txBox="1"/>
          </xdr:nvSpPr>
          <xdr:spPr>
            <a:xfrm>
              <a:off x="44051726" y="68103051"/>
              <a:ext cx="974912" cy="461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1600" i="1">
                        <a:latin typeface="Cambria Math" panose="02040503050406030204" pitchFamily="18" charset="0"/>
                      </a:rPr>
                      <m:t>Δ</m:t>
                    </m:r>
                    <m:r>
                      <a:rPr lang="it-IT" sz="1600" b="0" i="1">
                        <a:latin typeface="Cambria Math" panose="02040503050406030204" pitchFamily="18" charset="0"/>
                      </a:rPr>
                      <m:t>𝐺</m:t>
                    </m:r>
                    <m:r>
                      <a:rPr lang="it-IT" sz="1600" i="1">
                        <a:latin typeface="Cambria Math" panose="02040503050406030204" pitchFamily="18" charset="0"/>
                      </a:rPr>
                      <m:t> </m:t>
                    </m:r>
                    <m:r>
                      <a:rPr lang="it-IT" sz="1600" b="0" i="1">
                        <a:latin typeface="Cambria Math" panose="02040503050406030204" pitchFamily="18" charset="0"/>
                      </a:rPr>
                      <m:t>[</m:t>
                    </m:r>
                    <m:f>
                      <m:fPr>
                        <m:ctrlPr>
                          <a:rPr lang="it-IT" sz="1600" b="0" i="1">
                            <a:latin typeface="Cambria Math" panose="02040503050406030204" pitchFamily="18" charset="0"/>
                          </a:rPr>
                        </m:ctrlPr>
                      </m:fPr>
                      <m:num>
                        <m:r>
                          <a:rPr lang="it-IT" sz="1600" b="0" i="1">
                            <a:latin typeface="Cambria Math" panose="02040503050406030204" pitchFamily="18" charset="0"/>
                          </a:rPr>
                          <m:t>𝐽</m:t>
                        </m:r>
                      </m:num>
                      <m:den>
                        <m:r>
                          <a:rPr lang="it-IT" sz="1600" b="0" i="1">
                            <a:latin typeface="Cambria Math" panose="02040503050406030204" pitchFamily="18" charset="0"/>
                          </a:rPr>
                          <m:t>𝑚𝑜𝑙</m:t>
                        </m:r>
                      </m:den>
                    </m:f>
                    <m:r>
                      <a:rPr lang="it-IT" sz="1600" b="0" i="1">
                        <a:latin typeface="Cambria Math" panose="02040503050406030204" pitchFamily="18" charset="0"/>
                      </a:rPr>
                      <m:t>]</m:t>
                    </m:r>
                  </m:oMath>
                </m:oMathPara>
              </a14:m>
              <a:endParaRPr lang="it-IT" sz="1050"/>
            </a:p>
          </xdr:txBody>
        </xdr:sp>
      </mc:Choice>
      <mc:Fallback xmlns="">
        <xdr:sp macro="" textlink="">
          <xdr:nvSpPr>
            <xdr:cNvPr id="19" name="CasellaDiTesto 18">
              <a:extLst>
                <a:ext uri="{FF2B5EF4-FFF2-40B4-BE49-F238E27FC236}">
                  <a16:creationId xmlns:a16="http://schemas.microsoft.com/office/drawing/2014/main" id="{88AC3CBB-4DDC-44F9-A31E-A73025929509}"/>
                </a:ext>
              </a:extLst>
            </xdr:cNvPr>
            <xdr:cNvSpPr txBox="1"/>
          </xdr:nvSpPr>
          <xdr:spPr>
            <a:xfrm>
              <a:off x="44051726" y="68103051"/>
              <a:ext cx="974912" cy="461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600" i="0">
                  <a:latin typeface="Cambria Math" panose="02040503050406030204" pitchFamily="18" charset="0"/>
                </a:rPr>
                <a:t>Δ</a:t>
              </a:r>
              <a:r>
                <a:rPr lang="it-IT" sz="1600" b="0" i="0">
                  <a:latin typeface="Cambria Math" panose="02040503050406030204" pitchFamily="18" charset="0"/>
                </a:rPr>
                <a:t>𝐺</a:t>
              </a:r>
              <a:r>
                <a:rPr lang="it-IT" sz="1600" i="0">
                  <a:latin typeface="Cambria Math" panose="02040503050406030204" pitchFamily="18" charset="0"/>
                </a:rPr>
                <a:t> </a:t>
              </a:r>
              <a:r>
                <a:rPr lang="it-IT" sz="1600" b="0" i="0">
                  <a:latin typeface="Cambria Math" panose="02040503050406030204" pitchFamily="18" charset="0"/>
                </a:rPr>
                <a:t>[𝐽/𝑚𝑜𝑙]</a:t>
              </a:r>
              <a:endParaRPr lang="it-IT" sz="1050"/>
            </a:p>
          </xdr:txBody>
        </xdr:sp>
      </mc:Fallback>
    </mc:AlternateContent>
    <xdr:clientData/>
  </xdr:oneCellAnchor>
  <xdr:oneCellAnchor>
    <xdr:from>
      <xdr:col>62</xdr:col>
      <xdr:colOff>286873</xdr:colOff>
      <xdr:row>382</xdr:row>
      <xdr:rowOff>208430</xdr:rowOff>
    </xdr:from>
    <xdr:ext cx="974912" cy="461088"/>
    <mc:AlternateContent xmlns:mc="http://schemas.openxmlformats.org/markup-compatibility/2006" xmlns:a14="http://schemas.microsoft.com/office/drawing/2010/main">
      <mc:Choice Requires="a14">
        <xdr:sp macro="" textlink="">
          <xdr:nvSpPr>
            <xdr:cNvPr id="20" name="CasellaDiTesto 19">
              <a:extLst>
                <a:ext uri="{FF2B5EF4-FFF2-40B4-BE49-F238E27FC236}">
                  <a16:creationId xmlns:a16="http://schemas.microsoft.com/office/drawing/2014/main" id="{6EA65648-6F5D-4090-BDC6-EF9BA5670251}"/>
                </a:ext>
              </a:extLst>
            </xdr:cNvPr>
            <xdr:cNvSpPr txBox="1"/>
          </xdr:nvSpPr>
          <xdr:spPr>
            <a:xfrm>
              <a:off x="45268686" y="68100249"/>
              <a:ext cx="974912" cy="461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600" i="1">
                        <a:latin typeface="Cambria Math" panose="02040503050406030204" pitchFamily="18" charset="0"/>
                      </a:rPr>
                      <m:t>𝐹</m:t>
                    </m:r>
                    <m:r>
                      <a:rPr lang="it-IT" sz="1600" b="0" i="1">
                        <a:latin typeface="Cambria Math" panose="02040503050406030204" pitchFamily="18" charset="0"/>
                      </a:rPr>
                      <m:t>[</m:t>
                    </m:r>
                    <m:f>
                      <m:fPr>
                        <m:ctrlPr>
                          <a:rPr lang="it-IT" sz="1600" b="0" i="1">
                            <a:latin typeface="Cambria Math" panose="02040503050406030204" pitchFamily="18" charset="0"/>
                          </a:rPr>
                        </m:ctrlPr>
                      </m:fPr>
                      <m:num>
                        <m:r>
                          <a:rPr lang="it-IT" sz="1600" b="0" i="1">
                            <a:latin typeface="Cambria Math" panose="02040503050406030204" pitchFamily="18" charset="0"/>
                          </a:rPr>
                          <m:t>𝐶</m:t>
                        </m:r>
                      </m:num>
                      <m:den>
                        <m:r>
                          <a:rPr lang="it-IT" sz="1600" b="0" i="1">
                            <a:latin typeface="Cambria Math" panose="02040503050406030204" pitchFamily="18" charset="0"/>
                          </a:rPr>
                          <m:t>𝑚𝑜𝑙</m:t>
                        </m:r>
                      </m:den>
                    </m:f>
                    <m:r>
                      <a:rPr lang="it-IT" sz="1600" b="0" i="1">
                        <a:latin typeface="Cambria Math" panose="02040503050406030204" pitchFamily="18" charset="0"/>
                      </a:rPr>
                      <m:t>]</m:t>
                    </m:r>
                  </m:oMath>
                </m:oMathPara>
              </a14:m>
              <a:endParaRPr lang="it-IT" sz="1050"/>
            </a:p>
          </xdr:txBody>
        </xdr:sp>
      </mc:Choice>
      <mc:Fallback xmlns="">
        <xdr:sp macro="" textlink="">
          <xdr:nvSpPr>
            <xdr:cNvPr id="20" name="CasellaDiTesto 19">
              <a:extLst>
                <a:ext uri="{FF2B5EF4-FFF2-40B4-BE49-F238E27FC236}">
                  <a16:creationId xmlns:a16="http://schemas.microsoft.com/office/drawing/2014/main" id="{6EA65648-6F5D-4090-BDC6-EF9BA5670251}"/>
                </a:ext>
              </a:extLst>
            </xdr:cNvPr>
            <xdr:cNvSpPr txBox="1"/>
          </xdr:nvSpPr>
          <xdr:spPr>
            <a:xfrm>
              <a:off x="45268686" y="68100249"/>
              <a:ext cx="974912" cy="461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600" i="0">
                  <a:latin typeface="Cambria Math" panose="02040503050406030204" pitchFamily="18" charset="0"/>
                </a:rPr>
                <a:t>𝐹</a:t>
              </a:r>
              <a:r>
                <a:rPr lang="it-IT" sz="1600" b="0" i="0">
                  <a:latin typeface="Cambria Math" panose="02040503050406030204" pitchFamily="18" charset="0"/>
                </a:rPr>
                <a:t>[𝐶/𝑚𝑜𝑙]</a:t>
              </a:r>
              <a:endParaRPr lang="it-IT" sz="1050"/>
            </a:p>
          </xdr:txBody>
        </xdr:sp>
      </mc:Fallback>
    </mc:AlternateContent>
    <xdr:clientData/>
  </xdr:oneCellAnchor>
  <xdr:oneCellAnchor>
    <xdr:from>
      <xdr:col>63</xdr:col>
      <xdr:colOff>567297</xdr:colOff>
      <xdr:row>383</xdr:row>
      <xdr:rowOff>147078</xdr:rowOff>
    </xdr:from>
    <xdr:ext cx="974912" cy="250453"/>
    <mc:AlternateContent xmlns:mc="http://schemas.openxmlformats.org/markup-compatibility/2006" xmlns:a14="http://schemas.microsoft.com/office/drawing/2010/main">
      <mc:Choice Requires="a14">
        <xdr:sp macro="" textlink="">
          <xdr:nvSpPr>
            <xdr:cNvPr id="21" name="CasellaDiTesto 20">
              <a:extLst>
                <a:ext uri="{FF2B5EF4-FFF2-40B4-BE49-F238E27FC236}">
                  <a16:creationId xmlns:a16="http://schemas.microsoft.com/office/drawing/2014/main" id="{C652053E-90CB-4130-8DD8-37C24591EB11}"/>
                </a:ext>
              </a:extLst>
            </xdr:cNvPr>
            <xdr:cNvSpPr txBox="1"/>
          </xdr:nvSpPr>
          <xdr:spPr>
            <a:xfrm>
              <a:off x="46263485" y="69179516"/>
              <a:ext cx="974912"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it-IT" sz="1600" i="1">
                        <a:latin typeface="Cambria Math" panose="02040503050406030204" pitchFamily="18" charset="0"/>
                      </a:rPr>
                      <m:t>Δ</m:t>
                    </m:r>
                    <m:r>
                      <a:rPr lang="it-IT" sz="1600" b="0" i="1">
                        <a:latin typeface="Cambria Math" panose="02040503050406030204" pitchFamily="18" charset="0"/>
                      </a:rPr>
                      <m:t>𝑉</m:t>
                    </m:r>
                    <m:r>
                      <a:rPr lang="it-IT" sz="1600" i="1">
                        <a:latin typeface="Cambria Math" panose="02040503050406030204" pitchFamily="18" charset="0"/>
                      </a:rPr>
                      <m:t> </m:t>
                    </m:r>
                    <m:r>
                      <a:rPr lang="it-IT" sz="1600" b="0" i="1">
                        <a:latin typeface="Cambria Math" panose="02040503050406030204" pitchFamily="18" charset="0"/>
                      </a:rPr>
                      <m:t>[</m:t>
                    </m:r>
                    <m:r>
                      <a:rPr lang="it-IT" sz="1600" b="0" i="1">
                        <a:latin typeface="Cambria Math" panose="02040503050406030204" pitchFamily="18" charset="0"/>
                      </a:rPr>
                      <m:t>𝑉</m:t>
                    </m:r>
                    <m:r>
                      <a:rPr lang="it-IT" sz="1600" b="0" i="1">
                        <a:latin typeface="Cambria Math" panose="02040503050406030204" pitchFamily="18" charset="0"/>
                      </a:rPr>
                      <m:t>]</m:t>
                    </m:r>
                  </m:oMath>
                </m:oMathPara>
              </a14:m>
              <a:endParaRPr lang="it-IT" sz="1050"/>
            </a:p>
          </xdr:txBody>
        </xdr:sp>
      </mc:Choice>
      <mc:Fallback xmlns="">
        <xdr:sp macro="" textlink="">
          <xdr:nvSpPr>
            <xdr:cNvPr id="21" name="CasellaDiTesto 20">
              <a:extLst>
                <a:ext uri="{FF2B5EF4-FFF2-40B4-BE49-F238E27FC236}">
                  <a16:creationId xmlns:a16="http://schemas.microsoft.com/office/drawing/2014/main" id="{C652053E-90CB-4130-8DD8-37C24591EB11}"/>
                </a:ext>
              </a:extLst>
            </xdr:cNvPr>
            <xdr:cNvSpPr txBox="1"/>
          </xdr:nvSpPr>
          <xdr:spPr>
            <a:xfrm>
              <a:off x="46263485" y="69179516"/>
              <a:ext cx="974912"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600" i="0">
                  <a:latin typeface="Cambria Math" panose="02040503050406030204" pitchFamily="18" charset="0"/>
                </a:rPr>
                <a:t>Δ</a:t>
              </a:r>
              <a:r>
                <a:rPr lang="it-IT" sz="1600" b="0" i="0">
                  <a:latin typeface="Cambria Math" panose="02040503050406030204" pitchFamily="18" charset="0"/>
                </a:rPr>
                <a:t>𝑉</a:t>
              </a:r>
              <a:r>
                <a:rPr lang="it-IT" sz="1600" i="0">
                  <a:latin typeface="Cambria Math" panose="02040503050406030204" pitchFamily="18" charset="0"/>
                </a:rPr>
                <a:t> </a:t>
              </a:r>
              <a:r>
                <a:rPr lang="it-IT" sz="1600" b="0" i="0">
                  <a:latin typeface="Cambria Math" panose="02040503050406030204" pitchFamily="18" charset="0"/>
                </a:rPr>
                <a:t>[𝑉]</a:t>
              </a:r>
              <a:endParaRPr lang="it-IT" sz="1050"/>
            </a:p>
          </xdr:txBody>
        </xdr:sp>
      </mc:Fallback>
    </mc:AlternateContent>
    <xdr:clientData/>
  </xdr:oneCellAnchor>
  <xdr:oneCellAnchor>
    <xdr:from>
      <xdr:col>60</xdr:col>
      <xdr:colOff>643637</xdr:colOff>
      <xdr:row>388</xdr:row>
      <xdr:rowOff>240228</xdr:rowOff>
    </xdr:from>
    <xdr:ext cx="975612" cy="281808"/>
    <mc:AlternateContent xmlns:mc="http://schemas.openxmlformats.org/markup-compatibility/2006" xmlns:a14="http://schemas.microsoft.com/office/drawing/2010/main">
      <mc:Choice Requires="a14">
        <xdr:sp macro="" textlink="">
          <xdr:nvSpPr>
            <xdr:cNvPr id="22" name="CasellaDiTesto 21">
              <a:extLst>
                <a:ext uri="{FF2B5EF4-FFF2-40B4-BE49-F238E27FC236}">
                  <a16:creationId xmlns:a16="http://schemas.microsoft.com/office/drawing/2014/main" id="{1FD2F478-04E7-4612-BBE6-FBC5458D941E}"/>
                </a:ext>
              </a:extLst>
            </xdr:cNvPr>
            <xdr:cNvSpPr txBox="1"/>
          </xdr:nvSpPr>
          <xdr:spPr>
            <a:xfrm>
              <a:off x="44101450" y="70284697"/>
              <a:ext cx="97561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800" i="1">
                        <a:latin typeface="Cambria Math" panose="02040503050406030204" pitchFamily="18" charset="0"/>
                      </a:rPr>
                      <m:t>1</m:t>
                    </m:r>
                    <m:r>
                      <a:rPr lang="it-IT" sz="1800" b="0" i="1">
                        <a:latin typeface="Cambria Math" panose="02040503050406030204" pitchFamily="18" charset="0"/>
                      </a:rPr>
                      <m:t> </m:t>
                    </m:r>
                    <m:r>
                      <a:rPr lang="it-IT" sz="1800" b="0" i="1">
                        <a:latin typeface="Cambria Math" panose="02040503050406030204" pitchFamily="18" charset="0"/>
                      </a:rPr>
                      <m:t>𝑘𝐶𝑎𝑙</m:t>
                    </m:r>
                    <m:r>
                      <a:rPr lang="it-IT" sz="1800" b="0" i="1">
                        <a:latin typeface="Cambria Math" panose="02040503050406030204" pitchFamily="18" charset="0"/>
                      </a:rPr>
                      <m:t>= </m:t>
                    </m:r>
                  </m:oMath>
                </m:oMathPara>
              </a14:m>
              <a:endParaRPr lang="it-IT" sz="900"/>
            </a:p>
          </xdr:txBody>
        </xdr:sp>
      </mc:Choice>
      <mc:Fallback xmlns="">
        <xdr:sp macro="" textlink="">
          <xdr:nvSpPr>
            <xdr:cNvPr id="22" name="CasellaDiTesto 21">
              <a:extLst>
                <a:ext uri="{FF2B5EF4-FFF2-40B4-BE49-F238E27FC236}">
                  <a16:creationId xmlns:a16="http://schemas.microsoft.com/office/drawing/2014/main" id="{1FD2F478-04E7-4612-BBE6-FBC5458D941E}"/>
                </a:ext>
              </a:extLst>
            </xdr:cNvPr>
            <xdr:cNvSpPr txBox="1"/>
          </xdr:nvSpPr>
          <xdr:spPr>
            <a:xfrm>
              <a:off x="44101450" y="70284697"/>
              <a:ext cx="97561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i="0">
                  <a:latin typeface="Cambria Math" panose="02040503050406030204" pitchFamily="18" charset="0"/>
                </a:rPr>
                <a:t>1</a:t>
              </a:r>
              <a:r>
                <a:rPr lang="it-IT" sz="1800" b="0" i="0">
                  <a:latin typeface="Cambria Math" panose="02040503050406030204" pitchFamily="18" charset="0"/>
                </a:rPr>
                <a:t> 𝑘𝐶𝑎𝑙= </a:t>
              </a:r>
              <a:endParaRPr lang="it-IT" sz="900"/>
            </a:p>
          </xdr:txBody>
        </xdr:sp>
      </mc:Fallback>
    </mc:AlternateContent>
    <xdr:clientData/>
  </xdr:oneCellAnchor>
  <xdr:oneCellAnchor>
    <xdr:from>
      <xdr:col>62</xdr:col>
      <xdr:colOff>404812</xdr:colOff>
      <xdr:row>388</xdr:row>
      <xdr:rowOff>226218</xdr:rowOff>
    </xdr:from>
    <xdr:ext cx="425122" cy="286297"/>
    <mc:AlternateContent xmlns:mc="http://schemas.openxmlformats.org/markup-compatibility/2006" xmlns:a14="http://schemas.microsoft.com/office/drawing/2010/main">
      <mc:Choice Requires="a14">
        <xdr:sp macro="" textlink="">
          <xdr:nvSpPr>
            <xdr:cNvPr id="23" name="CasellaDiTesto 22">
              <a:extLst>
                <a:ext uri="{FF2B5EF4-FFF2-40B4-BE49-F238E27FC236}">
                  <a16:creationId xmlns:a16="http://schemas.microsoft.com/office/drawing/2014/main" id="{408A13E6-D25F-4C15-862F-9E9B8318FB78}"/>
                </a:ext>
              </a:extLst>
            </xdr:cNvPr>
            <xdr:cNvSpPr txBox="1"/>
          </xdr:nvSpPr>
          <xdr:spPr>
            <a:xfrm>
              <a:off x="45386625" y="70270687"/>
              <a:ext cx="425122" cy="286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800" i="1">
                        <a:latin typeface="Cambria Math" panose="02040503050406030204" pitchFamily="18" charset="0"/>
                      </a:rPr>
                      <m:t>𝐽</m:t>
                    </m:r>
                  </m:oMath>
                </m:oMathPara>
              </a14:m>
              <a:endParaRPr lang="it-IT" sz="900"/>
            </a:p>
          </xdr:txBody>
        </xdr:sp>
      </mc:Choice>
      <mc:Fallback xmlns="">
        <xdr:sp macro="" textlink="">
          <xdr:nvSpPr>
            <xdr:cNvPr id="23" name="CasellaDiTesto 22">
              <a:extLst>
                <a:ext uri="{FF2B5EF4-FFF2-40B4-BE49-F238E27FC236}">
                  <a16:creationId xmlns:a16="http://schemas.microsoft.com/office/drawing/2014/main" id="{408A13E6-D25F-4C15-862F-9E9B8318FB78}"/>
                </a:ext>
              </a:extLst>
            </xdr:cNvPr>
            <xdr:cNvSpPr txBox="1"/>
          </xdr:nvSpPr>
          <xdr:spPr>
            <a:xfrm>
              <a:off x="45386625" y="70270687"/>
              <a:ext cx="425122" cy="286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i="0">
                  <a:latin typeface="Cambria Math" panose="02040503050406030204" pitchFamily="18" charset="0"/>
                </a:rPr>
                <a:t>𝐽</a:t>
              </a:r>
              <a:endParaRPr lang="it-IT" sz="900"/>
            </a:p>
          </xdr:txBody>
        </xdr:sp>
      </mc:Fallback>
    </mc:AlternateContent>
    <xdr:clientData/>
  </xdr:oneCellAnchor>
  <xdr:oneCellAnchor>
    <xdr:from>
      <xdr:col>63</xdr:col>
      <xdr:colOff>149678</xdr:colOff>
      <xdr:row>388</xdr:row>
      <xdr:rowOff>150081</xdr:rowOff>
    </xdr:from>
    <xdr:ext cx="612322" cy="281808"/>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817A49E4-449A-48C7-8B65-0F3E1FA55BC5}"/>
                </a:ext>
              </a:extLst>
            </xdr:cNvPr>
            <xdr:cNvSpPr txBox="1"/>
          </xdr:nvSpPr>
          <xdr:spPr>
            <a:xfrm>
              <a:off x="47257607" y="3429402"/>
              <a:ext cx="61232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it-IT" sz="1800" b="0" i="0">
                  <a:latin typeface="+mn-lt"/>
                </a:rPr>
                <a:t>T[K]</a:t>
              </a:r>
              <a14:m>
                <m:oMath xmlns:m="http://schemas.openxmlformats.org/officeDocument/2006/math">
                  <m:r>
                    <a:rPr lang="it-IT" sz="1800" b="0" i="1">
                      <a:latin typeface="Cambria Math" panose="02040503050406030204" pitchFamily="18" charset="0"/>
                    </a:rPr>
                    <m:t>= </m:t>
                  </m:r>
                </m:oMath>
              </a14:m>
              <a:endParaRPr lang="it-IT" sz="900"/>
            </a:p>
          </xdr:txBody>
        </xdr:sp>
      </mc:Choice>
      <mc:Fallback xmlns="">
        <xdr:sp macro="" textlink="">
          <xdr:nvSpPr>
            <xdr:cNvPr id="4" name="CasellaDiTesto 3">
              <a:extLst>
                <a:ext uri="{FF2B5EF4-FFF2-40B4-BE49-F238E27FC236}">
                  <a16:creationId xmlns:a16="http://schemas.microsoft.com/office/drawing/2014/main" id="{817A49E4-449A-48C7-8B65-0F3E1FA55BC5}"/>
                </a:ext>
              </a:extLst>
            </xdr:cNvPr>
            <xdr:cNvSpPr txBox="1"/>
          </xdr:nvSpPr>
          <xdr:spPr>
            <a:xfrm>
              <a:off x="47257607" y="3429402"/>
              <a:ext cx="612322"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b="0" i="0">
                  <a:latin typeface="+mn-lt"/>
                </a:rPr>
                <a:t>T[K]</a:t>
              </a:r>
              <a:r>
                <a:rPr lang="it-IT" sz="1800" b="0" i="0">
                  <a:latin typeface="Cambria Math" panose="02040503050406030204" pitchFamily="18" charset="0"/>
                </a:rPr>
                <a:t>= </a:t>
              </a:r>
              <a:endParaRPr lang="it-IT" sz="900"/>
            </a:p>
          </xdr:txBody>
        </xdr:sp>
      </mc:Fallback>
    </mc:AlternateContent>
    <xdr:clientData/>
  </xdr:oneCellAnchor>
  <xdr:oneCellAnchor>
    <xdr:from>
      <xdr:col>64</xdr:col>
      <xdr:colOff>700067</xdr:colOff>
      <xdr:row>388</xdr:row>
      <xdr:rowOff>136071</xdr:rowOff>
    </xdr:from>
    <xdr:ext cx="851146" cy="281808"/>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E8FE1B8D-CE0F-41E9-AB60-156D90775BCF}"/>
                </a:ext>
              </a:extLst>
            </xdr:cNvPr>
            <xdr:cNvSpPr txBox="1"/>
          </xdr:nvSpPr>
          <xdr:spPr>
            <a:xfrm>
              <a:off x="48488353" y="3415392"/>
              <a:ext cx="851146"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it-IT" sz="1800" b="0" i="1">
                        <a:latin typeface="Cambria Math" panose="02040503050406030204" pitchFamily="18" charset="0"/>
                      </a:rPr>
                      <m:t>+</m:t>
                    </m:r>
                    <m:r>
                      <a:rPr lang="it-IT" sz="1800" b="0" i="1">
                        <a:latin typeface="Cambria Math" panose="02040503050406030204" pitchFamily="18" charset="0"/>
                      </a:rPr>
                      <m:t>𝑇</m:t>
                    </m:r>
                    <m:r>
                      <a:rPr lang="it-IT" sz="1800" b="0" i="1">
                        <a:latin typeface="Cambria Math" panose="02040503050406030204" pitchFamily="18" charset="0"/>
                      </a:rPr>
                      <m:t>[°</m:t>
                    </m:r>
                    <m:r>
                      <a:rPr lang="it-IT" sz="1800" b="0" i="1">
                        <a:latin typeface="Cambria Math" panose="02040503050406030204" pitchFamily="18" charset="0"/>
                      </a:rPr>
                      <m:t>𝐶</m:t>
                    </m:r>
                    <m:r>
                      <a:rPr lang="it-IT" sz="1800" b="0" i="1">
                        <a:latin typeface="Cambria Math" panose="02040503050406030204" pitchFamily="18" charset="0"/>
                      </a:rPr>
                      <m:t>]</m:t>
                    </m:r>
                  </m:oMath>
                </m:oMathPara>
              </a14:m>
              <a:endParaRPr lang="it-IT" sz="900"/>
            </a:p>
          </xdr:txBody>
        </xdr:sp>
      </mc:Choice>
      <mc:Fallback xmlns="">
        <xdr:sp macro="" textlink="">
          <xdr:nvSpPr>
            <xdr:cNvPr id="5" name="CasellaDiTesto 4">
              <a:extLst>
                <a:ext uri="{FF2B5EF4-FFF2-40B4-BE49-F238E27FC236}">
                  <a16:creationId xmlns:a16="http://schemas.microsoft.com/office/drawing/2014/main" id="{E8FE1B8D-CE0F-41E9-AB60-156D90775BCF}"/>
                </a:ext>
              </a:extLst>
            </xdr:cNvPr>
            <xdr:cNvSpPr txBox="1"/>
          </xdr:nvSpPr>
          <xdr:spPr>
            <a:xfrm>
              <a:off x="48488353" y="3415392"/>
              <a:ext cx="851146" cy="281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it-IT" sz="1800" b="0" i="0">
                  <a:latin typeface="Cambria Math" panose="02040503050406030204" pitchFamily="18" charset="0"/>
                </a:rPr>
                <a:t>+𝑇[°𝐶]</a:t>
              </a:r>
              <a:endParaRPr lang="it-IT" sz="900"/>
            </a:p>
          </xdr:txBody>
        </xdr:sp>
      </mc:Fallback>
    </mc:AlternateContent>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2" xr16:uid="{F4910D21-E61F-465F-8BFF-942B2AF82600}" autoFormatId="16" applyNumberFormats="0" applyBorderFormats="0" applyFontFormats="0" applyPatternFormats="0" applyAlignmentFormats="0" applyWidthHeightFormats="0">
  <queryTableRefresh nextId="234" unboundColumnsRight="3">
    <queryTableFields count="125">
      <queryTableField id="2" name="id_test_code" tableColumnId="2"/>
      <queryTableField id="1" name="Column1" tableColumnId="1"/>
      <queryTableField id="6" name="institution" tableColumnId="6"/>
      <queryTableField id="7" name="year" tableColumnId="7"/>
      <queryTableField id="4" name="author" tableColumnId="4"/>
      <queryTableField id="5" name="id_paper" tableColumnId="5"/>
      <queryTableField id="58" name="test_condition" tableColumnId="58"/>
      <queryTableField id="170" dataBound="0" tableColumnId="100"/>
      <queryTableField id="57" name="temperature" tableColumnId="57"/>
      <queryTableField id="50" name="dive_time" tableColumnId="50"/>
      <queryTableField id="3" name="crucible" tableColumnId="3"/>
      <queryTableField id="28" name="id_material" tableColumnId="28"/>
      <queryTableField id="203" dataBound="0" tableColumnId="116"/>
      <queryTableField id="66" name="density" tableColumnId="66"/>
      <queryTableField id="20" name="Ni_wt" tableColumnId="20"/>
      <queryTableField id="12" name="Cr_wt" tableColumnId="12"/>
      <queryTableField id="17" name="Mo_wt" tableColumnId="17"/>
      <queryTableField id="14" name="Fe_wt" tableColumnId="14"/>
      <queryTableField id="27" name="W_wt" tableColumnId="27"/>
      <queryTableField id="11" name="Co_wt" tableColumnId="11"/>
      <queryTableField id="16" name="Mn_wt" tableColumnId="16"/>
      <queryTableField id="8" name="Al_wt" tableColumnId="8"/>
      <queryTableField id="25" name="Ti_wt" tableColumnId="25"/>
      <queryTableField id="24" name="Si_wt" tableColumnId="24"/>
      <queryTableField id="10" name="C_wt" tableColumnId="10"/>
      <queryTableField id="13" name="Cu_wt" tableColumnId="13"/>
      <queryTableField id="19" name="Nb_wt" tableColumnId="19"/>
      <queryTableField id="26" name="V_wt" tableColumnId="26"/>
      <queryTableField id="22" name="P_wt" tableColumnId="22"/>
      <queryTableField id="23" name="S_wt" tableColumnId="23"/>
      <queryTableField id="9" name="B_wt" tableColumnId="9"/>
      <queryTableField id="124" dataBound="0" tableColumnId="76"/>
      <queryTableField id="153" dataBound="0" tableColumnId="74"/>
      <queryTableField id="185" dataBound="0" tableColumnId="78"/>
      <queryTableField id="21" name="O_wt" tableColumnId="21"/>
      <queryTableField id="18" name="N_wt" tableColumnId="18"/>
      <queryTableField id="206" dataBound="0" tableColumnId="119"/>
      <queryTableField id="15" name="H_wt" tableColumnId="15"/>
      <queryTableField id="41" name="Ni_mol" tableColumnId="41"/>
      <queryTableField id="33" name="Cr_mol" tableColumnId="33"/>
      <queryTableField id="38" name="Mo_mol" tableColumnId="38"/>
      <queryTableField id="35" name="Fe_mol" tableColumnId="35"/>
      <queryTableField id="48" name="W_mol" tableColumnId="48"/>
      <queryTableField id="32" name="Co_mol" tableColumnId="32"/>
      <queryTableField id="37" name="Mn_mol" tableColumnId="37"/>
      <queryTableField id="29" name="Al_mol" tableColumnId="29"/>
      <queryTableField id="46" name="Ti_mol" tableColumnId="46"/>
      <queryTableField id="45" name="Si_mol" tableColumnId="45"/>
      <queryTableField id="31" name="C_mol" tableColumnId="31"/>
      <queryTableField id="34" name="Cu_mol" tableColumnId="34"/>
      <queryTableField id="40" name="Nb_mol" tableColumnId="40"/>
      <queryTableField id="47" name="V_mol" tableColumnId="47"/>
      <queryTableField id="43" name="P_mol" tableColumnId="43"/>
      <queryTableField id="44" name="S_mol" tableColumnId="44"/>
      <queryTableField id="30" name="B_mol" tableColumnId="30"/>
      <queryTableField id="225" dataBound="0" tableColumnId="121"/>
      <queryTableField id="227" dataBound="0" tableColumnId="123"/>
      <queryTableField id="226" dataBound="0" tableColumnId="122"/>
      <queryTableField id="42" name="O_mol" tableColumnId="42"/>
      <queryTableField id="39" name="N_mol" tableColumnId="39"/>
      <queryTableField id="207" dataBound="0" tableColumnId="120"/>
      <queryTableField id="36" name="H_mol" tableColumnId="36"/>
      <queryTableField id="228" dataBound="0" tableColumnId="124"/>
      <queryTableField id="230" dataBound="0" tableColumnId="125"/>
      <queryTableField id="52" name="length_a_sample" tableColumnId="52"/>
      <queryTableField id="53" name="length_b_sample" tableColumnId="53"/>
      <queryTableField id="59" name="thickness_sample" tableColumnId="59"/>
      <queryTableField id="54" name="molten_salt" tableColumnId="54"/>
      <queryTableField id="111" dataBound="0" tableColumnId="75"/>
      <queryTableField id="55" name="ms_purified" tableColumnId="55"/>
      <queryTableField id="138" dataBound="0" tableColumnId="85"/>
      <queryTableField id="51" name="euf3" tableColumnId="51"/>
      <queryTableField id="68" name="Fe_ppmw" tableColumnId="68"/>
      <queryTableField id="128" dataBound="0" tableColumnId="79"/>
      <queryTableField id="131" dataBound="0" tableColumnId="80"/>
      <queryTableField id="132" dataBound="0" tableColumnId="81"/>
      <queryTableField id="133" dataBound="0" tableColumnId="82"/>
      <queryTableField id="71" name="Ni_ppmw" tableColumnId="71"/>
      <queryTableField id="67" name="Cr_ppmw" tableColumnId="67"/>
      <queryTableField id="136" dataBound="0" tableColumnId="83"/>
      <queryTableField id="137" dataBound="0" tableColumnId="84"/>
      <queryTableField id="189" dataBound="0" tableColumnId="103"/>
      <queryTableField id="70" name="Mn_ppmw" tableColumnId="70"/>
      <queryTableField id="192" dataBound="0" tableColumnId="106"/>
      <queryTableField id="69" name="HF_ppmw" tableColumnId="69"/>
      <queryTableField id="127" dataBound="0" tableColumnId="77"/>
      <queryTableField id="193" dataBound="0" tableColumnId="107"/>
      <queryTableField id="195" dataBound="0" tableColumnId="102"/>
      <queryTableField id="197" dataBound="0" tableColumnId="110"/>
      <queryTableField id="199" dataBound="0" tableColumnId="112"/>
      <queryTableField id="201" dataBound="0" tableColumnId="114"/>
      <queryTableField id="204" dataBound="0" tableColumnId="117"/>
      <queryTableField id="167" dataBound="0" tableColumnId="98"/>
      <queryTableField id="166" dataBound="0" tableColumnId="91"/>
      <queryTableField id="165" dataBound="0" tableColumnId="92"/>
      <queryTableField id="164" dataBound="0" tableColumnId="93"/>
      <queryTableField id="163" dataBound="0" tableColumnId="94"/>
      <queryTableField id="162" dataBound="0" tableColumnId="95"/>
      <queryTableField id="161" dataBound="0" tableColumnId="96"/>
      <queryTableField id="160" dataBound="0" tableColumnId="97"/>
      <queryTableField id="159" dataBound="0" tableColumnId="89"/>
      <queryTableField id="158" dataBound="0" tableColumnId="90"/>
      <queryTableField id="190" dataBound="0" tableColumnId="104"/>
      <queryTableField id="157" dataBound="0" tableColumnId="87"/>
      <queryTableField id="191" dataBound="0" tableColumnId="105"/>
      <queryTableField id="156" dataBound="0" tableColumnId="88"/>
      <queryTableField id="155" dataBound="0" tableColumnId="86"/>
      <queryTableField id="194" dataBound="0" tableColumnId="108"/>
      <queryTableField id="196" dataBound="0" tableColumnId="109"/>
      <queryTableField id="198" dataBound="0" tableColumnId="111"/>
      <queryTableField id="200" dataBound="0" tableColumnId="113"/>
      <queryTableField id="202" dataBound="0" tableColumnId="115"/>
      <queryTableField id="205" dataBound="0" tableColumnId="118"/>
      <queryTableField id="56" name="radiation_exposure" tableColumnId="56"/>
      <queryTableField id="49" name="beam_energy" tableColumnId="49"/>
      <queryTableField id="171" dataBound="0" tableColumnId="101"/>
      <queryTableField id="62" name="max_depth_selective_diss" tableColumnId="62"/>
      <queryTableField id="63" name="sem_um_y" tableColumnId="63"/>
      <queryTableField id="64" name="weight_loss" tableColumnId="64"/>
      <queryTableField id="60" name="average_normalized_corrosion_depth" tableColumnId="60"/>
      <queryTableField id="65" name="C0_Cr" tableColumnId="65"/>
      <queryTableField id="61" name="corrosion_class" tableColumnId="61"/>
      <queryTableField id="73" dataBound="0" tableColumnId="73"/>
      <queryTableField id="168" dataBound="0" tableColumnId="99"/>
      <queryTableField id="72" dataBound="0" tableColumnId="7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939A1A-CAC3-4474-B518-D03E65F42044}" name="_2025_01_07T12_47_export3" displayName="_2025_01_07T12_47_export3" ref="A1:DU317" tableType="queryTable" totalsRowShown="0" headerRowDxfId="126" dataDxfId="125">
  <autoFilter ref="A1:DU317" xr:uid="{BF939A1A-CAC3-4474-B518-D03E65F42044}">
    <filterColumn colId="6">
      <filters>
        <filter val="static"/>
      </filters>
    </filterColumn>
    <filterColumn colId="114">
      <filters>
        <filter val="0"/>
      </filters>
    </filterColumn>
  </autoFilter>
  <sortState xmlns:xlrd2="http://schemas.microsoft.com/office/spreadsheetml/2017/richdata2" ref="A2:DU317">
    <sortCondition ref="B1:B317"/>
  </sortState>
  <tableColumns count="125">
    <tableColumn id="2" xr3:uid="{3646E874-9398-41F3-AEBE-C5FB767E713C}" uniqueName="2" name="id_test_code" queryTableFieldId="2" dataDxfId="124"/>
    <tableColumn id="1" xr3:uid="{BE86FF00-D030-4188-8978-27E4AE3E5986}" uniqueName="1" name="Column1" queryTableFieldId="1" dataDxfId="123"/>
    <tableColumn id="6" xr3:uid="{9949415B-20A0-4EBB-BE08-CFD93E3C1A3C}" uniqueName="6" name="institution" queryTableFieldId="6" dataDxfId="122"/>
    <tableColumn id="7" xr3:uid="{9C438343-0153-400F-BFF4-2B81C437D508}" uniqueName="7" name="year" queryTableFieldId="7" dataDxfId="121"/>
    <tableColumn id="4" xr3:uid="{AFB8006E-7D1A-45FD-BBF1-E409468955CF}" uniqueName="4" name="author" queryTableFieldId="4" dataDxfId="120"/>
    <tableColumn id="5" xr3:uid="{356CF3E4-8923-46A0-9522-0E6688C46537}" uniqueName="5" name="id_paper" queryTableFieldId="5" dataDxfId="119"/>
    <tableColumn id="58" xr3:uid="{3D861FD1-6312-4F7E-8037-2579CD6F4FA9}" uniqueName="58" name="test_condition" queryTableFieldId="58" dataDxfId="118"/>
    <tableColumn id="100" xr3:uid="{D7EE47CF-19C7-4843-8B5C-6F799BF0458E}" uniqueName="100" name="Experimental Velocity [cm/s]" queryTableFieldId="170" dataDxfId="117"/>
    <tableColumn id="57" xr3:uid="{7492993D-8276-4528-BA13-7F1EA9655EF6}" uniqueName="57" name="temperature" queryTableFieldId="57" dataDxfId="116"/>
    <tableColumn id="50" xr3:uid="{E4BCF157-0392-45D9-A2FB-DD55568718BF}" uniqueName="50" name="dive_time" queryTableFieldId="50" dataDxfId="115"/>
    <tableColumn id="3" xr3:uid="{62382FD3-79D8-4FC1-843F-03E0898720A7}" uniqueName="3" name="crucible" queryTableFieldId="3" dataDxfId="114"/>
    <tableColumn id="28" xr3:uid="{A2995D1F-7E37-4D78-A3CE-759BCC029A90}" uniqueName="28" name="id_material" queryTableFieldId="28" dataDxfId="113"/>
    <tableColumn id="116" xr3:uid="{9CA70589-7BC6-4191-BDA0-C7B347985DC4}" uniqueName="116" name="Plating" queryTableFieldId="203" dataDxfId="112"/>
    <tableColumn id="66" xr3:uid="{2DD077FE-2659-45CB-8178-83A4F5BA5791}" uniqueName="66" name="density [g/m^3]" queryTableFieldId="66" dataDxfId="111"/>
    <tableColumn id="20" xr3:uid="{6A96AC67-87EE-409E-A9C0-0E641DEC0630}" uniqueName="20" name="Ni_wt" queryTableFieldId="20" dataDxfId="110"/>
    <tableColumn id="12" xr3:uid="{3D9278D7-4359-4A5E-81D6-6B8A132C1CFF}" uniqueName="12" name="Cr_wt" queryTableFieldId="12" dataDxfId="109"/>
    <tableColumn id="17" xr3:uid="{61F09D5B-2AE5-4D6A-9DB3-8C71FB3BFE46}" uniqueName="17" name="Mo_wt" queryTableFieldId="17" dataDxfId="108"/>
    <tableColumn id="14" xr3:uid="{C0D8CB11-F13A-47DB-A070-0E727C9DD85C}" uniqueName="14" name="Fe_wt" queryTableFieldId="14" dataDxfId="107"/>
    <tableColumn id="27" xr3:uid="{9C54C490-F095-404B-949C-31F8DA47207E}" uniqueName="27" name="W_wt" queryTableFieldId="27" dataDxfId="106"/>
    <tableColumn id="11" xr3:uid="{5E283EFA-A51D-4286-88F7-E4DE67532CAD}" uniqueName="11" name="Co_wt" queryTableFieldId="11" dataDxfId="105"/>
    <tableColumn id="16" xr3:uid="{EF24A174-9693-4481-930B-974BF22C6C5A}" uniqueName="16" name="Mn_wt" queryTableFieldId="16" dataDxfId="104"/>
    <tableColumn id="8" xr3:uid="{7C92C2BE-1A6D-4FD7-87CD-83F6D195E7ED}" uniqueName="8" name="Al_wt" queryTableFieldId="8" dataDxfId="103"/>
    <tableColumn id="25" xr3:uid="{F1ACF893-3A40-47CB-B708-C9E16FE107D5}" uniqueName="25" name="Ti_wt" queryTableFieldId="25" dataDxfId="102"/>
    <tableColumn id="24" xr3:uid="{788F51D6-8051-4AB7-B76C-E528E9408E45}" uniqueName="24" name="Si_wt" queryTableFieldId="24" dataDxfId="101"/>
    <tableColumn id="10" xr3:uid="{A693E308-A6AC-4295-B25E-DE70575D897F}" uniqueName="10" name="C_wt" queryTableFieldId="10" dataDxfId="100"/>
    <tableColumn id="13" xr3:uid="{82EA4D8E-9C92-4601-9979-05598A3B3568}" uniqueName="13" name="Cu_wt" queryTableFieldId="13" dataDxfId="99"/>
    <tableColumn id="19" xr3:uid="{43BA49B4-12FB-432B-ACA0-4C40D088AABD}" uniqueName="19" name="Nb_wt" queryTableFieldId="19" dataDxfId="98"/>
    <tableColumn id="26" xr3:uid="{42F40409-1DE7-4A20-9E8B-27C67FE617B8}" uniqueName="26" name="V_wt" queryTableFieldId="26" dataDxfId="97"/>
    <tableColumn id="22" xr3:uid="{19D71A96-AEEF-4F54-A82D-3801570306E2}" uniqueName="22" name="P_wt" queryTableFieldId="22" dataDxfId="96"/>
    <tableColumn id="23" xr3:uid="{045867EF-0006-4A77-B8E7-E46B60ECA58D}" uniqueName="23" name="S_wt" queryTableFieldId="23" dataDxfId="95"/>
    <tableColumn id="9" xr3:uid="{5796F0C7-AF3B-45B0-BBC5-A3B2C48164C6}" uniqueName="9" name="B_wt" queryTableFieldId="9" dataDxfId="94"/>
    <tableColumn id="76" xr3:uid="{793D76AB-A589-49A2-A913-7420E7C4D70F}" uniqueName="76" name="Mg weight" queryTableFieldId="124" dataDxfId="93"/>
    <tableColumn id="74" xr3:uid="{791D0E94-81FB-4F7B-89EF-2211AAD95FD9}" uniqueName="74" name="Sn_wt" queryTableFieldId="153" dataDxfId="92"/>
    <tableColumn id="78" xr3:uid="{F72BB998-D0E0-40FB-B8F8-963071F42E05}" uniqueName="78" name="Zr_wt" queryTableFieldId="185" dataDxfId="91"/>
    <tableColumn id="21" xr3:uid="{1CB4591C-6C57-4FBE-876F-376B4B36D502}" uniqueName="21" name="O_wt" queryTableFieldId="21" dataDxfId="90"/>
    <tableColumn id="18" xr3:uid="{424FAD41-D0F2-4047-B5E1-95405290BDB8}" uniqueName="18" name="N_wt" queryTableFieldId="18" dataDxfId="89"/>
    <tableColumn id="119" xr3:uid="{AD475989-52BB-46E0-919C-15AA3C4BB333}" uniqueName="119" name="Y_wt" queryTableFieldId="206" dataDxfId="88"/>
    <tableColumn id="15" xr3:uid="{4A4DFF1A-E2FA-4382-BADE-53BA6A446A0A}" uniqueName="15" name="H_wt" queryTableFieldId="15" dataDxfId="87"/>
    <tableColumn id="41" xr3:uid="{0768EC71-5386-4A33-9AB9-774669D8F53F}" uniqueName="41" name="Ni_mol" queryTableFieldId="41" dataDxfId="86"/>
    <tableColumn id="33" xr3:uid="{3C31E07C-6639-41B2-ACC8-2E02E9B2C3C2}" uniqueName="33" name="Cr_mol" queryTableFieldId="33" dataDxfId="85"/>
    <tableColumn id="38" xr3:uid="{7B156DAC-7B83-45D4-B04B-671AD6262BB3}" uniqueName="38" name="Mo_mol" queryTableFieldId="38" dataDxfId="84"/>
    <tableColumn id="35" xr3:uid="{AFC2B165-F292-4327-B591-2D39FD1479C6}" uniqueName="35" name="Fe_mol" queryTableFieldId="35" dataDxfId="83"/>
    <tableColumn id="48" xr3:uid="{B8CCA285-E79E-49CE-B657-82DEFEFB452D}" uniqueName="48" name="W_mol" queryTableFieldId="48" dataDxfId="82"/>
    <tableColumn id="32" xr3:uid="{90ED8B94-9ED7-40A5-84CA-CC8ADED9A70B}" uniqueName="32" name="Co_mol" queryTableFieldId="32" dataDxfId="81"/>
    <tableColumn id="37" xr3:uid="{ED545AD5-F3C0-4B48-9094-F12E5224F49F}" uniqueName="37" name="Mn_mol" queryTableFieldId="37" dataDxfId="80"/>
    <tableColumn id="29" xr3:uid="{8737700B-B4A8-46BD-97E2-54812589E261}" uniqueName="29" name="Al_mol" queryTableFieldId="29" dataDxfId="79"/>
    <tableColumn id="46" xr3:uid="{2012B18F-A5F0-4A60-9BCD-65C9529DF6E7}" uniqueName="46" name="Ti_mol" queryTableFieldId="46" dataDxfId="78"/>
    <tableColumn id="45" xr3:uid="{A270B6BA-C2DF-49BD-9AB7-BDECF0EF6683}" uniqueName="45" name="Si_mol2" queryTableFieldId="45" dataDxfId="77"/>
    <tableColumn id="31" xr3:uid="{94E33986-BBBA-4424-9521-451B9C95434F}" uniqueName="31" name="C_mol" queryTableFieldId="31" dataDxfId="76"/>
    <tableColumn id="34" xr3:uid="{291C0D5B-3B38-4808-82D5-CFECBD7BF7BA}" uniqueName="34" name="Cu_mol" queryTableFieldId="34" dataDxfId="75"/>
    <tableColumn id="40" xr3:uid="{4289B327-9929-45B0-83EE-C75DFFAE80F7}" uniqueName="40" name="Nb_mol" queryTableFieldId="40" dataDxfId="74"/>
    <tableColumn id="47" xr3:uid="{9BB6C7ED-D0A3-45FE-BECF-1CE77090D1EA}" uniqueName="47" name="V_mol" queryTableFieldId="47" dataDxfId="73"/>
    <tableColumn id="43" xr3:uid="{C37DC2E5-0662-4EAE-8400-A64B62D37F2D}" uniqueName="43" name="P_mol" queryTableFieldId="43" dataDxfId="72"/>
    <tableColumn id="44" xr3:uid="{B5E76858-D06B-4256-9306-702B159FF25F}" uniqueName="44" name="S_mol" queryTableFieldId="44" dataDxfId="71"/>
    <tableColumn id="30" xr3:uid="{1D562505-CB6E-4550-BB6E-CCBC136C1604}" uniqueName="30" name="B_mol" queryTableFieldId="30" dataDxfId="70"/>
    <tableColumn id="121" xr3:uid="{32723A03-42F8-43E8-8D7D-03C1471106DC}" uniqueName="121" name="Mg_mol" queryTableFieldId="225" dataDxfId="69"/>
    <tableColumn id="123" xr3:uid="{49EA7D50-720E-4B47-9135-55CD093DA1DE}" uniqueName="123" name="Sn_mol" queryTableFieldId="227" dataDxfId="68"/>
    <tableColumn id="122" xr3:uid="{A629746C-7A5C-4817-AD60-E445F4DE66A9}" uniqueName="122" name="Zr_mol" queryTableFieldId="226" dataDxfId="67"/>
    <tableColumn id="42" xr3:uid="{40599EA6-9920-42AE-9228-1FAE5347B042}" uniqueName="42" name="O_mol" queryTableFieldId="42" dataDxfId="66"/>
    <tableColumn id="39" xr3:uid="{D789DE1F-1CC9-408D-A16E-FA5C873E0046}" uniqueName="39" name="N_mol" queryTableFieldId="39" dataDxfId="65"/>
    <tableColumn id="120" xr3:uid="{045D5024-EBFA-4761-B2AF-14673779090C}" uniqueName="120" name="Y_mol" queryTableFieldId="207" dataDxfId="64"/>
    <tableColumn id="36" xr3:uid="{88F56642-0DC4-4C0B-A9B4-8DE7DE2F4493}" uniqueName="36" name="H_mol" queryTableFieldId="36" dataDxfId="63"/>
    <tableColumn id="124" xr3:uid="{D82888A6-33EC-4963-87EA-94A1F11E2FD1}" uniqueName="124" name="Ellingham ∆G [kcal/gfw] of material (approx. With Ni-Cr-Mo-Fe-W-Co-Mn-Al-Ti potential weighted by mol%)" queryTableFieldId="228" dataDxfId="62">
      <calculatedColumnFormula>(($AM2*($BK$396+$BJ$396*($BM$389+$I2))+$AN2*($BK$397+$BJ$397*($BM$389+$I2))+$AO2*($BK$398+$BJ$398*($BM$389+$I2))+$AP2*($BK$399+$BJ$399*($BM$389+$I2))+$AR2*($BK$401+$BJ$401*($BM$389+$I2))+$AS2*($BK$402+$BJ$402*($BM$389+$I2))+$AT2*($BK$403+$BJ$403*($BM$389+$I2))+$AU2*($BK$404+$BJ$404*($BM$389+$I2))+$AV2*($BK$405+$BJ$405*($BM$389+$I2))+$AW2*($BK$406+$BJ$406*($BM$389+$I2))+$AX2*($BK$407+$BJ$407*($BM$389+$I2))+$AY2*($BK$408+$BJ$408*($BM$389+$I2))+$AZ2*($BK$409+$BJ$409*($BM$389+$I2))+$BB2*($BK$411+$BJ$411*($BM$389+$I2))+$BC2*($BK$412+$BJ$412*($BM$389+$I2))+$BD2*($BK$413+$BJ$413*($BM$389+$I2))+$BF2*($BK$415+$BJ$415*($BM$389+$I2))+$BI2*($BK$416+$BJ$416*($BM$389+$I2)))/(SUM($AM2:$BJ2)-$AQ2-$BA2-$BE2-$BG2-$BH2-$BJ2))</calculatedColumnFormula>
    </tableColumn>
    <tableColumn id="125" xr3:uid="{6DC96895-BDE5-4A45-B34A-5503E9344EE0}" uniqueName="125" name="Ellingham ∆G [kcal/gfw] of crucible (approx. With Ni-Cr-Mo-Fe-W-Co-Mn-Al-Ti potential weighted by mol%)" queryTableFieldId="230" dataDxfId="61">
      <calculatedColumnFormula>IF($K2=$L2,$BK2,IF(OR($K2="graphite",$K2="vitreous carbon"),$BK$406+($BM$389+$I2)*$BJ$406,IF($K2="Pyrolytic Boron Nitride","PBN",IF(COUNTIF($BH$396:$BH$416,$K2)&gt;0,VLOOKUP($K2,$BH$396:$BK$416,4,FALSE)+($BM$389+$I2)*VLOOKUP($K2,$BH$396:$BK$416,3,FALSE),IF(COUNTIF($L1:$L$2,$K2)&gt;0,VLOOKUP($K2,$L1:$BK$2,52,FALSE),"idk")))))</calculatedColumnFormula>
    </tableColumn>
    <tableColumn id="52" xr3:uid="{9B9AE39C-6CA0-4566-8144-4AED38F5DBC7}" uniqueName="52" name="length_a_sample" queryTableFieldId="52" dataDxfId="60"/>
    <tableColumn id="53" xr3:uid="{354E0178-4758-4D9D-AA41-CE5AD0AB8B0B}" uniqueName="53" name="length_b_sample" queryTableFieldId="53" dataDxfId="59"/>
    <tableColumn id="59" xr3:uid="{79EAFB86-4189-46AC-9D06-2973769EFF6E}" uniqueName="59" name="thickness_sample" queryTableFieldId="59" dataDxfId="58"/>
    <tableColumn id="54" xr3:uid="{549C5D35-4C63-4824-9458-53A7A23887C5}" uniqueName="54" name="molten_salt" queryTableFieldId="54" dataDxfId="57"/>
    <tableColumn id="75" xr3:uid="{79FE55F8-B164-4B29-8425-6A458371A7A6}" uniqueName="75" name="Salt Provenience" queryTableFieldId="111" dataDxfId="56"/>
    <tableColumn id="55" xr3:uid="{B21E703C-A0DE-4D81-84EB-83B68D8C429D}" uniqueName="55" name="ms_purified" queryTableFieldId="55" dataDxfId="55"/>
    <tableColumn id="85" xr3:uid="{84836EC8-D7FD-48E9-BE51-8918F086F311}" uniqueName="85" name="Residual Moisture wt.%" queryTableFieldId="138" dataDxfId="54"/>
    <tableColumn id="51" xr3:uid="{D968B86B-E09D-4BD7-ACB0-EE039D098709}" uniqueName="51" name="euf3" queryTableFieldId="51" dataDxfId="53"/>
    <tableColumn id="68" xr3:uid="{DF16EEC8-94ED-4E45-B931-C2B7562C8790}" uniqueName="68" name="Fe_ppmw impurity pre" queryTableFieldId="68" dataDxfId="52"/>
    <tableColumn id="79" xr3:uid="{15C76412-E4B5-4CB1-8360-D31CBE718855}" uniqueName="79" name="S_ppmw impurity pre" queryTableFieldId="128" dataDxfId="51"/>
    <tableColumn id="80" xr3:uid="{96881D44-66E6-4643-B765-1D31FB3813B2}" uniqueName="80" name="P_ppmw impurity pre" queryTableFieldId="131" dataDxfId="50"/>
    <tableColumn id="81" xr3:uid="{595D6A71-D250-4C4C-883F-ABEA7991386A}" uniqueName="81" name="Ca_ppmw impurity pre" queryTableFieldId="132" dataDxfId="49"/>
    <tableColumn id="82" xr3:uid="{D5849CBA-3E7E-45CE-89CB-780E93D1DB58}" uniqueName="82" name="Al_ppmw impurity pre" queryTableFieldId="133" dataDxfId="48"/>
    <tableColumn id="71" xr3:uid="{292EDD67-83BB-4738-B08A-F320751A9BA9}" uniqueName="71" name="Ni_ppmw impurity pre" queryTableFieldId="71" dataDxfId="47"/>
    <tableColumn id="67" xr3:uid="{FC93D036-55D3-438C-BB2E-2DAFB7A77712}" uniqueName="67" name="Cr_ppmw impurity pre" queryTableFieldId="67" dataDxfId="46"/>
    <tableColumn id="83" xr3:uid="{30BD6735-9CC5-492B-91A5-A75A03F7927B}" uniqueName="83" name="Ti_ppmw impurity pre" queryTableFieldId="136" dataDxfId="45"/>
    <tableColumn id="84" xr3:uid="{0E012F2C-3EEA-4C2D-905B-7D1A2840F221}" uniqueName="84" name="Mo_ppmw impurity pre" queryTableFieldId="137" dataDxfId="44"/>
    <tableColumn id="103" xr3:uid="{95194883-32F7-4015-A3E3-1C874D3EC264}" uniqueName="103" name="Mg_ppmw impurity pre2" queryTableFieldId="189" dataDxfId="43"/>
    <tableColumn id="70" xr3:uid="{301A12C6-FAD9-4F29-AC82-1F0A8A0F2F37}" uniqueName="70" name="Mn_ppmw impurity pre" queryTableFieldId="70" dataDxfId="42"/>
    <tableColumn id="106" xr3:uid="{DC417E0B-A612-497B-8C7C-6DAA4D3A04F6}" uniqueName="106" name="Zn_ppmw impurity pre" queryTableFieldId="192" dataDxfId="41"/>
    <tableColumn id="69" xr3:uid="{CA81A8BA-958B-4C0D-B9DC-0E7BD2C9DFF3}" uniqueName="69" name="HF_ppmw impurity pre" queryTableFieldId="69" dataDxfId="40"/>
    <tableColumn id="77" xr3:uid="{EC887E6B-0E3F-4F8B-A46E-CD4C424C96DD}" uniqueName="77" name="Zr_ppmw impurity pre" queryTableFieldId="127" dataDxfId="39"/>
    <tableColumn id="107" xr3:uid="{6809D494-115D-47DA-A17B-DD710E0184C2}" uniqueName="107" name="C_ppmw impurity pre" queryTableFieldId="193" dataDxfId="38"/>
    <tableColumn id="102" xr3:uid="{91CDA070-6AFD-47B7-B769-71449A339CA5}" uniqueName="102" name="W_ppmw impurity pre" queryTableFieldId="195" dataDxfId="37"/>
    <tableColumn id="110" xr3:uid="{E4368BCE-F97A-4878-944B-2F246488C320}" uniqueName="110" name="Cu_ppmw impurity pre" queryTableFieldId="197" dataDxfId="36"/>
    <tableColumn id="112" xr3:uid="{ED1313E0-EC32-4646-A442-3B064A9AA795}" uniqueName="112" name="Si_ppmw impurity pre" queryTableFieldId="199" dataDxfId="35"/>
    <tableColumn id="114" xr3:uid="{4F372327-6A7B-46C4-8085-0120301F6C3D}" uniqueName="114" name="O2-_ppmw impurity pre" queryTableFieldId="201" dataDxfId="34"/>
    <tableColumn id="117" xr3:uid="{C42A7011-9516-4B78-B1F2-05684D0EC896}" uniqueName="117" name="Te_ppmw impurity pre" queryTableFieldId="204" dataDxfId="33"/>
    <tableColumn id="98" xr3:uid="{28FCCE46-095D-460A-B7C0-CFC679EF434F}" uniqueName="98" name="Residual Moisture wt.% after" queryTableFieldId="167" dataDxfId="32"/>
    <tableColumn id="91" xr3:uid="{A7E775D9-2E3B-428F-BA76-12F7983F324C}" uniqueName="91" name="Fe_ppmw impurity after" queryTableFieldId="166" dataDxfId="31"/>
    <tableColumn id="92" xr3:uid="{F3479D26-D0C0-49DB-A384-3AA1D6C9C0EC}" uniqueName="92" name="S_ppmw impurity after" queryTableFieldId="165" dataDxfId="30"/>
    <tableColumn id="93" xr3:uid="{F18BAF17-4A1E-4C68-9462-379ABA0A88FF}" uniqueName="93" name="P_ppmw impurity after" queryTableFieldId="164" dataDxfId="29"/>
    <tableColumn id="94" xr3:uid="{676491C7-F469-45AD-A819-9E6A86E63AFA}" uniqueName="94" name="Ca_ppmw impurity after" queryTableFieldId="163" dataDxfId="28"/>
    <tableColumn id="95" xr3:uid="{2B0F1F20-A92B-4F8B-9FB8-BB5ADFB37558}" uniqueName="95" name="Al_ppmw impurity after" queryTableFieldId="162" dataDxfId="27"/>
    <tableColumn id="96" xr3:uid="{C3EEAC9D-6E0D-44C2-84C2-97159A1CBF83}" uniqueName="96" name="Ni_ppmw impurity after" queryTableFieldId="161" dataDxfId="26"/>
    <tableColumn id="97" xr3:uid="{9FDE66E9-6B69-43C7-B619-BB4367DFEAD0}" uniqueName="97" name="Cr_ppmw impurity after" queryTableFieldId="160" dataDxfId="25"/>
    <tableColumn id="89" xr3:uid="{133508BD-087B-421C-9424-13EA81485B46}" uniqueName="89" name="Ti_ppmw impurity after" queryTableFieldId="159" dataDxfId="24"/>
    <tableColumn id="90" xr3:uid="{859ECECE-AED1-49CB-941F-4ED754699710}" uniqueName="90" name="Mo_ppmw impurity after" queryTableFieldId="158" dataDxfId="23"/>
    <tableColumn id="104" xr3:uid="{3D9F322F-67FB-4224-A071-4512F480897E}" uniqueName="104" name="Mg_ppmw impurity after" queryTableFieldId="190" dataDxfId="22"/>
    <tableColumn id="87" xr3:uid="{1301FF92-14C6-4090-A229-916F683267DB}" uniqueName="87" name="Mn_ppmw impurity after" queryTableFieldId="157" dataDxfId="21"/>
    <tableColumn id="105" xr3:uid="{4F3BC977-5E8D-4685-A525-F9AB0F496424}" uniqueName="105" name="Zn_ppmw impurity after" queryTableFieldId="191" dataDxfId="20"/>
    <tableColumn id="88" xr3:uid="{6ADEED49-DAA5-4779-8BE8-CA7A5D1731EF}" uniqueName="88" name="HF_ppmw impurity after" queryTableFieldId="156" dataDxfId="19"/>
    <tableColumn id="86" xr3:uid="{F02D9FC4-33B8-4D1E-B6DD-1AD90AF501A4}" uniqueName="86" name="Zr_ppmw impurity after" queryTableFieldId="155" dataDxfId="18"/>
    <tableColumn id="108" xr3:uid="{E64611B5-3B41-4D83-8CB6-7FEFA820102A}" uniqueName="108" name="C_ppmw impurity after" queryTableFieldId="194" dataDxfId="17"/>
    <tableColumn id="109" xr3:uid="{D16F67D1-1EE3-486F-8D80-A0230FA241EB}" uniqueName="109" name="W_ppmw impurity after" queryTableFieldId="196" dataDxfId="16"/>
    <tableColumn id="111" xr3:uid="{A8240A56-2597-4444-8E79-9C027156E723}" uniqueName="111" name="Cu_ppmw impurity after" queryTableFieldId="198" dataDxfId="15"/>
    <tableColumn id="113" xr3:uid="{F5EC1E56-500E-4CA9-8F66-8B188BC74795}" uniqueName="113" name="Si_ppmw impurity after" queryTableFieldId="200" dataDxfId="14"/>
    <tableColumn id="115" xr3:uid="{BA9023FC-15D7-4DFC-A903-5CDB2FCD5A7C}" uniqueName="115" name="O2-_ppmw impurity after" queryTableFieldId="202" dataDxfId="13"/>
    <tableColumn id="118" xr3:uid="{4B54223B-EDAC-4009-B3A6-8DD9E545EDB4}" uniqueName="118" name="Te_ppmw impurity after" queryTableFieldId="205" dataDxfId="12"/>
    <tableColumn id="56" xr3:uid="{94C3D20F-56BD-46A1-84F0-3FF476C1D8F9}" uniqueName="56" name="radiation_exposure" queryTableFieldId="56" dataDxfId="11"/>
    <tableColumn id="49" xr3:uid="{8EBF6D70-B58C-4795-BD13-3791650FC175}" uniqueName="49" name="beam_energy" queryTableFieldId="49" dataDxfId="10"/>
    <tableColumn id="101" xr3:uid="{2D126117-46B6-44F7-8099-E7614B0BABF8}" uniqueName="101" name="Beam Current density[uA/cm^2]" queryTableFieldId="171" dataDxfId="9"/>
    <tableColumn id="62" xr3:uid="{598E6F41-5961-4D89-8A8D-E898A413A22A}" uniqueName="62" name="max_depth_selective_diss [um]" queryTableFieldId="62" dataDxfId="8"/>
    <tableColumn id="63" xr3:uid="{837A80CE-B60C-4C64-BC3D-F86394D8BB5E}" uniqueName="63" name="sem_um_y" queryTableFieldId="63" dataDxfId="7"/>
    <tableColumn id="64" xr3:uid="{44B981A8-BF1A-4819-B0C2-4D1398D65B4E}" uniqueName="64" name="weight_loss [mg/cm^2]" queryTableFieldId="64" dataDxfId="6"/>
    <tableColumn id="60" xr3:uid="{B028BF21-FA66-4B47-94A5-F0103BF3F738}" uniqueName="60" name="average_normalized_corrosion_depth" queryTableFieldId="60" dataDxfId="5"/>
    <tableColumn id="65" xr3:uid="{AC023E74-DECF-45A3-9AD0-290357D50012}" uniqueName="65" name="C0_Cr" queryTableFieldId="65" dataDxfId="4"/>
    <tableColumn id="61" xr3:uid="{DA3D430C-1CBD-45E5-900B-66557A5BC08E}" uniqueName="61" name="corrosion_class" queryTableFieldId="61" dataDxfId="3"/>
    <tableColumn id="73" xr3:uid="{7791E0C3-A44D-43CB-B9D9-48128FF44B4C}" uniqueName="73" name="reliability" queryTableFieldId="73" dataDxfId="2"/>
    <tableColumn id="99" xr3:uid="{9BA84AB6-B256-43B9-B409-55E1488CD02F}" uniqueName="99" name="Link To Paper" queryTableFieldId="168" dataDxfId="1"/>
    <tableColumn id="72" xr3:uid="{53D1A85B-9856-462B-8EA3-7679C663D3CA}" uniqueName="72" name="note" queryTableFieldId="7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d-esweetapp.eni.com/FUSION_MATERIA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enispa.sharepoint.com/sites/Venicelaboratories-FLiNaKandFLiBecorrosion/Documenti%20condivisi/FLiNaK%20and%20FLiBe%20corrosion/2023-09-AI%20for%20Fusion%20Material(s).pdf" TargetMode="External"/><Relationship Id="rId2" Type="http://schemas.openxmlformats.org/officeDocument/2006/relationships/hyperlink" Target="https://doi.org/10.1016/j.corsci.2018.08.035" TargetMode="External"/><Relationship Id="rId1" Type="http://schemas.openxmlformats.org/officeDocument/2006/relationships/hyperlink" Target="https://enispa.sharepoint.com/sites/Venicelaboratories-FLiNaKandFLiBecorrosion/Documenti%20condivisi/FLiNaK%20and%20FLiBe%20corrosion/Diagrammi%20dei%20potenziali%20di%20Ellingham%20Delta_G.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https://enispa.sharepoint.com/sites/Venicelaboratories-FLiNaKandFLiBecorrosion/Documenti%20condivisi/FLiNaK%20and%20FLiBe%20corrosion/3.%20Letteratura/Attivit&#224;%202023/2023_Pint_Methodology%20for%20Assessing%20Stainless%20Steel%20Compatibility%20in%20Fluoride%20Salts%20at%20550&#176;-850&#176;C.pdf" TargetMode="External"/><Relationship Id="rId18" Type="http://schemas.openxmlformats.org/officeDocument/2006/relationships/hyperlink" Target="https://enispa.sharepoint.com/sites/Venicelaboratories-FLiNaKandFLiBecorrosion/Documenti%20condivisi/FLiNaK%20and%20FLiBe%20corrosion/3.%20Letteratura/Attivit&#224;%202023/2022_Corrosion%20of%20316H%20stainless%20steel%20in%20flowing%20FLiNaK%20salt.pdf" TargetMode="External"/><Relationship Id="rId26" Type="http://schemas.openxmlformats.org/officeDocument/2006/relationships/hyperlink" Target="https://enispa.sharepoint.com/sites/Venicelaboratories-FLiNaKandFLiBecorrosion/Documenti%20condivisi/FLiNaK%20and%20FLiBe%20corrosion/3.%20Letteratura/Attivit&#224;%202023/2023_Pint_Methodology%20for%20Assessing%20Stainless%20Steel%20Compatibility%20in%20Fluoride%20Salts%20at%20550&#176;-850&#176;C.pdf" TargetMode="External"/><Relationship Id="rId39" Type="http://schemas.openxmlformats.org/officeDocument/2006/relationships/hyperlink" Target="https://enispa.sharepoint.com/sites/Venicelaboratories-FLiNaKandFLiBecorrosion/Documenti%20condivisi/FLiNaK%20and%20FLiBe%20corrosion/3.%20Letteratura/Articles%20on%20Corrosion%20(Domenico)/27-b)%202021_Pint_FY&#8211;21%20MSR%20Milestone%20M3AT-21OR0704012%20FLiBe%20Capsule%20Testing%20of%20316H.pdf" TargetMode="External"/><Relationship Id="rId21" Type="http://schemas.openxmlformats.org/officeDocument/2006/relationships/hyperlink" Target="https://enispa.sharepoint.com/sites/Venicelaboratories-FLiNaKandFLiBecorrosion/Documenti%20condivisi/FLiNaK%20and%20FLiBe%20corrosion/3.%20Letteratura/Attivit&#224;%202023/2018_Zheng-Sridharan_Article_CorrosionOfStructuralAlloysInH.pdf" TargetMode="External"/><Relationship Id="rId34" Type="http://schemas.openxmlformats.org/officeDocument/2006/relationships/hyperlink" Target="https://enispa.sharepoint.com/sites/Venicelaboratories-FLiNaKandFLiBecorrosion/Documenti%20condivisi/FLiNaK%20and%20FLiBe%20corrosion/3.%20Letteratura/Attivit&#224;%202024/time%20lower%20than%20240%20h/2023_Liu_Effect%20of%20O2-%20additive%20on%20the%20corrosion%20behavior%20of%20Hastelloy%20N%20alloy%20in.pdf" TargetMode="External"/><Relationship Id="rId42" Type="http://schemas.openxmlformats.org/officeDocument/2006/relationships/hyperlink" Target="https://enispa.sharepoint.com/sites/Venicelaboratories-FLiNaKandFLiBecorrosion/Documenti%20condivisi/FLiNaK%20and%20FLiBe%20corrosion/3.%20Letteratura/Articles%20on%20Corrosion%20(Domenico)/30)%202019_Ai_On%20the%20possibility%20of%20severe%20corrosion%20of%20a%20Ni-W-Cr%20alloy%20in%20fluoride.pdf" TargetMode="External"/><Relationship Id="rId47" Type="http://schemas.openxmlformats.org/officeDocument/2006/relationships/hyperlink" Target="https://enispa.sharepoint.com/sites/Venicelaboratories-FLiNaKandFLiBecorrosion/Documenti%20condivisi/FLiNaK%20and%20FLiBe%20corrosion/3.%20Letteratura/Articles%20on%20Corrosion%20(Domenico)/Cladding/2011_Olson_Nickel-plating%20for%20active%20metal%20dissolution.pdf" TargetMode="External"/><Relationship Id="rId50" Type="http://schemas.openxmlformats.org/officeDocument/2006/relationships/hyperlink" Target="https://enispa.sharepoint.com/sites/Venicelaboratories-FLiNaKandFLiBecorrosion/Documenti%20condivisi/FLiNaK%20and%20FLiBe%20corrosion/3.%20Letteratura/Articles%20on%20Corrosion%20(Domenico)/34)%202015_Olson_Impact%20of%20Corrosion%20Test%20Container%20Material%20in%20Molten%20Fluorides.pdf" TargetMode="External"/><Relationship Id="rId55" Type="http://schemas.openxmlformats.org/officeDocument/2006/relationships/hyperlink" Target="https://doi.org/10.1016/j.corsci.2018.08.035" TargetMode="External"/><Relationship Id="rId63" Type="http://schemas.openxmlformats.org/officeDocument/2006/relationships/drawing" Target="../drawings/drawing2.xml"/><Relationship Id="rId7" Type="http://schemas.openxmlformats.org/officeDocument/2006/relationships/hyperlink" Target="https://enispa.sharepoint.com/sites/Venicelaboratories-FLiNaKandFLiBecorrosion/Documenti%20condivisi/FLiNaK%20and%20FLiBe%20corrosion/3.%20Letteratura/Attivit&#224;%202023/2022_FY&#8211;22%20MSR%20Milestone%20M4RD-22OR0603034%20Corrosion%20of%20316H%20Stainless%20Steel....pdf" TargetMode="External"/><Relationship Id="rId2" Type="http://schemas.openxmlformats.org/officeDocument/2006/relationships/hyperlink" Target="https://enispa.sharepoint.com/sites/Venicelaboratories-FLiNaKandFLiBecorrosion/Documenti%20condivisi/FLiNaK%20and%20FLiBe%20corrosion/3.%20Letteratura/Attivit&#224;%202023/2019_Molten%20salt%20corrosion%20of%20Ni-Mo-Cr%20candidate%20structural%20materials%20for%20Molten.pdf" TargetMode="External"/><Relationship Id="rId16" Type="http://schemas.openxmlformats.org/officeDocument/2006/relationships/hyperlink" Target="https://enispa.sharepoint.com/sites/Venicelaboratories-FLiNaKandFLiBecorrosion/Documenti%20condivisi/FLiNaK%20and%20FLiBe%20corrosion/3.%20Letteratura/Attivit&#224;%202023/2009_Olson_PhD-Materials%20Corrosion%20in%20Molten%20LiF-NaF-KF%20Eutectic%20Salt.pdf" TargetMode="External"/><Relationship Id="rId20" Type="http://schemas.openxmlformats.org/officeDocument/2006/relationships/hyperlink" Target="https://enispa.sharepoint.com/sites/Venicelaboratories-FLiNaKandFLiBecorrosion/Documenti%20condivisi/FLiNaK%20and%20FLiBe%20corrosion/3.%20Letteratura/Attivit&#224;%202023/2015_Zheng_High%20Temperature%20Corrosion%20of%20Hastelloy%20N%20in%20Molten%20Li2BeF4%20(FLiBe)%20Salt.pdf" TargetMode="External"/><Relationship Id="rId29" Type="http://schemas.openxmlformats.org/officeDocument/2006/relationships/hyperlink" Target="https://enispa.sharepoint.com/sites/Venicelaboratories-FLiNaKandFLiBecorrosion/Documenti%20condivisi/FLiNaK%20and%20FLiBe%20corrosion/3.%20Letteratura/Attivit&#224;%202024/graphite/2018_Dai_Corrosion%20of%20Incoloy%20800H%20alloys%20with%20nickel%20cladding%20in%20FLiNaK%20salts%20at%2085.pdf" TargetMode="External"/><Relationship Id="rId41" Type="http://schemas.openxmlformats.org/officeDocument/2006/relationships/hyperlink" Target="https://enispa.sharepoint.com/sites/Venicelaboratories-FLiNaKandFLiBecorrosion/Documenti%20condivisi/FLiNaK%20and%20FLiBe%20corrosion/3.%20Letteratura/Articles%20on%20Corrosion%20(Domenico)/29)%202018_Ai_Influence%20of%20graphite-alloy%20interactions%20on%20corrosion%20of%20Ni-Mo-Cr%20alloy%20in.pdf" TargetMode="External"/><Relationship Id="rId54" Type="http://schemas.openxmlformats.org/officeDocument/2006/relationships/hyperlink" Target="https://enispa.sharepoint.com/sites/Venicelaboratories-FLiNaKandFLiBecorrosion/Documenti%20condivisi/FLiNaK%20and%20FLiBe%20corrosion/3.%20Letteratura/Articles%20on%20Corrosion%20(Domenico)/38)%202020_Doniger_Investigation%20of%20impurity%20driven%20corrosion%20behavior%20in.pdf" TargetMode="External"/><Relationship Id="rId62" Type="http://schemas.openxmlformats.org/officeDocument/2006/relationships/printerSettings" Target="../printerSettings/printerSettings4.bin"/><Relationship Id="rId1" Type="http://schemas.openxmlformats.org/officeDocument/2006/relationships/hyperlink" Target="https://enispa.sharepoint.com/sites/Venicelaboratories-FLiNaKandFLiBecorrosion/Documenti%20condivisi/FLiNaK%20and%20FLiBe%20corrosion/3.%20Letteratura/Attivit&#224;%202023/2015_Corrosion%20testing%20of%20nickel%20alloy%20for%20molten%20salt%20reactors.pdf" TargetMode="External"/><Relationship Id="rId6" Type="http://schemas.openxmlformats.org/officeDocument/2006/relationships/hyperlink" Target="https://enispa.sharepoint.com/sites/Venicelaboratories-FLiNaKandFLiBecorrosion/Documenti%20condivisi/FLiNaK%20and%20FLiBe%20corrosion/3.%20Letteratura/Attivit&#224;%202023/2023_Effects%20of%20simultaneous%20proton%20irradiation%20on%20the%20corrosion%20of%20commercial%20alloys%20in%20molten%20fl...PDF" TargetMode="External"/><Relationship Id="rId11" Type="http://schemas.openxmlformats.org/officeDocument/2006/relationships/hyperlink" Target="https://enispa.sharepoint.com/sites/Venicelaboratories-FLiNaKandFLiBecorrosion/Documenti%20condivisi/FLiNaK%20and%20FLiBe%20corrosion/3.%20Letteratura/Attivit&#224;%202023/2024_Accelerated%20formation%20of%20M2C%20carbides%20by%20proton%20irradiation%20inhibits%20molten%20salt%20corrosion%20in%20Ni-based%20alloy.pdf" TargetMode="External"/><Relationship Id="rId24" Type="http://schemas.openxmlformats.org/officeDocument/2006/relationships/hyperlink" Target="https://enispa.sharepoint.com/sites/Venicelaboratories-FLiNaKandFLiBecorrosion/Documenti%20condivisi/FLiNaK%20and%20FLiBe%20corrosion/3.%20Letteratura/Attivit&#224;%202023/2023_Pint_FY23%20Milestone%20M3RD-23OR0603031%20Measuring%20the%20Dissolution%20of%20Cr%20and%20Fe%20at%20550&#176;C-75.pdf" TargetMode="External"/><Relationship Id="rId32" Type="http://schemas.openxmlformats.org/officeDocument/2006/relationships/hyperlink" Target="https://enispa.sharepoint.com/sites/Venicelaboratories-FLiNaKandFLiBecorrosion/Documenti%20condivisi/FLiNaK%20and%20FLiBe%20corrosion/3.%20Letteratura/Attivit&#224;%202024/graphite/2021_Ai_Metallic%20impurities%20induced%20corrosion%20of%20a%20Ni-26W-6Cr%20alloy%20in%20molten.pdf" TargetMode="External"/><Relationship Id="rId37" Type="http://schemas.openxmlformats.org/officeDocument/2006/relationships/hyperlink" Target="https://enispa.sharepoint.com/sites/Venicelaboratories-FLiNaKandFLiBecorrosion/Documenti%20condivisi/FLiNaK%20and%20FLiBe%20corrosion/3.%20Letteratura/Articles%20on%20Corrosion%20(Domenico)/26)%202020_Lee_Corrosion%20performance%20of%20Ni-based%20structural%20alloys%20for%20applications.pdf" TargetMode="External"/><Relationship Id="rId40" Type="http://schemas.openxmlformats.org/officeDocument/2006/relationships/hyperlink" Target="https://enispa.sharepoint.com/sites/Venicelaboratories-FLiNaKandFLiBecorrosion/Documenti%20condivisi/FLiNaK%20and%20FLiBe%20corrosion/3.%20Letteratura/Articles%20on%20Corrosion%20(Domenico)/28)%202016_Ye_The%20high-temperature%20corrosion%20of%20Hastelloy%20N%20alloy%20(UNS%20N10003).pdf" TargetMode="External"/><Relationship Id="rId45" Type="http://schemas.openxmlformats.org/officeDocument/2006/relationships/hyperlink" Target="https://enispa.sharepoint.com/sites/Venicelaboratories-FLiNaKandFLiBecorrosion/Documenti%20condivisi/FLiNaK%20and%20FLiBe%20corrosion/3.%20Letteratura/Articles%20on%20Corrosion%20(Domenico)/11)%20Corrosion%20of%20structural%20materials%20in%20NaF-NaBF4%20molten%20salt.pdf" TargetMode="External"/><Relationship Id="rId53" Type="http://schemas.openxmlformats.org/officeDocument/2006/relationships/hyperlink" Target="https://enispa.sharepoint.com/sites/Venicelaboratories-FLiNaKandFLiBecorrosion/Documenti%20condivisi/FLiNaK%20and%20FLiBe%20corrosion/3.%20Letteratura/Articles%20on%20Corrosion%20(Domenico)/24)%20The%20inhibition%20of%20the%20interaction%20between%20CVD%20SiC%20and%20GH3535%20alloy%20in%20molten%20LiF-NaF-KF%20salt%20by%20the%20Li%20metal.pdf" TargetMode="External"/><Relationship Id="rId58" Type="http://schemas.openxmlformats.org/officeDocument/2006/relationships/hyperlink" Target="https://enispa.sharepoint.com/sites/Venicelaboratories-FLiNaKandFLiBecorrosion/Documenti%20condivisi/FLiNaK%20and%20FLiBe%20corrosion/Diagrammi%20dei%20potenziali%20di%20Ellingham%20Delta_G.pdf" TargetMode="External"/><Relationship Id="rId5" Type="http://schemas.openxmlformats.org/officeDocument/2006/relationships/hyperlink" Target="https://enispa.sharepoint.com/sites/Venicelaboratories-FLiNaKandFLiBecorrosion/Documenti%20condivisi/FLiNaK%20and%20FLiBe%20corrosion/3.%20Letteratura/Attivit&#224;%202023/2023_Effect%20of%20metallic%20ion%20products%20on%20the%20corrosion%20of%20GH3535%20Alloy%20in%20a%20Eutectin%20(Li,%20Na,%20K)%20F%20melt.pdf" TargetMode="External"/><Relationship Id="rId15" Type="http://schemas.openxmlformats.org/officeDocument/2006/relationships/hyperlink" Target="https://enispa.sharepoint.com/sites/Venicelaboratories-FLiNaKandFLiBecorrosion/Documenti%20condivisi/FLiNaK%20and%20FLiBe%20corrosion/3.%20Letteratura/Attivit&#224;%202023/2013_Ouyang_Effect%20of%20moisture%20on%20corrosion%20of%20Ni-based%20alloys%20in%20molten%20alkali%20fluoride%20FLiNaK%20salt%20environments.pdf" TargetMode="External"/><Relationship Id="rId23" Type="http://schemas.openxmlformats.org/officeDocument/2006/relationships/hyperlink" Target="https://enispa.sharepoint.com/sites/Venicelaboratories-FLiNaKandFLiBecorrosion/Documenti%20condivisi/FLiNaK%20and%20FLiBe%20corrosion/3.%20Letteratura/Attivit&#224;%202023/2016_Zheng_Corrosion-induced%20microstructural%20developments%20in%20316%20stainless%20steel%20during%20expo.pdf" TargetMode="External"/><Relationship Id="rId28" Type="http://schemas.openxmlformats.org/officeDocument/2006/relationships/hyperlink" Target="https://enispa.sharepoint.com/sites/Venicelaboratories-FLiNaKandFLiBecorrosion/Documenti%20condivisi/FLiNaK%20and%20FLiBe%20corrosion/3.%20Letteratura/Attivit&#224;%202023/2023_Pint_FY23%20Milestone%20M3RD-23OR0603032%20The%20Dissolution%20of%20Cr%20and%20Fe%20at%20850&#176;C%20in%20FLiNaK%20an.pdf" TargetMode="External"/><Relationship Id="rId36" Type="http://schemas.openxmlformats.org/officeDocument/2006/relationships/hyperlink" Target="https://enispa.sharepoint.com/sites/Venicelaboratories-FLiNaKandFLiBecorrosion/Documenti%20condivisi/FLiNaK%20and%20FLiBe%20corrosion/3.%20Letteratura/Articles%20on%20Corrosion%20(Domenico)/25)%202023_Hong_Effect%20of%20tellurium%20concentration%20on%20the%20corrosion%20and.pdf" TargetMode="External"/><Relationship Id="rId49" Type="http://schemas.openxmlformats.org/officeDocument/2006/relationships/hyperlink" Target="https://enispa.sharepoint.com/sites/Venicelaboratories-FLiNaKandFLiBecorrosion/Documenti%20condivisi/FLiNaK%20and%20FLiBe%20corrosion/3.%20Letteratura/Articles%20on%20Corrosion%20(Domenico)/33)%202012_Cheng_Zirconium%20Effect%20on%20the%20Corrosion%20Behavior%20of%20316L%20Stainless%20Steel%20Alloy%20and%20Hastelloy-N%20Superalloy%20in%20Molten%20Fluoride%20Salt.pdf" TargetMode="External"/><Relationship Id="rId57" Type="http://schemas.openxmlformats.org/officeDocument/2006/relationships/hyperlink" Target="https://enispa.sharepoint.com/sites/Venicelaboratories-FLiNaKandFLiBecorrosion/Documenti%20condivisi/FLiNaK%20and%20FLiBe%20corrosion/2023-09-AI%20for%20Fusion%20Material(s).pdf" TargetMode="External"/><Relationship Id="rId61" Type="http://schemas.openxmlformats.org/officeDocument/2006/relationships/hyperlink" Target="https://enispa.sharepoint.com/sites/Venicelaboratories-FLiNaKandFLiBecorrosion/Documenti%20condivisi/FLiNaK%20and%20FLiBe%20corrosion/3.%20Letteratura/Attivit&#224;%202024/time%20lower%20than%20240%20h/2023_Liu_Effect%20of%20O2-%20additive%20on%20the%20corrosion%20behavior%20of%20Hastelloy%20N%20alloy%20in.pdf" TargetMode="External"/><Relationship Id="rId10" Type="http://schemas.openxmlformats.org/officeDocument/2006/relationships/hyperlink" Target="https://enispa.sharepoint.com/sites/Venicelaboratories-FLiNaKandFLiBecorrosion/Documenti%20condivisi/FLiNaK%20and%20FLiBe%20corrosion/3.%20Letteratura/Attivit&#224;%202023/2023_Evaluation%20of%20Corrosion%20Behavior%20of%20Various%20Fe%20and%20Ni%20Based%20Alloys%20in%20Molten%20Li2BeF4%20FLiBe.pdf" TargetMode="External"/><Relationship Id="rId19" Type="http://schemas.openxmlformats.org/officeDocument/2006/relationships/hyperlink" Target="https://enispa.sharepoint.com/sites/Venicelaboratories-FLiNaKandFLiBecorrosion/Documenti%20condivisi/FLiNaK%20and%20FLiBe%20corrosion/3.%20Letteratura/Attivit&#224;%202023/2015_Zheng_Corrosion%20of%20316%20stainless%20steel%20in%20high%20temperature%20molten%20Li2BeF4%20(FLiBe)%20salt.pdf" TargetMode="External"/><Relationship Id="rId31" Type="http://schemas.openxmlformats.org/officeDocument/2006/relationships/hyperlink" Target="https://enispa.sharepoint.com/sites/Venicelaboratories-FLiNaKandFLiBecorrosion/Documenti%20condivisi/FLiNaK%20and%20FLiBe%20corrosion/3.%20Letteratura/Attivit&#224;%202024/time%20lower%20than%20240%20h/2023_Banerejee_Investigating%20Cr%20dealloying%20and%20Li%20ingress%20in%20NiMoCr%20alloys%20with%20diff.pdf" TargetMode="External"/><Relationship Id="rId44" Type="http://schemas.openxmlformats.org/officeDocument/2006/relationships/hyperlink" Target="https://enispa.sharepoint.com/sites/Venicelaboratories-FLiNaKandFLiBecorrosion/Documenti%20condivisi/FLiNaK%20and%20FLiBe%20corrosion/3.%20Letteratura/Articles%20on%20Corrosion%20(Domenico)/15)%202014_Sona_High%20temperature%20corrosion%20studies%20in%20molten%20salt-FLiNaK.pdf" TargetMode="External"/><Relationship Id="rId52" Type="http://schemas.openxmlformats.org/officeDocument/2006/relationships/hyperlink" Target="https://enispa.sharepoint.com/sites/Venicelaboratories-FLiNaKandFLiBecorrosion/Documenti%20condivisi/FLiNaK%20and%20FLiBe%20corrosion/3.%20Letteratura/Articles%20on%20Corrosion%20(Domenico)/36)%202013_Ignatiev_Alloys%20compatibility%20in%20molten%20salt%20fluorides.pdf" TargetMode="External"/><Relationship Id="rId60" Type="http://schemas.openxmlformats.org/officeDocument/2006/relationships/hyperlink" Target="https://enispa.sharepoint.com/sites/Venicelaboratories-FLiNaKandFLiBecorrosion/Documenti%20condivisi/FLiNaK%20and%20FLiBe%20corrosion/3.%20Letteratura/Attivit&#224;%202023/2020_%20McAlpine_Corrosion%20of%20commercial%20alloys%20in%20FLiNaK%20molten%20salt%20containing%20EuF3.pdf" TargetMode="External"/><Relationship Id="rId4" Type="http://schemas.openxmlformats.org/officeDocument/2006/relationships/hyperlink" Target="https://enispa.sharepoint.com/sites/Venicelaboratories-FLiNaKandFLiBecorrosion/Documenti%20condivisi/FLiNaK%20and%20FLiBe%20corrosion/3.%20Letteratura/Attivit&#224;%202023/2009_High%20Performance%20Corrosion%20Resistance%20of%20Nickel-Based%20Alloys%20in%20Molten%20Salt%20FLiBe.pdf" TargetMode="External"/><Relationship Id="rId9" Type="http://schemas.openxmlformats.org/officeDocument/2006/relationships/hyperlink" Target="https://enispa.sharepoint.com/sites/Venicelaboratories-FLiNaKandFLiBecorrosion/Documenti%20condivisi/FLiNaK%20and%20FLiBe%20corrosion/3.%20Letteratura/Attivit&#224;%202023/2020_Proton%20irradiation-decelerated%20intergranular%20corrosion%20of%20Ni-Cr%20alloys%20in%20molten%20salt.pdf" TargetMode="External"/><Relationship Id="rId14" Type="http://schemas.openxmlformats.org/officeDocument/2006/relationships/hyperlink" Target="https://enispa.sharepoint.com/sites/Venicelaboratories-FLiNaKandFLiBecorrosion/Documenti%20condivisi/FLiNaK%20and%20FLiBe%20corrosion/3.%20Letteratura/Attivit&#224;%202023/2023_Doniger_Corrosion%20of%20316L%20&amp;%20316H%20stainless%20steel%20in%20molten%20LiF-NaF-KF%20(FLiNaK).pdf" TargetMode="External"/><Relationship Id="rId22" Type="http://schemas.openxmlformats.org/officeDocument/2006/relationships/hyperlink" Target="https://enispa.sharepoint.com/sites/Venicelaboratories-FLiNaKandFLiBecorrosion/Documenti%20condivisi/FLiNaK%20and%20FLiBe%20corrosion/3.%20Letteratura/Attivit&#224;%202023/2009_Olson_Materials%20corrosion%20in%20molten%20LiF&#8211;NaF&#8211;KF%20salt.pdf" TargetMode="External"/><Relationship Id="rId27" Type="http://schemas.openxmlformats.org/officeDocument/2006/relationships/hyperlink" Target="https://enispa.sharepoint.com/sites/Venicelaboratories-FLiNaKandFLiBecorrosion/Documenti%20condivisi/FLiNaK%20and%20FLiBe%20corrosion/3.%20Letteratura/Attivit&#224;%202023/2023_Pint_FY23%20Milestone%20M3RD-23OR0603031%20Measuring%20the%20Dissolution%20of%20Cr%20and%20Fe%20at%20550&#176;C-75.pdf" TargetMode="External"/><Relationship Id="rId30" Type="http://schemas.openxmlformats.org/officeDocument/2006/relationships/hyperlink" Target="https://enispa.sharepoint.com/sites/Venicelaboratories-FLiNaKandFLiBecorrosion/Documenti%20condivisi/FLiNaK%20and%20FLiBe%20corrosion/3.%20Letteratura/Attivit&#224;%202024/graphite/2020_Liu_Effect%20of%20graphite%20particles%20in%20molten%20LiF-NaF-KF%20eutectic%20salt%20on%20corrosion.pdf" TargetMode="External"/><Relationship Id="rId35" Type="http://schemas.openxmlformats.org/officeDocument/2006/relationships/hyperlink" Target="https://enispa.sharepoint.com/sites/Venicelaboratories-FLiNaKandFLiBecorrosion/Documenti%20condivisi/FLiNaK%20and%20FLiBe%20corrosion/3.%20Letteratura/Attivit&#224;%202024/time%20lower%20than%20240%20h/2023_Liu_Effect%20of%20O2-%20additive%20on%20the%20corrosion%20behavior%20of%20Hastelloy%20N%20alloy%20in.pdf" TargetMode="External"/><Relationship Id="rId43" Type="http://schemas.openxmlformats.org/officeDocument/2006/relationships/hyperlink" Target="https://enispa.sharepoint.com/sites/Venicelaboratories-FLiNaKandFLiBecorrosion/Documenti%20condivisi/FLiNaK%20and%20FLiBe%20corrosion/3.%20Letteratura/Articles%20on%20Corrosion%20(Domenico)/21)%20Europium-driven%20Alloy%20709%20corrosion%20in%20static%20FLiNaK%20molten%20salt%20at%20700%20&#176;C.pdf" TargetMode="External"/><Relationship Id="rId48" Type="http://schemas.openxmlformats.org/officeDocument/2006/relationships/hyperlink" Target="https://enispa.sharepoint.com/sites/Venicelaboratories-FLiNaKandFLiBecorrosion/Documenti%20condivisi/FLiNaK%20and%20FLiBe%20corrosion/3.%20Letteratura/Articles%20on%20Corrosion%20(Domenico)/32)%202014_Qiu_Compatibility%20of%20container%20materials%20with%20Cr%20in%20molten%20FLiNaK%20salt.pdf" TargetMode="External"/><Relationship Id="rId56" Type="http://schemas.openxmlformats.org/officeDocument/2006/relationships/hyperlink" Target="https://chembook.org/page-nonav.php?chnum=1&amp;sect=5" TargetMode="External"/><Relationship Id="rId64" Type="http://schemas.openxmlformats.org/officeDocument/2006/relationships/table" Target="../tables/table1.xml"/><Relationship Id="rId8" Type="http://schemas.openxmlformats.org/officeDocument/2006/relationships/hyperlink" Target="https://enispa.sharepoint.com/sites/Venicelaboratories-FLiNaKandFLiBecorrosion/Documenti%20condivisi/FLiNaK%20and%20FLiBe%20corrosion/3.%20Letteratura/Attivit&#224;%202023/2022_FY&#8211;22%20MSR%20Milestone%20M3AT-22OR0702011%20Corrosion%20of%20316H%20Stainless%20Steel....pdf" TargetMode="External"/><Relationship Id="rId51" Type="http://schemas.openxmlformats.org/officeDocument/2006/relationships/hyperlink" Target="https://enispa.sharepoint.com/sites/Venicelaboratories-FLiNaKandFLiBecorrosion/Documenti%20condivisi/FLiNaK%20and%20FLiBe%20corrosion/3.%20Letteratura/Articles%20on%20Corrosion%20(Domenico)/35)%202013_Liu_Investigation%20on%20corrosion%20behavior%20of%20Ni-based%20alloys%20in%20molten%20fluoride.pdf" TargetMode="External"/><Relationship Id="rId3" Type="http://schemas.openxmlformats.org/officeDocument/2006/relationships/hyperlink" Target="https://enispa.sharepoint.com/sites/Venicelaboratories-FLiNaKandFLiBecorrosion/Documenti%20condivisi/FLiNaK%20and%20FLiBe%20corrosion/3.%20Letteratura/Attivit&#224;%202023/2009_kondo_Metallurgical.pdf" TargetMode="External"/><Relationship Id="rId12" Type="http://schemas.openxmlformats.org/officeDocument/2006/relationships/hyperlink" Target="https://enispa.sharepoint.com/sites/Venicelaboratories-FLiNaKandFLiBecorrosion/Documenti%20condivisi/FLiNaK%20and%20FLiBe%20corrosion/3.%20Letteratura/Attivit&#224;%202023/2015_Zheng_PhD_Corrosion%20Behavior%20of%20Alloys%20in%20Molten%20Fluoride%20Salts.pdf" TargetMode="External"/><Relationship Id="rId17" Type="http://schemas.openxmlformats.org/officeDocument/2006/relationships/hyperlink" Target="https://enispa.sharepoint.com/sites/Venicelaboratories-FLiNaKandFLiBecorrosion/Documenti%20condivisi/FLiNaK%20and%20FLiBe%20corrosion/3.%20Letteratura/Attivit&#224;%202023/2014_Ouyang_Long-term%20corrosion%20behaviors%20of%20Hastelloy-N%20and%20Hastelloy-B3%20in%20moisture....pdf" TargetMode="External"/><Relationship Id="rId25" Type="http://schemas.openxmlformats.org/officeDocument/2006/relationships/hyperlink" Target="https://enispa.sharepoint.com/sites/Venicelaboratories-FLiNaKandFLiBecorrosion/Documenti%20condivisi/FLiNaK%20and%20FLiBe%20corrosion/3.%20Letteratura/Attivit&#224;%202023/2023_Pint_FY23%20Milestone%20M3RD-23OR0603032%20The%20Dissolution%20of%20Cr%20and%20Fe%20at%20850&#176;C%20in%20FLiNaK%20an.pdf" TargetMode="External"/><Relationship Id="rId33" Type="http://schemas.openxmlformats.org/officeDocument/2006/relationships/hyperlink" Target="https://enispa.sharepoint.com/sites/Venicelaboratories-FLiNaKandFLiBecorrosion/Documenti%20condivisi/FLiNaK%20and%20FLiBe%20corrosion/3.%20Letteratura/Attivit&#224;%202024/time%20lower%20than%20240%20h/2023_Liu_Effect%20of%20O2-%20additive%20on%20the%20corrosion%20behavior%20of%20Hastelloy%20N%20alloy%20in.pdf" TargetMode="External"/><Relationship Id="rId38" Type="http://schemas.openxmlformats.org/officeDocument/2006/relationships/hyperlink" Target="https://enispa.sharepoint.com/sites/Venicelaboratories-FLiNaKandFLiBecorrosion/Documenti%20condivisi/FLiNaK%20and%20FLiBe%20corrosion/3.%20Letteratura/Articles%20on%20Corrosion%20(Domenico)/27-a)%202023_Sulejmanovic_Compatibility%20of%20316H%20in%20Static%20and%20Flowing%20FLiBe.pdf" TargetMode="External"/><Relationship Id="rId46" Type="http://schemas.openxmlformats.org/officeDocument/2006/relationships/hyperlink" Target="https://enispa.sharepoint.com/sites/Venicelaboratories-FLiNaKandFLiBecorrosion/Documenti%20condivisi/FLiNaK%20and%20FLiBe%20corrosion/3.%20Letteratura/Articles%20on%20Corrosion%20(Domenico)/10)%20Corrosion%20mechanism%20of%20cold%20forged%20316%20stainless%20steel%20in%20molten%20FLiNaK%20salt.pdf" TargetMode="External"/><Relationship Id="rId59" Type="http://schemas.openxmlformats.org/officeDocument/2006/relationships/hyperlink" Target="https://enispa.sharepoint.com/sites/Venicelaboratories-FLiNaKandFLiBecorrosion/Documenti%20condivisi/FLiNaK%20and%20FLiBe%20corrosion/3.%20Letteratura/Attivit&#224;%202023/2019_Zhou_A%20simultaneous%20corrosion-irradiation%20facility%20for%20testing%20molten%20salt-facing%20materials.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5"/>
  <sheetViews>
    <sheetView topLeftCell="A51" workbookViewId="0">
      <selection activeCell="A39" sqref="A39"/>
    </sheetView>
  </sheetViews>
  <sheetFormatPr defaultRowHeight="15" x14ac:dyDescent="0.25"/>
  <cols>
    <col min="1" max="1" width="109.5703125" bestFit="1" customWidth="1"/>
    <col min="2" max="2" width="109.5703125" style="278" customWidth="1"/>
    <col min="4" max="4" width="46.85546875" bestFit="1" customWidth="1"/>
    <col min="5" max="5" width="12.5703125" customWidth="1"/>
  </cols>
  <sheetData>
    <row r="1" spans="1:5" ht="15.75" x14ac:dyDescent="0.25">
      <c r="A1" s="247" t="s">
        <v>122</v>
      </c>
      <c r="B1" s="274"/>
      <c r="C1" s="1" t="s">
        <v>0</v>
      </c>
    </row>
    <row r="2" spans="1:5" ht="15.75" x14ac:dyDescent="0.25">
      <c r="A2" s="247" t="s">
        <v>21</v>
      </c>
      <c r="B2" s="275"/>
    </row>
    <row r="3" spans="1:5" ht="15.75" x14ac:dyDescent="0.25">
      <c r="A3" s="247" t="s">
        <v>13</v>
      </c>
      <c r="B3" s="275"/>
      <c r="D3" s="4" t="s">
        <v>1</v>
      </c>
    </row>
    <row r="4" spans="1:5" ht="15.75" x14ac:dyDescent="0.25">
      <c r="A4" s="247" t="s">
        <v>3</v>
      </c>
      <c r="B4" s="275"/>
    </row>
    <row r="5" spans="1:5" ht="15.75" x14ac:dyDescent="0.25">
      <c r="A5" s="247" t="s">
        <v>9</v>
      </c>
      <c r="B5" s="275"/>
      <c r="D5" s="2" t="s">
        <v>2</v>
      </c>
    </row>
    <row r="6" spans="1:5" ht="15.75" x14ac:dyDescent="0.25">
      <c r="A6" s="263" t="s">
        <v>124</v>
      </c>
      <c r="B6" s="276"/>
      <c r="D6" s="2" t="s">
        <v>3</v>
      </c>
    </row>
    <row r="7" spans="1:5" ht="15.75" x14ac:dyDescent="0.25">
      <c r="A7" s="247" t="s">
        <v>149</v>
      </c>
      <c r="B7" s="275"/>
      <c r="D7" s="2" t="s">
        <v>4</v>
      </c>
    </row>
    <row r="8" spans="1:5" ht="15.75" x14ac:dyDescent="0.25">
      <c r="A8" s="247" t="s">
        <v>150</v>
      </c>
      <c r="B8" s="275"/>
      <c r="D8" s="2" t="s">
        <v>5</v>
      </c>
    </row>
    <row r="9" spans="1:5" ht="15.75" x14ac:dyDescent="0.25">
      <c r="A9" s="247" t="s">
        <v>151</v>
      </c>
      <c r="B9" s="275"/>
      <c r="D9" s="2" t="s">
        <v>6</v>
      </c>
    </row>
    <row r="10" spans="1:5" ht="15.75" x14ac:dyDescent="0.25">
      <c r="A10" s="247" t="s">
        <v>152</v>
      </c>
      <c r="B10" s="275"/>
      <c r="D10" s="2" t="s">
        <v>7</v>
      </c>
    </row>
    <row r="11" spans="1:5" ht="15.75" x14ac:dyDescent="0.25">
      <c r="A11" s="247" t="s">
        <v>153</v>
      </c>
      <c r="B11" s="275"/>
      <c r="D11" s="5" t="s">
        <v>8</v>
      </c>
    </row>
    <row r="12" spans="1:5" ht="15.75" x14ac:dyDescent="0.25">
      <c r="A12" s="247" t="s">
        <v>154</v>
      </c>
      <c r="B12" s="275"/>
      <c r="D12" s="2" t="s">
        <v>9</v>
      </c>
    </row>
    <row r="13" spans="1:5" ht="15.75" x14ac:dyDescent="0.25">
      <c r="A13" s="247" t="s">
        <v>155</v>
      </c>
      <c r="B13" s="275"/>
      <c r="D13" s="5" t="s">
        <v>10</v>
      </c>
    </row>
    <row r="14" spans="1:5" ht="15.75" x14ac:dyDescent="0.25">
      <c r="A14" s="247" t="s">
        <v>156</v>
      </c>
      <c r="B14" s="275"/>
      <c r="D14" s="2" t="s">
        <v>11</v>
      </c>
      <c r="E14" t="s">
        <v>12</v>
      </c>
    </row>
    <row r="15" spans="1:5" ht="15.75" x14ac:dyDescent="0.25">
      <c r="A15" s="247" t="s">
        <v>157</v>
      </c>
      <c r="B15" s="275"/>
      <c r="D15" s="2" t="s">
        <v>13</v>
      </c>
    </row>
    <row r="16" spans="1:5" ht="15.75" x14ac:dyDescent="0.25">
      <c r="A16" s="247" t="s">
        <v>158</v>
      </c>
      <c r="B16" s="275"/>
      <c r="D16" s="2" t="s">
        <v>14</v>
      </c>
      <c r="E16" t="s">
        <v>15</v>
      </c>
    </row>
    <row r="17" spans="1:5" ht="15.75" x14ac:dyDescent="0.25">
      <c r="A17" s="247" t="s">
        <v>159</v>
      </c>
      <c r="B17" s="275"/>
      <c r="D17" s="2" t="s">
        <v>16</v>
      </c>
    </row>
    <row r="18" spans="1:5" ht="15.75" x14ac:dyDescent="0.25">
      <c r="A18" s="247" t="s">
        <v>160</v>
      </c>
      <c r="B18" s="275"/>
      <c r="D18" s="2" t="s">
        <v>17</v>
      </c>
    </row>
    <row r="19" spans="1:5" ht="15.75" x14ac:dyDescent="0.25">
      <c r="A19" s="247" t="s">
        <v>161</v>
      </c>
      <c r="B19" s="275"/>
      <c r="D19" s="2" t="s">
        <v>18</v>
      </c>
    </row>
    <row r="20" spans="1:5" ht="15.75" x14ac:dyDescent="0.25">
      <c r="A20" s="247" t="s">
        <v>162</v>
      </c>
      <c r="B20" s="275"/>
      <c r="D20" s="2" t="s">
        <v>19</v>
      </c>
    </row>
    <row r="21" spans="1:5" ht="15.75" x14ac:dyDescent="0.25">
      <c r="A21" s="247" t="s">
        <v>163</v>
      </c>
      <c r="B21" s="275"/>
      <c r="D21" s="2" t="s">
        <v>20</v>
      </c>
    </row>
    <row r="22" spans="1:5" ht="15.75" x14ac:dyDescent="0.25">
      <c r="A22" s="247" t="s">
        <v>164</v>
      </c>
      <c r="B22" s="275"/>
      <c r="D22" s="2" t="s">
        <v>21</v>
      </c>
      <c r="E22" t="s">
        <v>22</v>
      </c>
    </row>
    <row r="23" spans="1:5" ht="15.75" x14ac:dyDescent="0.25">
      <c r="A23" s="247" t="s">
        <v>165</v>
      </c>
      <c r="B23" s="275"/>
      <c r="D23" s="2" t="s">
        <v>23</v>
      </c>
    </row>
    <row r="24" spans="1:5" ht="15.75" x14ac:dyDescent="0.25">
      <c r="A24" s="247" t="s">
        <v>166</v>
      </c>
      <c r="B24" s="275"/>
      <c r="D24" s="2" t="s">
        <v>24</v>
      </c>
    </row>
    <row r="25" spans="1:5" ht="15.75" x14ac:dyDescent="0.25">
      <c r="A25" s="247" t="s">
        <v>167</v>
      </c>
      <c r="B25" s="275"/>
      <c r="D25" s="2" t="s">
        <v>25</v>
      </c>
    </row>
    <row r="26" spans="1:5" ht="15.75" x14ac:dyDescent="0.25">
      <c r="A26" s="247" t="s">
        <v>168</v>
      </c>
      <c r="B26" s="275"/>
      <c r="D26" s="2" t="s">
        <v>26</v>
      </c>
    </row>
    <row r="27" spans="1:5" ht="15.75" x14ac:dyDescent="0.25">
      <c r="A27" s="247" t="s">
        <v>169</v>
      </c>
      <c r="B27" s="275"/>
      <c r="D27" s="2" t="s">
        <v>27</v>
      </c>
      <c r="E27" t="s">
        <v>28</v>
      </c>
    </row>
    <row r="28" spans="1:5" ht="15.75" x14ac:dyDescent="0.25">
      <c r="A28" s="247" t="s">
        <v>170</v>
      </c>
      <c r="B28" s="275"/>
      <c r="D28" s="2" t="s">
        <v>29</v>
      </c>
    </row>
    <row r="29" spans="1:5" ht="15.75" x14ac:dyDescent="0.25">
      <c r="A29" s="247" t="s">
        <v>171</v>
      </c>
      <c r="B29" s="275"/>
      <c r="D29" s="2" t="s">
        <v>30</v>
      </c>
      <c r="E29" t="s">
        <v>31</v>
      </c>
    </row>
    <row r="30" spans="1:5" ht="15.75" x14ac:dyDescent="0.25">
      <c r="A30" s="247" t="s">
        <v>172</v>
      </c>
      <c r="B30" s="275"/>
      <c r="D30" s="2" t="s">
        <v>32</v>
      </c>
    </row>
    <row r="31" spans="1:5" ht="15.75" x14ac:dyDescent="0.25">
      <c r="A31" s="247" t="s">
        <v>610</v>
      </c>
      <c r="B31" s="275"/>
      <c r="D31" s="2" t="s">
        <v>33</v>
      </c>
      <c r="E31" t="s">
        <v>34</v>
      </c>
    </row>
    <row r="32" spans="1:5" ht="15.75" x14ac:dyDescent="0.25">
      <c r="A32" s="247" t="s">
        <v>611</v>
      </c>
      <c r="B32" s="275"/>
      <c r="D32" s="2" t="s">
        <v>35</v>
      </c>
    </row>
    <row r="33" spans="1:6" ht="15.75" x14ac:dyDescent="0.25">
      <c r="A33" s="248" t="s">
        <v>16</v>
      </c>
      <c r="B33" s="277"/>
      <c r="D33" s="2" t="s">
        <v>36</v>
      </c>
    </row>
    <row r="34" spans="1:6" ht="15.75" x14ac:dyDescent="0.25">
      <c r="A34" s="248" t="s">
        <v>17</v>
      </c>
      <c r="B34" s="277"/>
      <c r="D34" s="3" t="s">
        <v>37</v>
      </c>
      <c r="E34" t="s">
        <v>38</v>
      </c>
      <c r="F34" t="s">
        <v>39</v>
      </c>
    </row>
    <row r="35" spans="1:6" ht="15.75" x14ac:dyDescent="0.25">
      <c r="A35" s="248" t="s">
        <v>24</v>
      </c>
      <c r="B35" s="277"/>
    </row>
    <row r="36" spans="1:6" ht="15.75" x14ac:dyDescent="0.25">
      <c r="A36" s="247" t="s">
        <v>18</v>
      </c>
      <c r="B36" s="275"/>
    </row>
    <row r="37" spans="1:6" ht="15.75" x14ac:dyDescent="0.25">
      <c r="A37" s="247" t="s">
        <v>19</v>
      </c>
      <c r="B37" s="275"/>
    </row>
    <row r="38" spans="1:6" ht="15.75" x14ac:dyDescent="0.25">
      <c r="A38" s="247" t="s">
        <v>174</v>
      </c>
      <c r="B38" s="275"/>
    </row>
    <row r="39" spans="1:6" ht="15.75" x14ac:dyDescent="0.25">
      <c r="A39" s="247" t="s">
        <v>14</v>
      </c>
      <c r="B39" s="275"/>
    </row>
    <row r="40" spans="1:6" ht="15.75" x14ac:dyDescent="0.25">
      <c r="A40" s="247" t="s">
        <v>175</v>
      </c>
      <c r="B40" s="275"/>
    </row>
    <row r="41" spans="1:6" ht="15.75" x14ac:dyDescent="0.25">
      <c r="A41" s="247" t="s">
        <v>176</v>
      </c>
      <c r="B41" s="275"/>
    </row>
    <row r="42" spans="1:6" ht="15.75" x14ac:dyDescent="0.25">
      <c r="A42" s="247" t="s">
        <v>177</v>
      </c>
      <c r="B42" s="275"/>
    </row>
    <row r="43" spans="1:6" ht="15.75" x14ac:dyDescent="0.25">
      <c r="A43" s="247" t="s">
        <v>178</v>
      </c>
      <c r="B43" s="275"/>
    </row>
    <row r="44" spans="1:6" ht="15.75" x14ac:dyDescent="0.25">
      <c r="A44" s="247" t="s">
        <v>179</v>
      </c>
      <c r="B44" s="275"/>
    </row>
    <row r="45" spans="1:6" ht="15.75" x14ac:dyDescent="0.25">
      <c r="A45" s="247" t="s">
        <v>180</v>
      </c>
      <c r="B45" s="275"/>
    </row>
    <row r="46" spans="1:6" ht="15.75" x14ac:dyDescent="0.25">
      <c r="A46" s="247" t="s">
        <v>181</v>
      </c>
      <c r="B46" s="275"/>
    </row>
    <row r="47" spans="1:6" ht="15.75" x14ac:dyDescent="0.25">
      <c r="A47" s="247" t="s">
        <v>182</v>
      </c>
      <c r="B47" s="275"/>
    </row>
    <row r="48" spans="1:6" ht="15.75" x14ac:dyDescent="0.25">
      <c r="A48" s="247" t="s">
        <v>183</v>
      </c>
      <c r="B48" s="275"/>
    </row>
    <row r="49" spans="1:2" ht="15.75" x14ac:dyDescent="0.25">
      <c r="A49" s="247" t="s">
        <v>184</v>
      </c>
      <c r="B49" s="275"/>
    </row>
    <row r="50" spans="1:2" ht="15.75" x14ac:dyDescent="0.25">
      <c r="A50" s="247" t="s">
        <v>185</v>
      </c>
      <c r="B50" s="275"/>
    </row>
    <row r="51" spans="1:2" ht="15.75" x14ac:dyDescent="0.25">
      <c r="A51" s="247" t="s">
        <v>186</v>
      </c>
      <c r="B51" s="275"/>
    </row>
    <row r="52" spans="1:2" ht="15.75" x14ac:dyDescent="0.25">
      <c r="A52" s="247" t="s">
        <v>187</v>
      </c>
      <c r="B52" s="275"/>
    </row>
    <row r="53" spans="1:2" ht="15.75" x14ac:dyDescent="0.25">
      <c r="A53" s="247" t="s">
        <v>188</v>
      </c>
      <c r="B53" s="275"/>
    </row>
    <row r="54" spans="1:2" ht="15.75" x14ac:dyDescent="0.25">
      <c r="A54" s="247" t="s">
        <v>189</v>
      </c>
      <c r="B54" s="275"/>
    </row>
    <row r="55" spans="1:2" ht="15.75" x14ac:dyDescent="0.25">
      <c r="A55" s="247" t="s">
        <v>190</v>
      </c>
      <c r="B55" s="275"/>
    </row>
    <row r="56" spans="1:2" ht="15.75" x14ac:dyDescent="0.25">
      <c r="A56" s="247" t="s">
        <v>191</v>
      </c>
      <c r="B56" s="275"/>
    </row>
    <row r="57" spans="1:2" ht="15.75" x14ac:dyDescent="0.25">
      <c r="A57" s="247" t="s">
        <v>192</v>
      </c>
      <c r="B57" s="275"/>
    </row>
    <row r="58" spans="1:2" ht="15.75" x14ac:dyDescent="0.25">
      <c r="A58" s="247" t="s">
        <v>193</v>
      </c>
      <c r="B58" s="275"/>
    </row>
    <row r="59" spans="1:2" ht="15.75" x14ac:dyDescent="0.25">
      <c r="A59" s="247" t="s">
        <v>194</v>
      </c>
      <c r="B59" s="275"/>
    </row>
    <row r="60" spans="1:2" ht="15.75" x14ac:dyDescent="0.25">
      <c r="A60" s="247" t="s">
        <v>195</v>
      </c>
      <c r="B60" s="275"/>
    </row>
    <row r="61" spans="1:2" ht="15.75" x14ac:dyDescent="0.25">
      <c r="A61" s="247" t="s">
        <v>196</v>
      </c>
      <c r="B61" s="275"/>
    </row>
    <row r="62" spans="1:2" ht="15.75" x14ac:dyDescent="0.25">
      <c r="A62" s="247" t="s">
        <v>197</v>
      </c>
      <c r="B62" s="275"/>
    </row>
    <row r="63" spans="1:2" ht="15.75" x14ac:dyDescent="0.25">
      <c r="A63" s="247" t="s">
        <v>198</v>
      </c>
      <c r="B63" s="275"/>
    </row>
    <row r="64" spans="1:2" ht="15.75" x14ac:dyDescent="0.25">
      <c r="A64" s="247" t="s">
        <v>199</v>
      </c>
      <c r="B64" s="275"/>
    </row>
    <row r="65" spans="1:2" ht="15.75" x14ac:dyDescent="0.25">
      <c r="A65" s="247" t="s">
        <v>200</v>
      </c>
      <c r="B65" s="275"/>
    </row>
    <row r="66" spans="1:2" ht="15.75" x14ac:dyDescent="0.25">
      <c r="A66" s="247" t="s">
        <v>201</v>
      </c>
      <c r="B66" s="275"/>
    </row>
    <row r="67" spans="1:2" ht="15.75" x14ac:dyDescent="0.25">
      <c r="A67" s="247" t="s">
        <v>202</v>
      </c>
      <c r="B67" s="275"/>
    </row>
    <row r="68" spans="1:2" ht="15.75" x14ac:dyDescent="0.25">
      <c r="A68" s="247" t="s">
        <v>203</v>
      </c>
      <c r="B68" s="275"/>
    </row>
    <row r="69" spans="1:2" ht="15.75" x14ac:dyDescent="0.25">
      <c r="A69" s="247" t="s">
        <v>204</v>
      </c>
      <c r="B69" s="275"/>
    </row>
    <row r="70" spans="1:2" ht="15.75" x14ac:dyDescent="0.25">
      <c r="A70" s="247" t="s">
        <v>205</v>
      </c>
      <c r="B70" s="275"/>
    </row>
    <row r="71" spans="1:2" ht="15.75" x14ac:dyDescent="0.25">
      <c r="A71" s="247" t="s">
        <v>206</v>
      </c>
      <c r="B71" s="275"/>
    </row>
    <row r="72" spans="1:2" ht="15.75" x14ac:dyDescent="0.25">
      <c r="A72" s="247" t="s">
        <v>207</v>
      </c>
      <c r="B72" s="275"/>
    </row>
    <row r="73" spans="1:2" ht="15.75" x14ac:dyDescent="0.25">
      <c r="A73" s="247" t="s">
        <v>208</v>
      </c>
      <c r="B73" s="275"/>
    </row>
    <row r="74" spans="1:2" ht="15.75" x14ac:dyDescent="0.25">
      <c r="A74" s="247" t="s">
        <v>209</v>
      </c>
      <c r="B74" s="275"/>
    </row>
    <row r="75" spans="1:2" ht="15.75" x14ac:dyDescent="0.25">
      <c r="A75" s="247" t="s">
        <v>210</v>
      </c>
      <c r="B75" s="275"/>
    </row>
    <row r="76" spans="1:2" ht="15.75" x14ac:dyDescent="0.25">
      <c r="A76" s="247" t="s">
        <v>211</v>
      </c>
      <c r="B76" s="275"/>
    </row>
    <row r="77" spans="1:2" ht="15.75" x14ac:dyDescent="0.25">
      <c r="A77" s="247" t="s">
        <v>212</v>
      </c>
      <c r="B77" s="275"/>
    </row>
    <row r="78" spans="1:2" ht="15.75" x14ac:dyDescent="0.25">
      <c r="A78" s="247" t="s">
        <v>213</v>
      </c>
      <c r="B78" s="275"/>
    </row>
    <row r="79" spans="1:2" ht="15.75" x14ac:dyDescent="0.25">
      <c r="A79" s="247" t="s">
        <v>214</v>
      </c>
      <c r="B79" s="275"/>
    </row>
    <row r="80" spans="1:2" ht="15.75" x14ac:dyDescent="0.25">
      <c r="A80" s="247" t="s">
        <v>215</v>
      </c>
      <c r="B80" s="275"/>
    </row>
    <row r="81" spans="1:2" ht="15.75" x14ac:dyDescent="0.25">
      <c r="A81" s="247" t="s">
        <v>11</v>
      </c>
      <c r="B81" s="275"/>
    </row>
    <row r="82" spans="1:2" ht="15.75" x14ac:dyDescent="0.25">
      <c r="A82" s="247" t="s">
        <v>216</v>
      </c>
      <c r="B82" s="275"/>
    </row>
    <row r="83" spans="1:2" ht="15.75" x14ac:dyDescent="0.25">
      <c r="A83" s="247" t="s">
        <v>217</v>
      </c>
      <c r="B83" s="275"/>
    </row>
    <row r="84" spans="1:2" ht="15.75" x14ac:dyDescent="0.25">
      <c r="A84" s="247" t="s">
        <v>218</v>
      </c>
      <c r="B84" s="275"/>
    </row>
    <row r="85" spans="1:2" ht="15.75" x14ac:dyDescent="0.25">
      <c r="A85" s="247" t="s">
        <v>875</v>
      </c>
      <c r="B85" s="275"/>
    </row>
  </sheetData>
  <hyperlinks>
    <hyperlink ref="D3" r:id="rId1" xr:uid="{2A8685AA-4413-44BE-8461-5212260C6756}"/>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8910-7B80-44CF-9F43-3E45E4399055}">
  <dimension ref="D1:AG57"/>
  <sheetViews>
    <sheetView zoomScale="70" zoomScaleNormal="70" workbookViewId="0">
      <selection activeCell="I12" sqref="I12"/>
    </sheetView>
  </sheetViews>
  <sheetFormatPr defaultRowHeight="15" x14ac:dyDescent="0.25"/>
  <cols>
    <col min="1" max="6" width="9.140625" style="25"/>
    <col min="7" max="7" width="11.140625" style="25" bestFit="1" customWidth="1"/>
    <col min="8" max="9" width="9.140625" style="25"/>
    <col min="10" max="10" width="10.42578125" style="25" customWidth="1"/>
    <col min="11" max="11" width="9.140625" style="25"/>
    <col min="12" max="12" width="19.5703125" style="25" bestFit="1" customWidth="1"/>
    <col min="13" max="13" width="20.5703125" style="25" bestFit="1" customWidth="1"/>
    <col min="14" max="14" width="19.140625" style="25" bestFit="1" customWidth="1"/>
    <col min="15" max="16" width="17.42578125" style="25" bestFit="1" customWidth="1"/>
    <col min="17" max="17" width="4.5703125" style="25" bestFit="1" customWidth="1"/>
    <col min="18" max="18" width="10.5703125" style="25" bestFit="1" customWidth="1"/>
    <col min="19" max="19" width="20.5703125" style="25" bestFit="1" customWidth="1"/>
    <col min="20" max="20" width="19.140625" style="25" bestFit="1" customWidth="1"/>
    <col min="21" max="21" width="2.5703125" style="25" bestFit="1" customWidth="1"/>
    <col min="22" max="16384" width="9.140625" style="25"/>
  </cols>
  <sheetData>
    <row r="1" spans="11:15" ht="15.75" thickBot="1" x14ac:dyDescent="0.3"/>
    <row r="2" spans="11:15" ht="15" customHeight="1" x14ac:dyDescent="0.25">
      <c r="K2" s="296" t="s">
        <v>40</v>
      </c>
      <c r="L2" s="297"/>
      <c r="M2" s="297"/>
      <c r="N2" s="297"/>
      <c r="O2" s="298"/>
    </row>
    <row r="3" spans="11:15" ht="15.75" thickBot="1" x14ac:dyDescent="0.3">
      <c r="K3" s="299" t="s">
        <v>41</v>
      </c>
      <c r="L3" s="300"/>
      <c r="M3" s="300"/>
      <c r="N3" s="300"/>
      <c r="O3" s="301"/>
    </row>
    <row r="4" spans="11:15" x14ac:dyDescent="0.25">
      <c r="K4" s="310" t="s">
        <v>42</v>
      </c>
      <c r="L4" s="311"/>
      <c r="M4" s="311"/>
      <c r="N4" s="311"/>
      <c r="O4" s="312"/>
    </row>
    <row r="5" spans="11:15" ht="15" customHeight="1" thickBot="1" x14ac:dyDescent="0.3">
      <c r="K5" s="313"/>
      <c r="L5" s="314"/>
      <c r="M5" s="314"/>
      <c r="N5" s="314"/>
      <c r="O5" s="315"/>
    </row>
    <row r="6" spans="11:15" ht="15.75" thickBot="1" x14ac:dyDescent="0.3">
      <c r="K6" s="85" t="s">
        <v>43</v>
      </c>
      <c r="L6" s="92" t="s">
        <v>44</v>
      </c>
      <c r="M6" s="94" t="s">
        <v>45</v>
      </c>
      <c r="N6" s="86" t="s">
        <v>46</v>
      </c>
      <c r="O6" s="87" t="s">
        <v>47</v>
      </c>
    </row>
    <row r="7" spans="11:15" x14ac:dyDescent="0.25">
      <c r="K7" s="10" t="s">
        <v>48</v>
      </c>
      <c r="L7" s="115" t="s">
        <v>49</v>
      </c>
      <c r="M7" s="113">
        <v>2.0000000000000002E-5</v>
      </c>
      <c r="N7" s="11">
        <v>-3.073852</v>
      </c>
      <c r="O7" s="88"/>
    </row>
    <row r="8" spans="11:15" x14ac:dyDescent="0.25">
      <c r="K8" s="13" t="s">
        <v>50</v>
      </c>
      <c r="L8" s="116" t="s">
        <v>51</v>
      </c>
      <c r="M8" s="40">
        <v>-7.8999999999999996E-5</v>
      </c>
      <c r="N8" s="14">
        <v>-3.8814519999999999</v>
      </c>
      <c r="O8" s="89" t="s">
        <v>52</v>
      </c>
    </row>
    <row r="9" spans="11:15" x14ac:dyDescent="0.25">
      <c r="K9" s="8" t="s">
        <v>50</v>
      </c>
      <c r="L9" s="117" t="s">
        <v>53</v>
      </c>
      <c r="M9" s="39">
        <v>2.5900000000000001E-4</v>
      </c>
      <c r="N9" s="16">
        <v>-3.7205590000000002</v>
      </c>
      <c r="O9" s="90" t="s">
        <v>54</v>
      </c>
    </row>
    <row r="10" spans="11:15" x14ac:dyDescent="0.25">
      <c r="K10" s="13" t="s">
        <v>55</v>
      </c>
      <c r="L10" s="116" t="s">
        <v>56</v>
      </c>
      <c r="M10" s="40">
        <v>1.2E-4</v>
      </c>
      <c r="N10" s="14">
        <v>-2.5182980000000001</v>
      </c>
      <c r="O10" s="89" t="s">
        <v>52</v>
      </c>
    </row>
    <row r="11" spans="11:15" x14ac:dyDescent="0.25">
      <c r="K11" s="8" t="s">
        <v>55</v>
      </c>
      <c r="L11" s="117" t="s">
        <v>57</v>
      </c>
      <c r="M11" s="39">
        <v>2.7900000000000001E-4</v>
      </c>
      <c r="N11" s="16">
        <v>-2.605788</v>
      </c>
      <c r="O11" s="90" t="s">
        <v>54</v>
      </c>
    </row>
    <row r="12" spans="11:15" x14ac:dyDescent="0.25">
      <c r="K12" s="13" t="s">
        <v>58</v>
      </c>
      <c r="L12" s="116" t="s">
        <v>59</v>
      </c>
      <c r="M12" s="40">
        <v>-1.2E-4</v>
      </c>
      <c r="N12" s="14">
        <v>-3.4161679999999999</v>
      </c>
      <c r="O12" s="89" t="s">
        <v>52</v>
      </c>
    </row>
    <row r="13" spans="11:15" x14ac:dyDescent="0.25">
      <c r="K13" s="8" t="s">
        <v>58</v>
      </c>
      <c r="L13" s="117" t="s">
        <v>60</v>
      </c>
      <c r="M13" s="39">
        <v>2.7999999999999998E-4</v>
      </c>
      <c r="N13" s="16">
        <v>-3.3069489999999999</v>
      </c>
      <c r="O13" s="90" t="s">
        <v>54</v>
      </c>
    </row>
    <row r="14" spans="11:15" x14ac:dyDescent="0.25">
      <c r="K14" s="13" t="s">
        <v>61</v>
      </c>
      <c r="L14" s="116" t="s">
        <v>62</v>
      </c>
      <c r="M14" s="40">
        <v>3.19E-4</v>
      </c>
      <c r="N14" s="14">
        <v>-2.8972060000000002</v>
      </c>
      <c r="O14" s="89"/>
    </row>
    <row r="15" spans="11:15" x14ac:dyDescent="0.25">
      <c r="K15" s="8" t="s">
        <v>63</v>
      </c>
      <c r="L15" s="117" t="s">
        <v>64</v>
      </c>
      <c r="M15" s="39">
        <v>-6.0000000000000002E-5</v>
      </c>
      <c r="N15" s="16">
        <v>-3.2094079999999998</v>
      </c>
      <c r="O15" s="90"/>
    </row>
    <row r="16" spans="11:15" x14ac:dyDescent="0.25">
      <c r="K16" s="13" t="s">
        <v>65</v>
      </c>
      <c r="L16" s="116" t="s">
        <v>66</v>
      </c>
      <c r="M16" s="40">
        <v>-2.0000000000000002E-5</v>
      </c>
      <c r="N16" s="14">
        <v>-4.2733670000000004</v>
      </c>
      <c r="O16" s="89"/>
    </row>
    <row r="17" spans="5:33" x14ac:dyDescent="0.25">
      <c r="K17" s="8" t="s">
        <v>67</v>
      </c>
      <c r="L17" s="117" t="s">
        <v>68</v>
      </c>
      <c r="M17" s="39">
        <v>4.5899999999999999E-4</v>
      </c>
      <c r="N17" s="16">
        <v>-4.872255</v>
      </c>
      <c r="O17" s="90"/>
    </row>
    <row r="18" spans="5:33" x14ac:dyDescent="0.25">
      <c r="K18" s="13" t="s">
        <v>69</v>
      </c>
      <c r="L18" s="116" t="s">
        <v>70</v>
      </c>
      <c r="M18" s="40">
        <v>3.9899999999999999E-4</v>
      </c>
      <c r="N18" s="14">
        <v>-4.1207580000000004</v>
      </c>
      <c r="O18" s="89"/>
    </row>
    <row r="19" spans="5:33" x14ac:dyDescent="0.25">
      <c r="K19" s="8" t="s">
        <v>71</v>
      </c>
      <c r="L19" s="117" t="s">
        <v>72</v>
      </c>
      <c r="M19" s="39">
        <v>4.0099999999999999E-4</v>
      </c>
      <c r="N19" s="16">
        <v>-4.6609499999999997</v>
      </c>
      <c r="O19" s="90"/>
    </row>
    <row r="20" spans="5:33" x14ac:dyDescent="0.25">
      <c r="K20" s="13" t="s">
        <v>73</v>
      </c>
      <c r="L20" s="116" t="s">
        <v>74</v>
      </c>
      <c r="M20" s="40">
        <v>6.1899999999999998E-4</v>
      </c>
      <c r="N20" s="14">
        <v>-5.097804</v>
      </c>
      <c r="O20" s="89" t="s">
        <v>75</v>
      </c>
    </row>
    <row r="21" spans="5:33" x14ac:dyDescent="0.25">
      <c r="K21" s="8" t="s">
        <v>76</v>
      </c>
      <c r="L21" s="117" t="s">
        <v>77</v>
      </c>
      <c r="M21" s="39">
        <v>7.2199999999999999E-4</v>
      </c>
      <c r="N21" s="16">
        <v>-4.6747199999999998</v>
      </c>
      <c r="O21" s="90">
        <v>5.0000000000000001E-3</v>
      </c>
    </row>
    <row r="22" spans="5:33" x14ac:dyDescent="0.25">
      <c r="K22" s="13" t="s">
        <v>76</v>
      </c>
      <c r="L22" s="116" t="s">
        <v>78</v>
      </c>
      <c r="M22" s="40">
        <v>9.5600000000000004E-4</v>
      </c>
      <c r="N22" s="14">
        <v>-4.651249</v>
      </c>
      <c r="O22" s="89">
        <v>0.05</v>
      </c>
    </row>
    <row r="23" spans="5:33" x14ac:dyDescent="0.25">
      <c r="K23" s="8" t="s">
        <v>79</v>
      </c>
      <c r="L23" s="117" t="s">
        <v>80</v>
      </c>
      <c r="M23" s="39">
        <v>-8.1999999999999998E-4</v>
      </c>
      <c r="N23" s="16">
        <v>-3.0914109999999999</v>
      </c>
      <c r="O23" s="90"/>
    </row>
    <row r="24" spans="5:33" x14ac:dyDescent="0.25">
      <c r="K24" s="13" t="s">
        <v>81</v>
      </c>
      <c r="L24" s="116" t="s">
        <v>82</v>
      </c>
      <c r="M24" s="40">
        <v>7.4100000000000001E-4</v>
      </c>
      <c r="N24" s="14">
        <v>-5.422714</v>
      </c>
      <c r="O24" s="89" t="s">
        <v>83</v>
      </c>
    </row>
    <row r="25" spans="5:33" x14ac:dyDescent="0.25">
      <c r="K25" s="8" t="s">
        <v>84</v>
      </c>
      <c r="L25" s="117" t="s">
        <v>85</v>
      </c>
      <c r="M25" s="39">
        <v>6.1899999999999998E-4</v>
      </c>
      <c r="N25" s="16">
        <v>-6.0259479999999996</v>
      </c>
      <c r="O25" s="90" t="s">
        <v>75</v>
      </c>
    </row>
    <row r="26" spans="5:33" x14ac:dyDescent="0.25">
      <c r="K26" s="13" t="s">
        <v>84</v>
      </c>
      <c r="L26" s="116" t="s">
        <v>86</v>
      </c>
      <c r="M26" s="40">
        <v>7.0100000000000002E-4</v>
      </c>
      <c r="N26" s="14">
        <v>-5.9395930000000003</v>
      </c>
      <c r="O26" s="89" t="s">
        <v>83</v>
      </c>
    </row>
    <row r="27" spans="5:33" x14ac:dyDescent="0.25">
      <c r="K27" s="8" t="s">
        <v>84</v>
      </c>
      <c r="L27" s="117" t="s">
        <v>87</v>
      </c>
      <c r="M27" s="39">
        <v>7.4100000000000001E-4</v>
      </c>
      <c r="N27" s="16">
        <v>-5.9197199999999999</v>
      </c>
      <c r="O27" s="90" t="s">
        <v>88</v>
      </c>
    </row>
    <row r="28" spans="5:33" ht="15.75" thickBot="1" x14ac:dyDescent="0.3">
      <c r="K28" s="21" t="s">
        <v>89</v>
      </c>
      <c r="L28" s="118" t="s">
        <v>90</v>
      </c>
      <c r="M28" s="114">
        <v>6.6100000000000002E-4</v>
      </c>
      <c r="N28" s="22">
        <v>-5.4864129999999998</v>
      </c>
      <c r="O28" s="91" t="s">
        <v>83</v>
      </c>
    </row>
    <row r="29" spans="5:33" ht="15.75" thickBot="1" x14ac:dyDescent="0.3">
      <c r="M29" s="41"/>
      <c r="N29" s="41"/>
      <c r="O29" s="107"/>
    </row>
    <row r="30" spans="5:33" ht="15.75" thickBot="1" x14ac:dyDescent="0.3">
      <c r="E30" s="316" t="s">
        <v>91</v>
      </c>
      <c r="F30" s="317"/>
      <c r="G30" s="317"/>
      <c r="H30" s="317"/>
      <c r="I30" s="318"/>
    </row>
    <row r="31" spans="5:33" ht="15.75" thickBot="1" x14ac:dyDescent="0.3">
      <c r="E31" s="302" t="s">
        <v>92</v>
      </c>
      <c r="F31" s="303"/>
      <c r="G31" s="303"/>
      <c r="H31" s="303"/>
      <c r="I31" s="304"/>
      <c r="K31" s="319" t="s">
        <v>93</v>
      </c>
      <c r="L31" s="320"/>
      <c r="M31" s="320"/>
      <c r="N31" s="320"/>
      <c r="O31" s="321"/>
    </row>
    <row r="32" spans="5:33" ht="15.75" thickBot="1" x14ac:dyDescent="0.3">
      <c r="E32" s="305"/>
      <c r="F32" s="306"/>
      <c r="G32" s="306"/>
      <c r="H32" s="306"/>
      <c r="I32" s="307"/>
      <c r="K32" s="322"/>
      <c r="L32" s="323"/>
      <c r="M32" s="323"/>
      <c r="N32" s="323"/>
      <c r="O32" s="324"/>
      <c r="AC32" s="302" t="s">
        <v>92</v>
      </c>
      <c r="AD32" s="303"/>
      <c r="AE32" s="303"/>
      <c r="AF32" s="303"/>
      <c r="AG32" s="304"/>
    </row>
    <row r="33" spans="4:33" ht="15.75" thickBot="1" x14ac:dyDescent="0.3">
      <c r="E33" s="85" t="s">
        <v>43</v>
      </c>
      <c r="F33" s="87" t="s">
        <v>44</v>
      </c>
      <c r="G33" s="94" t="s">
        <v>94</v>
      </c>
      <c r="H33" s="67" t="s">
        <v>95</v>
      </c>
      <c r="I33" s="93" t="s">
        <v>96</v>
      </c>
      <c r="K33" s="85" t="s">
        <v>43</v>
      </c>
      <c r="L33" s="87" t="s">
        <v>44</v>
      </c>
      <c r="M33" s="94" t="s">
        <v>45</v>
      </c>
      <c r="N33" s="86" t="s">
        <v>46</v>
      </c>
      <c r="O33" s="96" t="s">
        <v>97</v>
      </c>
      <c r="AC33" s="305"/>
      <c r="AD33" s="306"/>
      <c r="AE33" s="306"/>
      <c r="AF33" s="306"/>
      <c r="AG33" s="307"/>
    </row>
    <row r="34" spans="4:33" ht="15" customHeight="1" thickBot="1" x14ac:dyDescent="0.3">
      <c r="D34" s="325">
        <v>4</v>
      </c>
      <c r="E34" s="308" t="s">
        <v>98</v>
      </c>
      <c r="F34" s="309" t="s">
        <v>99</v>
      </c>
      <c r="G34" s="108">
        <v>1</v>
      </c>
      <c r="H34" s="119">
        <v>0</v>
      </c>
      <c r="I34" s="120">
        <v>-185.39</v>
      </c>
      <c r="K34" s="10" t="s">
        <v>98</v>
      </c>
      <c r="L34" s="12" t="s">
        <v>99</v>
      </c>
      <c r="M34" s="113">
        <f>(I35-I34)/(H35-H34)</f>
        <v>1.6836277008441886E-2</v>
      </c>
      <c r="N34" s="11">
        <f>(I34*H35-I35*H34)/(H35-H34)</f>
        <v>-185.39000000000001</v>
      </c>
      <c r="O34" s="36">
        <v>4</v>
      </c>
      <c r="AC34" s="85" t="s">
        <v>43</v>
      </c>
      <c r="AD34" s="87" t="s">
        <v>44</v>
      </c>
      <c r="AE34" s="94" t="s">
        <v>94</v>
      </c>
      <c r="AF34" s="67" t="s">
        <v>95</v>
      </c>
      <c r="AG34" s="93" t="s">
        <v>96</v>
      </c>
    </row>
    <row r="35" spans="4:33" x14ac:dyDescent="0.25">
      <c r="D35" s="325"/>
      <c r="E35" s="282"/>
      <c r="F35" s="284"/>
      <c r="G35" s="109">
        <v>2</v>
      </c>
      <c r="H35" s="121">
        <v>1683.27</v>
      </c>
      <c r="I35" s="122">
        <v>-157.05000000000001</v>
      </c>
      <c r="K35" s="13" t="s">
        <v>100</v>
      </c>
      <c r="L35" s="15" t="s">
        <v>101</v>
      </c>
      <c r="M35" s="40">
        <f>(I37-I36)/(H37-H36)</f>
        <v>1.8074999999999997E-2</v>
      </c>
      <c r="N35" s="14">
        <f>(I36*H37-I37*H36)/(H37-H36)</f>
        <v>-81.13</v>
      </c>
      <c r="O35" s="38">
        <v>4</v>
      </c>
      <c r="AC35" s="308" t="s">
        <v>98</v>
      </c>
      <c r="AD35" s="309" t="s">
        <v>99</v>
      </c>
      <c r="AE35" s="108">
        <v>1</v>
      </c>
      <c r="AF35" s="98">
        <v>0</v>
      </c>
      <c r="AG35" s="102">
        <v>-184.65</v>
      </c>
    </row>
    <row r="36" spans="4:33" ht="15" customHeight="1" x14ac:dyDescent="0.25">
      <c r="D36" s="325">
        <v>1</v>
      </c>
      <c r="E36" s="289" t="s">
        <v>100</v>
      </c>
      <c r="F36" s="291" t="s">
        <v>101</v>
      </c>
      <c r="G36" s="110">
        <v>1</v>
      </c>
      <c r="H36" s="123">
        <v>0</v>
      </c>
      <c r="I36" s="124">
        <v>-81.13</v>
      </c>
      <c r="K36" s="8" t="s">
        <v>102</v>
      </c>
      <c r="L36" s="17" t="s">
        <v>103</v>
      </c>
      <c r="M36" s="39">
        <f>(I39-I38)/(H39-H38)</f>
        <v>3.1766666666666672E-2</v>
      </c>
      <c r="N36" s="16">
        <f>(I38*H39-I39*H38)/(H39-H38)</f>
        <v>-127</v>
      </c>
      <c r="O36" s="37">
        <v>2</v>
      </c>
      <c r="AC36" s="282"/>
      <c r="AD36" s="284"/>
      <c r="AE36" s="109">
        <v>2</v>
      </c>
      <c r="AF36" s="99">
        <v>2400</v>
      </c>
      <c r="AG36" s="103">
        <v>-142.4</v>
      </c>
    </row>
    <row r="37" spans="4:33" x14ac:dyDescent="0.25">
      <c r="D37" s="325"/>
      <c r="E37" s="290"/>
      <c r="F37" s="292"/>
      <c r="G37" s="109">
        <v>2</v>
      </c>
      <c r="H37" s="121">
        <v>2400</v>
      </c>
      <c r="I37" s="122">
        <v>-37.75</v>
      </c>
      <c r="K37" s="13" t="s">
        <v>104</v>
      </c>
      <c r="L37" s="15" t="s">
        <v>105</v>
      </c>
      <c r="M37" s="40">
        <f>(I41-I40)/(H41-H40)</f>
        <v>2.1410506196110731E-2</v>
      </c>
      <c r="N37" s="14">
        <f>(I40*H41-I41*H40)/(H41-H40)</f>
        <v>-167.17521487066577</v>
      </c>
      <c r="O37" s="38">
        <v>5</v>
      </c>
      <c r="AC37" s="289" t="s">
        <v>100</v>
      </c>
      <c r="AD37" s="291" t="s">
        <v>101</v>
      </c>
      <c r="AE37" s="110">
        <v>1</v>
      </c>
      <c r="AF37" s="97">
        <v>0</v>
      </c>
      <c r="AG37" s="104">
        <v>-81.739999999999995</v>
      </c>
    </row>
    <row r="38" spans="4:33" x14ac:dyDescent="0.25">
      <c r="D38" s="325">
        <v>2</v>
      </c>
      <c r="E38" s="293" t="s">
        <v>102</v>
      </c>
      <c r="F38" s="294" t="s">
        <v>103</v>
      </c>
      <c r="G38" s="110">
        <v>1</v>
      </c>
      <c r="H38" s="123">
        <v>0</v>
      </c>
      <c r="I38" s="124">
        <v>-127</v>
      </c>
      <c r="K38" s="8" t="s">
        <v>106</v>
      </c>
      <c r="L38" s="17" t="s">
        <v>107</v>
      </c>
      <c r="M38" s="39">
        <f>(I43-I42)/(H43-H42)</f>
        <v>3.7427694065557376E-2</v>
      </c>
      <c r="N38" s="16">
        <f>(I42*H43-I43*H42)/(H43-H42)</f>
        <v>-189.93999999999997</v>
      </c>
      <c r="O38" s="37">
        <v>3</v>
      </c>
      <c r="AC38" s="290"/>
      <c r="AD38" s="292"/>
      <c r="AE38" s="109">
        <v>2</v>
      </c>
      <c r="AF38" s="99">
        <v>2400</v>
      </c>
      <c r="AG38" s="103">
        <v>-36</v>
      </c>
    </row>
    <row r="39" spans="4:33" x14ac:dyDescent="0.25">
      <c r="D39" s="325"/>
      <c r="E39" s="282"/>
      <c r="F39" s="284"/>
      <c r="G39" s="109">
        <v>2</v>
      </c>
      <c r="H39" s="121">
        <v>1200</v>
      </c>
      <c r="I39" s="122">
        <v>-88.88</v>
      </c>
      <c r="K39" s="13" t="s">
        <v>108</v>
      </c>
      <c r="L39" s="15" t="s">
        <v>109</v>
      </c>
      <c r="M39" s="40"/>
      <c r="N39" s="14"/>
      <c r="O39" s="38">
        <v>3</v>
      </c>
      <c r="AC39" s="293" t="s">
        <v>102</v>
      </c>
      <c r="AD39" s="294" t="s">
        <v>103</v>
      </c>
      <c r="AE39" s="110">
        <v>1</v>
      </c>
      <c r="AF39" s="97">
        <v>0</v>
      </c>
      <c r="AG39" s="104">
        <v>-127.6</v>
      </c>
    </row>
    <row r="40" spans="4:33" x14ac:dyDescent="0.25">
      <c r="D40" s="325">
        <v>3</v>
      </c>
      <c r="E40" s="289" t="s">
        <v>104</v>
      </c>
      <c r="F40" s="291" t="s">
        <v>105</v>
      </c>
      <c r="G40" s="110">
        <v>1</v>
      </c>
      <c r="H40" s="123">
        <v>506.07</v>
      </c>
      <c r="I40" s="124">
        <v>-156.34</v>
      </c>
      <c r="K40" s="8" t="s">
        <v>110</v>
      </c>
      <c r="L40" s="17" t="s">
        <v>111</v>
      </c>
      <c r="M40" s="39">
        <f>(I47-I46)/(H47-H46)</f>
        <v>3.327819451177156E-2</v>
      </c>
      <c r="N40" s="16">
        <f>(I46*H47-I47*H46)/(H47-H46)</f>
        <v>-86.61</v>
      </c>
      <c r="O40" s="37">
        <v>6</v>
      </c>
      <c r="AC40" s="282"/>
      <c r="AD40" s="284"/>
      <c r="AE40" s="109">
        <v>2</v>
      </c>
      <c r="AF40" s="99">
        <v>1203.9100000000001</v>
      </c>
      <c r="AG40" s="103">
        <v>-89.56</v>
      </c>
    </row>
    <row r="41" spans="4:33" x14ac:dyDescent="0.25">
      <c r="D41" s="325"/>
      <c r="E41" s="290"/>
      <c r="F41" s="292"/>
      <c r="G41" s="109">
        <v>2</v>
      </c>
      <c r="H41" s="121">
        <v>2400</v>
      </c>
      <c r="I41" s="122">
        <v>-115.79</v>
      </c>
      <c r="K41" s="13" t="s">
        <v>112</v>
      </c>
      <c r="L41" s="15" t="s">
        <v>113</v>
      </c>
      <c r="M41" s="40">
        <f>(I49-I48)/(H49-H48)</f>
        <v>9.9782608695652125E-3</v>
      </c>
      <c r="N41" s="14">
        <f>(I48*H49-I49*H48)/(H49-H48)</f>
        <v>-183</v>
      </c>
      <c r="O41" s="38">
        <v>3</v>
      </c>
      <c r="AC41" s="289" t="s">
        <v>104</v>
      </c>
      <c r="AD41" s="291" t="s">
        <v>105</v>
      </c>
      <c r="AE41" s="110">
        <v>1</v>
      </c>
      <c r="AF41" s="97">
        <v>504.9</v>
      </c>
      <c r="AG41" s="104">
        <v>-163.98</v>
      </c>
    </row>
    <row r="42" spans="4:33" x14ac:dyDescent="0.25">
      <c r="D42" s="325">
        <v>5</v>
      </c>
      <c r="E42" s="281" t="s">
        <v>106</v>
      </c>
      <c r="F42" s="283" t="s">
        <v>107</v>
      </c>
      <c r="G42" s="111">
        <v>1</v>
      </c>
      <c r="H42" s="125">
        <v>0</v>
      </c>
      <c r="I42" s="126">
        <v>-189.94</v>
      </c>
      <c r="K42" s="8" t="s">
        <v>114</v>
      </c>
      <c r="L42" s="17" t="s">
        <v>115</v>
      </c>
      <c r="M42" s="39">
        <f>(I51-I50)/(H51-H50)</f>
        <v>3.6122279660476077E-2</v>
      </c>
      <c r="N42" s="16">
        <f>(I50*H51-I51*H50)/(H51-H50)</f>
        <v>-257.34700491416169</v>
      </c>
      <c r="O42" s="37">
        <v>2</v>
      </c>
      <c r="AC42" s="290"/>
      <c r="AD42" s="292"/>
      <c r="AE42" s="109">
        <v>2</v>
      </c>
      <c r="AF42" s="99">
        <v>2400</v>
      </c>
      <c r="AG42" s="103">
        <v>-125.7</v>
      </c>
    </row>
    <row r="43" spans="4:33" x14ac:dyDescent="0.25">
      <c r="D43" s="325"/>
      <c r="E43" s="282"/>
      <c r="F43" s="284"/>
      <c r="G43" s="109">
        <v>2</v>
      </c>
      <c r="H43" s="121">
        <v>1400.3</v>
      </c>
      <c r="I43" s="122">
        <v>-137.53</v>
      </c>
      <c r="K43" s="13" t="s">
        <v>116</v>
      </c>
      <c r="L43" s="15" t="s">
        <v>117</v>
      </c>
      <c r="M43" s="40">
        <f>(I53-I52)/(H53-H52)</f>
        <v>3.4065311924063729E-2</v>
      </c>
      <c r="N43" s="14">
        <f>(I52*H53-I53*H52)/(H53-H52)</f>
        <v>-264.58</v>
      </c>
      <c r="O43" s="38">
        <v>3</v>
      </c>
      <c r="AC43" s="281" t="s">
        <v>106</v>
      </c>
      <c r="AD43" s="283" t="s">
        <v>107</v>
      </c>
      <c r="AE43" s="111">
        <v>1</v>
      </c>
      <c r="AF43" s="100">
        <v>0</v>
      </c>
      <c r="AG43" s="105">
        <v>-189.6</v>
      </c>
    </row>
    <row r="44" spans="4:33" x14ac:dyDescent="0.25">
      <c r="D44" s="325">
        <v>3</v>
      </c>
      <c r="E44" s="289" t="s">
        <v>108</v>
      </c>
      <c r="F44" s="291" t="s">
        <v>109</v>
      </c>
      <c r="G44" s="110">
        <v>1</v>
      </c>
      <c r="H44" s="123"/>
      <c r="I44" s="124"/>
      <c r="J44" s="295" t="s">
        <v>118</v>
      </c>
      <c r="K44" s="8" t="s">
        <v>48</v>
      </c>
      <c r="L44" s="17" t="s">
        <v>49</v>
      </c>
      <c r="M44" s="39">
        <f>(I55-I54)/(H55-H54)</f>
        <v>3.5783333333333334E-2</v>
      </c>
      <c r="N44" s="16">
        <f>(I54*H55-I55*H54)/(H55-H54)</f>
        <v>-156.5</v>
      </c>
      <c r="O44" s="37">
        <v>2</v>
      </c>
      <c r="AC44" s="282"/>
      <c r="AD44" s="284"/>
      <c r="AE44" s="109">
        <v>2</v>
      </c>
      <c r="AF44" s="99">
        <v>1400</v>
      </c>
      <c r="AG44" s="103">
        <v>-137.55000000000001</v>
      </c>
    </row>
    <row r="45" spans="4:33" ht="15.75" thickBot="1" x14ac:dyDescent="0.3">
      <c r="D45" s="325"/>
      <c r="E45" s="290"/>
      <c r="F45" s="292"/>
      <c r="G45" s="109">
        <v>2</v>
      </c>
      <c r="H45" s="121"/>
      <c r="I45" s="122"/>
      <c r="J45" s="295"/>
      <c r="K45" s="21" t="s">
        <v>65</v>
      </c>
      <c r="L45" s="23" t="s">
        <v>66</v>
      </c>
      <c r="M45" s="114">
        <f>(I57-I56)/(H57-H56)</f>
        <v>3.2563825452226157E-2</v>
      </c>
      <c r="N45" s="22">
        <f>(I56*H57-I57*H56)/(H57-H56)</f>
        <v>-189.58</v>
      </c>
      <c r="O45" s="95">
        <v>2</v>
      </c>
      <c r="AC45" s="289" t="s">
        <v>108</v>
      </c>
      <c r="AD45" s="291" t="s">
        <v>109</v>
      </c>
      <c r="AE45" s="110">
        <v>1</v>
      </c>
      <c r="AF45" s="97"/>
      <c r="AG45" s="104"/>
    </row>
    <row r="46" spans="4:33" x14ac:dyDescent="0.25">
      <c r="D46" s="325">
        <v>4</v>
      </c>
      <c r="E46" s="281" t="s">
        <v>110</v>
      </c>
      <c r="F46" s="283" t="s">
        <v>111</v>
      </c>
      <c r="G46" s="111">
        <v>1</v>
      </c>
      <c r="H46" s="125">
        <v>0</v>
      </c>
      <c r="I46" s="126">
        <v>-86.61</v>
      </c>
      <c r="M46" s="41"/>
      <c r="N46" s="41"/>
      <c r="AC46" s="290"/>
      <c r="AD46" s="292"/>
      <c r="AE46" s="109">
        <v>2</v>
      </c>
      <c r="AF46" s="99"/>
      <c r="AG46" s="103"/>
    </row>
    <row r="47" spans="4:33" x14ac:dyDescent="0.25">
      <c r="D47" s="325"/>
      <c r="E47" s="282"/>
      <c r="F47" s="284"/>
      <c r="G47" s="109">
        <v>2</v>
      </c>
      <c r="H47" s="121">
        <v>2001.01</v>
      </c>
      <c r="I47" s="122">
        <v>-20.02</v>
      </c>
      <c r="AC47" s="281" t="s">
        <v>110</v>
      </c>
      <c r="AD47" s="283" t="s">
        <v>111</v>
      </c>
      <c r="AE47" s="111">
        <v>1</v>
      </c>
      <c r="AF47" s="100">
        <v>0</v>
      </c>
      <c r="AG47" s="105">
        <v>-86.44</v>
      </c>
    </row>
    <row r="48" spans="4:33" x14ac:dyDescent="0.25">
      <c r="D48" s="325">
        <v>1</v>
      </c>
      <c r="E48" s="289" t="s">
        <v>112</v>
      </c>
      <c r="F48" s="291" t="s">
        <v>113</v>
      </c>
      <c r="G48" s="110">
        <v>1</v>
      </c>
      <c r="H48" s="123">
        <v>0</v>
      </c>
      <c r="I48" s="124">
        <v>-183</v>
      </c>
      <c r="AC48" s="282"/>
      <c r="AD48" s="284"/>
      <c r="AE48" s="109">
        <v>2</v>
      </c>
      <c r="AF48" s="99">
        <v>1988.38</v>
      </c>
      <c r="AG48" s="103">
        <v>-20.309999999999999</v>
      </c>
    </row>
    <row r="49" spans="4:33" x14ac:dyDescent="0.25">
      <c r="D49" s="325"/>
      <c r="E49" s="290"/>
      <c r="F49" s="292"/>
      <c r="G49" s="109">
        <v>2</v>
      </c>
      <c r="H49" s="121">
        <v>2300</v>
      </c>
      <c r="I49" s="122">
        <v>-160.05000000000001</v>
      </c>
      <c r="AC49" s="289" t="s">
        <v>112</v>
      </c>
      <c r="AD49" s="291" t="s">
        <v>113</v>
      </c>
      <c r="AE49" s="110">
        <v>1</v>
      </c>
      <c r="AF49" s="97">
        <v>0</v>
      </c>
      <c r="AG49" s="104">
        <v>-183.51</v>
      </c>
    </row>
    <row r="50" spans="4:33" x14ac:dyDescent="0.25">
      <c r="D50" s="325">
        <v>3</v>
      </c>
      <c r="E50" s="293" t="s">
        <v>114</v>
      </c>
      <c r="F50" s="294" t="s">
        <v>115</v>
      </c>
      <c r="G50" s="110">
        <v>1</v>
      </c>
      <c r="H50" s="123">
        <v>923.17</v>
      </c>
      <c r="I50" s="124">
        <v>-224</v>
      </c>
      <c r="AC50" s="290"/>
      <c r="AD50" s="292"/>
      <c r="AE50" s="109">
        <v>2</v>
      </c>
      <c r="AF50" s="99">
        <v>2400</v>
      </c>
      <c r="AG50" s="103">
        <v>-158.68</v>
      </c>
    </row>
    <row r="51" spans="4:33" x14ac:dyDescent="0.25">
      <c r="D51" s="325"/>
      <c r="E51" s="282"/>
      <c r="F51" s="284"/>
      <c r="G51" s="109">
        <v>2</v>
      </c>
      <c r="H51" s="121">
        <v>1393.24</v>
      </c>
      <c r="I51" s="122">
        <v>-207.02</v>
      </c>
      <c r="AC51" s="293" t="s">
        <v>114</v>
      </c>
      <c r="AD51" s="294" t="s">
        <v>115</v>
      </c>
      <c r="AE51" s="110">
        <v>1</v>
      </c>
      <c r="AF51" s="97">
        <v>0</v>
      </c>
      <c r="AG51" s="104">
        <v>-262.58</v>
      </c>
    </row>
    <row r="52" spans="4:33" x14ac:dyDescent="0.25">
      <c r="D52" s="325">
        <v>5</v>
      </c>
      <c r="E52" s="289" t="s">
        <v>116</v>
      </c>
      <c r="F52" s="291" t="s">
        <v>117</v>
      </c>
      <c r="G52" s="110">
        <v>1</v>
      </c>
      <c r="H52" s="123">
        <v>0</v>
      </c>
      <c r="I52" s="124">
        <v>-264.58</v>
      </c>
      <c r="M52" s="25" t="s">
        <v>119</v>
      </c>
      <c r="AC52" s="282"/>
      <c r="AD52" s="284"/>
      <c r="AE52" s="109">
        <v>2</v>
      </c>
      <c r="AF52" s="99">
        <v>1390</v>
      </c>
      <c r="AG52" s="103">
        <v>-206.31</v>
      </c>
    </row>
    <row r="53" spans="4:33" x14ac:dyDescent="0.25">
      <c r="D53" s="325"/>
      <c r="E53" s="290"/>
      <c r="F53" s="292"/>
      <c r="G53" s="109">
        <v>2</v>
      </c>
      <c r="H53" s="121">
        <v>1660.34</v>
      </c>
      <c r="I53" s="122">
        <v>-208.02</v>
      </c>
      <c r="M53" s="25" t="s">
        <v>120</v>
      </c>
      <c r="AC53" s="289" t="s">
        <v>116</v>
      </c>
      <c r="AD53" s="291" t="s">
        <v>117</v>
      </c>
      <c r="AE53" s="110">
        <v>1</v>
      </c>
      <c r="AF53" s="97">
        <v>0</v>
      </c>
      <c r="AG53" s="104">
        <v>-264.37</v>
      </c>
    </row>
    <row r="54" spans="4:33" x14ac:dyDescent="0.25">
      <c r="D54" s="325">
        <v>3</v>
      </c>
      <c r="E54" s="289" t="s">
        <v>48</v>
      </c>
      <c r="F54" s="291" t="s">
        <v>49</v>
      </c>
      <c r="G54" s="110">
        <v>1</v>
      </c>
      <c r="H54" s="123">
        <v>0</v>
      </c>
      <c r="I54" s="124">
        <v>-156.5</v>
      </c>
      <c r="AC54" s="290"/>
      <c r="AD54" s="292"/>
      <c r="AE54" s="109">
        <v>2</v>
      </c>
      <c r="AF54" s="99">
        <v>1655.36</v>
      </c>
      <c r="AG54" s="103">
        <v>-207.55</v>
      </c>
    </row>
    <row r="55" spans="4:33" x14ac:dyDescent="0.25">
      <c r="D55" s="325"/>
      <c r="E55" s="290"/>
      <c r="F55" s="292"/>
      <c r="G55" s="109">
        <v>2</v>
      </c>
      <c r="H55" s="121">
        <v>1200</v>
      </c>
      <c r="I55" s="122">
        <v>-113.56</v>
      </c>
      <c r="AC55" s="285" t="s">
        <v>48</v>
      </c>
      <c r="AD55" s="287" t="s">
        <v>49</v>
      </c>
      <c r="AE55" s="111">
        <v>1</v>
      </c>
      <c r="AF55" s="100">
        <v>0</v>
      </c>
      <c r="AG55" s="105">
        <v>-156.44999999999999</v>
      </c>
    </row>
    <row r="56" spans="4:33" ht="15.75" thickBot="1" x14ac:dyDescent="0.3">
      <c r="D56" s="325">
        <v>3</v>
      </c>
      <c r="E56" s="285" t="s">
        <v>65</v>
      </c>
      <c r="F56" s="287" t="s">
        <v>121</v>
      </c>
      <c r="G56" s="111">
        <v>1</v>
      </c>
      <c r="H56" s="125">
        <v>0</v>
      </c>
      <c r="I56" s="126">
        <v>-189.58</v>
      </c>
      <c r="AC56" s="286"/>
      <c r="AD56" s="288"/>
      <c r="AE56" s="112">
        <v>2</v>
      </c>
      <c r="AF56" s="101">
        <v>1197.8399999999999</v>
      </c>
      <c r="AG56" s="106">
        <v>-114.07</v>
      </c>
    </row>
    <row r="57" spans="4:33" ht="15.75" thickBot="1" x14ac:dyDescent="0.3">
      <c r="D57" s="325"/>
      <c r="E57" s="286"/>
      <c r="F57" s="288"/>
      <c r="G57" s="112">
        <v>2</v>
      </c>
      <c r="H57" s="127">
        <v>1128.8599999999999</v>
      </c>
      <c r="I57" s="128">
        <v>-152.82</v>
      </c>
    </row>
  </sheetData>
  <mergeCells count="66">
    <mergeCell ref="D56:D57"/>
    <mergeCell ref="E56:E57"/>
    <mergeCell ref="F56:F57"/>
    <mergeCell ref="D54:D55"/>
    <mergeCell ref="D50:D51"/>
    <mergeCell ref="E54:E55"/>
    <mergeCell ref="F54:F55"/>
    <mergeCell ref="F52:F53"/>
    <mergeCell ref="E52:E53"/>
    <mergeCell ref="F50:F51"/>
    <mergeCell ref="D52:D53"/>
    <mergeCell ref="E50:E51"/>
    <mergeCell ref="D48:D49"/>
    <mergeCell ref="F38:F39"/>
    <mergeCell ref="E38:E39"/>
    <mergeCell ref="D46:D47"/>
    <mergeCell ref="D44:D45"/>
    <mergeCell ref="D42:D43"/>
    <mergeCell ref="D40:D41"/>
    <mergeCell ref="D38:D39"/>
    <mergeCell ref="E46:E47"/>
    <mergeCell ref="F46:F47"/>
    <mergeCell ref="F48:F49"/>
    <mergeCell ref="E48:E49"/>
    <mergeCell ref="F36:F37"/>
    <mergeCell ref="E36:E37"/>
    <mergeCell ref="D36:D37"/>
    <mergeCell ref="D34:D35"/>
    <mergeCell ref="F44:F45"/>
    <mergeCell ref="E44:E45"/>
    <mergeCell ref="F42:F43"/>
    <mergeCell ref="E42:E43"/>
    <mergeCell ref="F40:F41"/>
    <mergeCell ref="E40:E41"/>
    <mergeCell ref="K4:O5"/>
    <mergeCell ref="E31:I32"/>
    <mergeCell ref="E30:I30"/>
    <mergeCell ref="F34:F35"/>
    <mergeCell ref="E34:E35"/>
    <mergeCell ref="K31:O32"/>
    <mergeCell ref="J44:J45"/>
    <mergeCell ref="K2:O2"/>
    <mergeCell ref="K3:O3"/>
    <mergeCell ref="AC32:AG33"/>
    <mergeCell ref="AC35:AC36"/>
    <mergeCell ref="AD35:AD36"/>
    <mergeCell ref="AC37:AC38"/>
    <mergeCell ref="AD37:AD38"/>
    <mergeCell ref="AC39:AC40"/>
    <mergeCell ref="AD39:AD40"/>
    <mergeCell ref="AC41:AC42"/>
    <mergeCell ref="AD41:AD42"/>
    <mergeCell ref="AC43:AC44"/>
    <mergeCell ref="AD43:AD44"/>
    <mergeCell ref="AC45:AC46"/>
    <mergeCell ref="AD45:AD46"/>
    <mergeCell ref="AC47:AC48"/>
    <mergeCell ref="AD47:AD48"/>
    <mergeCell ref="AC55:AC56"/>
    <mergeCell ref="AD55:AD56"/>
    <mergeCell ref="AC49:AC50"/>
    <mergeCell ref="AD49:AD50"/>
    <mergeCell ref="AC51:AC52"/>
    <mergeCell ref="AD51:AD52"/>
    <mergeCell ref="AC53:AC54"/>
    <mergeCell ref="AD53:AD54"/>
  </mergeCells>
  <phoneticPr fontId="3" type="noConversion"/>
  <hyperlinks>
    <hyperlink ref="E30:I30" r:id="rId1" display="https://enispa.sharepoint.com/sites/Venicelaboratories-FLiNaKandFLiBecorrosion/Documenti%20condivisi/FLiNaK%20and%20FLiBe%20corrosion/Diagrammi%20dei%20potenziali%20di%20Ellingham%20Delta_G.pdf" xr:uid="{A04FA77C-1593-4BD5-A2BF-AA614137CFC9}"/>
    <hyperlink ref="K2" r:id="rId2" xr:uid="{AD63A274-51FC-4937-A32F-A06FF4D707BE}"/>
    <hyperlink ref="K3" r:id="rId3" xr:uid="{3B7236E2-E288-4B06-9CB0-A97C667B0A23}"/>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748EF-74DA-42D2-A13A-01CB1E9451BE}">
  <dimension ref="D3:O78"/>
  <sheetViews>
    <sheetView topLeftCell="B1" zoomScale="70" zoomScaleNormal="70" workbookViewId="0">
      <selection activeCell="K4" sqref="K4"/>
    </sheetView>
  </sheetViews>
  <sheetFormatPr defaultRowHeight="15" x14ac:dyDescent="0.25"/>
  <cols>
    <col min="1" max="3" width="9.140625" style="25"/>
    <col min="4" max="4" width="42.85546875" style="25" bestFit="1" customWidth="1"/>
    <col min="5" max="5" width="8.85546875" style="25" customWidth="1"/>
    <col min="6" max="6" width="10.5703125" style="25" bestFit="1" customWidth="1"/>
    <col min="7" max="7" width="20.5703125" style="25" bestFit="1" customWidth="1"/>
    <col min="8" max="8" width="19.140625" style="25" bestFit="1" customWidth="1"/>
    <col min="9" max="9" width="9.140625" style="25"/>
    <col min="10" max="10" width="14.42578125" style="25" bestFit="1" customWidth="1"/>
    <col min="11" max="12" width="9.140625" style="25"/>
    <col min="13" max="13" width="9.140625" style="25" customWidth="1"/>
    <col min="14" max="16384" width="9.140625" style="25"/>
  </cols>
  <sheetData>
    <row r="3" spans="5:15" ht="15.75" thickBot="1" x14ac:dyDescent="0.3">
      <c r="O3" s="213"/>
    </row>
    <row r="4" spans="5:15" ht="15" customHeight="1" x14ac:dyDescent="0.25">
      <c r="E4" s="319" t="s">
        <v>93</v>
      </c>
      <c r="F4" s="320"/>
      <c r="G4" s="320"/>
      <c r="H4" s="320"/>
      <c r="I4" s="321"/>
      <c r="O4" s="213"/>
    </row>
    <row r="5" spans="5:15" ht="15.75" thickBot="1" x14ac:dyDescent="0.3">
      <c r="E5" s="322"/>
      <c r="F5" s="323"/>
      <c r="G5" s="323"/>
      <c r="H5" s="323"/>
      <c r="I5" s="324"/>
      <c r="O5" s="213"/>
    </row>
    <row r="6" spans="5:15" ht="15.75" thickBot="1" x14ac:dyDescent="0.3">
      <c r="E6" s="85" t="s">
        <v>43</v>
      </c>
      <c r="F6" s="87" t="s">
        <v>44</v>
      </c>
      <c r="G6" s="94" t="s">
        <v>45</v>
      </c>
      <c r="H6" s="86" t="s">
        <v>46</v>
      </c>
      <c r="I6" s="96" t="s">
        <v>97</v>
      </c>
    </row>
    <row r="7" spans="5:15" x14ac:dyDescent="0.25">
      <c r="E7" s="215" t="s">
        <v>48</v>
      </c>
      <c r="F7" s="216" t="s">
        <v>49</v>
      </c>
      <c r="G7" s="217">
        <f>(I56-I55)/(H56-H55)</f>
        <v>3.5748349526789312E-2</v>
      </c>
      <c r="H7" s="218">
        <f>(I55*H56-I56*H55)/(H56-H55)</f>
        <v>-156.53674406773703</v>
      </c>
      <c r="I7" s="75">
        <v>2</v>
      </c>
    </row>
    <row r="8" spans="5:15" x14ac:dyDescent="0.25">
      <c r="E8" s="13" t="s">
        <v>50</v>
      </c>
      <c r="F8" s="15" t="s">
        <v>603</v>
      </c>
      <c r="G8" s="40">
        <f>(I48-I47)/(H48-H47)</f>
        <v>3.4303053178468365E-2</v>
      </c>
      <c r="H8" s="14">
        <f>(I47*H48-I48*H47)/(H48-H47)</f>
        <v>-183.1222353891948</v>
      </c>
      <c r="I8" s="38">
        <v>3</v>
      </c>
    </row>
    <row r="9" spans="5:15" x14ac:dyDescent="0.25">
      <c r="E9" s="8" t="s">
        <v>55</v>
      </c>
      <c r="F9" s="17" t="s">
        <v>604</v>
      </c>
      <c r="G9" s="39">
        <f>(I60-I59)/(H60-H59)</f>
        <v>1.962359140397963E-2</v>
      </c>
      <c r="H9" s="16">
        <f>(I59*H60-I60*H59)/(H60-H59)</f>
        <v>-134.05365128809225</v>
      </c>
      <c r="I9" s="37">
        <v>6</v>
      </c>
    </row>
    <row r="10" spans="5:15" x14ac:dyDescent="0.25">
      <c r="E10" s="13" t="s">
        <v>58</v>
      </c>
      <c r="F10" s="15" t="s">
        <v>605</v>
      </c>
      <c r="G10" s="40">
        <f>(I50-I49)/(H50-H49)</f>
        <v>3.192682668228447E-2</v>
      </c>
      <c r="H10" s="14">
        <f>(I49*H50-I50*H49)/(H50-H49)</f>
        <v>-167.09965244641546</v>
      </c>
      <c r="I10" s="38">
        <v>2</v>
      </c>
    </row>
    <row r="11" spans="5:15" x14ac:dyDescent="0.25">
      <c r="E11" s="8" t="s">
        <v>61</v>
      </c>
      <c r="F11" s="17" t="s">
        <v>62</v>
      </c>
      <c r="G11" s="39"/>
      <c r="H11" s="16"/>
      <c r="I11" s="37">
        <v>6</v>
      </c>
    </row>
    <row r="12" spans="5:15" x14ac:dyDescent="0.25">
      <c r="E12" s="13" t="s">
        <v>63</v>
      </c>
      <c r="F12" s="15" t="s">
        <v>64</v>
      </c>
      <c r="G12" s="40">
        <f>(I46-I45)/(H46-H45)</f>
        <v>3.3738355463305399E-2</v>
      </c>
      <c r="H12" s="14">
        <f>(I45*H46-I46*H45)/(H46-H45)</f>
        <v>-158.01838747727737</v>
      </c>
      <c r="I12" s="38">
        <v>2</v>
      </c>
    </row>
    <row r="13" spans="5:15" x14ac:dyDescent="0.25">
      <c r="E13" s="8" t="s">
        <v>65</v>
      </c>
      <c r="F13" s="17" t="s">
        <v>66</v>
      </c>
      <c r="G13" s="39">
        <f>(I58-I57)/(H58-H57)</f>
        <v>3.2513858924180176E-2</v>
      </c>
      <c r="H13" s="16">
        <f>(I57*H58-I58*H57)/(H58-H57)</f>
        <v>-189.54130043681445</v>
      </c>
      <c r="I13" s="37">
        <v>2</v>
      </c>
    </row>
    <row r="14" spans="5:15" x14ac:dyDescent="0.25">
      <c r="E14" s="13" t="s">
        <v>67</v>
      </c>
      <c r="F14" s="15" t="s">
        <v>68</v>
      </c>
      <c r="G14" s="40">
        <f>(I42-I41)/(H42-H41)</f>
        <v>4.0663111333486303E-2</v>
      </c>
      <c r="H14" s="14">
        <f>(I41*H42-I42*H41)/(H42-H41)</f>
        <v>-218.83548497407347</v>
      </c>
      <c r="I14" s="38">
        <v>3</v>
      </c>
    </row>
    <row r="15" spans="5:15" x14ac:dyDescent="0.25">
      <c r="E15" s="8" t="s">
        <v>69</v>
      </c>
      <c r="F15" s="17" t="s">
        <v>70</v>
      </c>
      <c r="G15" s="39">
        <f>(I66-I65)/(H66-H65)</f>
        <v>1.2211536959732977E-2</v>
      </c>
      <c r="H15" s="16">
        <f>(I65*H66-I66*H65)/(H66-H65)</f>
        <v>-173.76611662540708</v>
      </c>
      <c r="I15" s="37">
        <v>4</v>
      </c>
    </row>
    <row r="16" spans="5:15" x14ac:dyDescent="0.25">
      <c r="E16" s="13" t="s">
        <v>98</v>
      </c>
      <c r="F16" s="15" t="s">
        <v>99</v>
      </c>
      <c r="G16" s="40">
        <f>(I64-I63)/(H64-H63)</f>
        <v>1.6867496423165443E-2</v>
      </c>
      <c r="H16" s="14">
        <f>(I63*H64-I64*H63)/(H64-H63)</f>
        <v>-185.44798556825015</v>
      </c>
      <c r="I16" s="38">
        <v>4</v>
      </c>
    </row>
    <row r="17" spans="5:9" x14ac:dyDescent="0.25">
      <c r="E17" s="8" t="s">
        <v>100</v>
      </c>
      <c r="F17" s="17" t="s">
        <v>101</v>
      </c>
      <c r="G17" s="39">
        <f>(I38-I37)/(H38-H37)</f>
        <v>1.8052809068205222E-2</v>
      </c>
      <c r="H17" s="16">
        <f>(I37*H38-I38*H37)/(H38-H37)</f>
        <v>-81.097762731934267</v>
      </c>
      <c r="I17" s="37">
        <v>4</v>
      </c>
    </row>
    <row r="18" spans="5:9" x14ac:dyDescent="0.25">
      <c r="E18" s="13" t="s">
        <v>102</v>
      </c>
      <c r="F18" s="15" t="s">
        <v>103</v>
      </c>
      <c r="G18" s="40">
        <f>(I44-I43)/(H44-H43)</f>
        <v>3.1636051027390984E-2</v>
      </c>
      <c r="H18" s="14">
        <f>(I43*H44-I44*H43)/(H44-H43)</f>
        <v>-127.00677234300538</v>
      </c>
      <c r="I18" s="38">
        <v>2</v>
      </c>
    </row>
    <row r="19" spans="5:9" x14ac:dyDescent="0.25">
      <c r="E19" s="8" t="s">
        <v>104</v>
      </c>
      <c r="F19" s="17" t="s">
        <v>105</v>
      </c>
      <c r="G19" s="39">
        <f>(I52-I51)/(H52-H51)</f>
        <v>2.1402179474876888E-2</v>
      </c>
      <c r="H19" s="16">
        <f>(I51*H52-I52*H51)/(H52-H51)</f>
        <v>-167.24075728239904</v>
      </c>
      <c r="I19" s="37">
        <v>5</v>
      </c>
    </row>
    <row r="20" spans="5:9" x14ac:dyDescent="0.25">
      <c r="E20" s="13" t="s">
        <v>106</v>
      </c>
      <c r="F20" s="15" t="s">
        <v>107</v>
      </c>
      <c r="G20" s="40">
        <f>(I72-I71)/(H72-H71)</f>
        <v>3.7455444301479124E-2</v>
      </c>
      <c r="H20" s="14">
        <f>(I71*H72-I72*H71)/(H72-H71)</f>
        <v>-189.98086932942928</v>
      </c>
      <c r="I20" s="38">
        <v>3</v>
      </c>
    </row>
    <row r="21" spans="5:9" x14ac:dyDescent="0.25">
      <c r="E21" s="8" t="s">
        <v>108</v>
      </c>
      <c r="F21" s="17" t="s">
        <v>109</v>
      </c>
      <c r="G21" s="39"/>
      <c r="H21" s="16"/>
      <c r="I21" s="37">
        <v>3</v>
      </c>
    </row>
    <row r="22" spans="5:9" x14ac:dyDescent="0.25">
      <c r="E22" s="13" t="s">
        <v>110</v>
      </c>
      <c r="F22" s="15" t="s">
        <v>111</v>
      </c>
      <c r="G22" s="40">
        <f>(I70-I69)/(H70-H69)</f>
        <v>3.3297208834101095E-2</v>
      </c>
      <c r="H22" s="14">
        <f>(I69*H70-I70*H69)/(H70-H69)</f>
        <v>-86.635598316295898</v>
      </c>
      <c r="I22" s="38">
        <v>6</v>
      </c>
    </row>
    <row r="23" spans="5:9" x14ac:dyDescent="0.25">
      <c r="E23" s="8" t="s">
        <v>112</v>
      </c>
      <c r="F23" s="17" t="s">
        <v>113</v>
      </c>
      <c r="G23" s="39">
        <f>(I40-I39)/(H40-H39)</f>
        <v>1.0000601129887087E-2</v>
      </c>
      <c r="H23" s="16">
        <f>(I39*H40-I40*H39)/(H40-H39)</f>
        <v>-182.94135468873995</v>
      </c>
      <c r="I23" s="37">
        <v>3</v>
      </c>
    </row>
    <row r="24" spans="5:9" x14ac:dyDescent="0.25">
      <c r="E24" s="13" t="s">
        <v>114</v>
      </c>
      <c r="F24" s="15" t="s">
        <v>115</v>
      </c>
      <c r="G24" s="40">
        <f>(I54-I53)/(H54-H53)</f>
        <v>3.6130265092122506E-2</v>
      </c>
      <c r="H24" s="14">
        <f>(I53*H54-I54*H53)/(H54-H53)</f>
        <v>-257.40985966379219</v>
      </c>
      <c r="I24" s="38">
        <v>2</v>
      </c>
    </row>
    <row r="25" spans="5:9" x14ac:dyDescent="0.25">
      <c r="E25" s="8" t="s">
        <v>595</v>
      </c>
      <c r="F25" s="17" t="s">
        <v>596</v>
      </c>
      <c r="G25" s="39"/>
      <c r="H25" s="16"/>
      <c r="I25" s="37">
        <v>4</v>
      </c>
    </row>
    <row r="26" spans="5:9" x14ac:dyDescent="0.25">
      <c r="E26" s="13" t="s">
        <v>71</v>
      </c>
      <c r="F26" s="15" t="s">
        <v>72</v>
      </c>
      <c r="G26" s="40">
        <f>(I78-I77)/(H78-H77)</f>
        <v>3.4329594216633508E-2</v>
      </c>
      <c r="H26" s="14">
        <f>(I77*H78-I78*H77)/(H78-H77)</f>
        <v>-222.46644888269589</v>
      </c>
      <c r="I26" s="38">
        <v>4</v>
      </c>
    </row>
    <row r="27" spans="5:9" ht="15.75" thickBot="1" x14ac:dyDescent="0.3">
      <c r="E27" s="219" t="s">
        <v>116</v>
      </c>
      <c r="F27" s="220" t="s">
        <v>117</v>
      </c>
      <c r="G27" s="221">
        <f>(I74-I73)/(H74-H73)</f>
        <v>3.4089493402287438E-2</v>
      </c>
      <c r="H27" s="222">
        <f>(I73*H74-I74*H73)/(H74-H73)</f>
        <v>-264.64924473048285</v>
      </c>
      <c r="I27" s="80">
        <v>3</v>
      </c>
    </row>
    <row r="28" spans="5:9" x14ac:dyDescent="0.25">
      <c r="E28" s="212"/>
      <c r="F28" s="212"/>
      <c r="G28" s="212"/>
      <c r="H28" s="212"/>
      <c r="I28" s="212"/>
    </row>
    <row r="32" spans="5:9" ht="15.75" thickBot="1" x14ac:dyDescent="0.3"/>
    <row r="33" spans="4:9" ht="15.75" thickBot="1" x14ac:dyDescent="0.3">
      <c r="D33" s="316" t="s">
        <v>91</v>
      </c>
      <c r="E33" s="317"/>
      <c r="F33" s="317"/>
      <c r="G33" s="317"/>
      <c r="H33" s="317"/>
      <c r="I33" s="318"/>
    </row>
    <row r="34" spans="4:9" ht="15" customHeight="1" x14ac:dyDescent="0.25">
      <c r="D34" s="338" t="s">
        <v>92</v>
      </c>
      <c r="E34" s="339"/>
      <c r="F34" s="339"/>
      <c r="G34" s="339"/>
      <c r="H34" s="339"/>
      <c r="I34" s="340"/>
    </row>
    <row r="35" spans="4:9" ht="15.75" thickBot="1" x14ac:dyDescent="0.3">
      <c r="D35" s="341"/>
      <c r="E35" s="342"/>
      <c r="F35" s="342"/>
      <c r="G35" s="342"/>
      <c r="H35" s="342"/>
      <c r="I35" s="343"/>
    </row>
    <row r="36" spans="4:9" ht="15.75" thickBot="1" x14ac:dyDescent="0.3">
      <c r="D36" s="211" t="s">
        <v>602</v>
      </c>
      <c r="E36" s="206" t="s">
        <v>43</v>
      </c>
      <c r="F36" s="207" t="s">
        <v>44</v>
      </c>
      <c r="G36" s="208" t="s">
        <v>94</v>
      </c>
      <c r="H36" s="209" t="s">
        <v>95</v>
      </c>
      <c r="I36" s="210" t="s">
        <v>96</v>
      </c>
    </row>
    <row r="37" spans="4:9" x14ac:dyDescent="0.25">
      <c r="D37" s="344">
        <v>1</v>
      </c>
      <c r="E37" s="345" t="s">
        <v>100</v>
      </c>
      <c r="F37" s="346" t="s">
        <v>101</v>
      </c>
      <c r="G37" s="108">
        <v>1</v>
      </c>
      <c r="H37" s="119">
        <v>-0.19193857965444749</v>
      </c>
      <c r="I37" s="120">
        <v>-81.101227762465584</v>
      </c>
    </row>
    <row r="38" spans="4:9" x14ac:dyDescent="0.25">
      <c r="D38" s="330"/>
      <c r="E38" s="327"/>
      <c r="F38" s="329"/>
      <c r="G38" s="109">
        <v>2</v>
      </c>
      <c r="H38" s="121">
        <v>2400.9596928982724</v>
      </c>
      <c r="I38" s="122">
        <v>-37.753695815585104</v>
      </c>
    </row>
    <row r="39" spans="4:9" x14ac:dyDescent="0.25">
      <c r="D39" s="330">
        <v>1</v>
      </c>
      <c r="E39" s="334" t="s">
        <v>112</v>
      </c>
      <c r="F39" s="336" t="s">
        <v>113</v>
      </c>
      <c r="G39" s="110">
        <v>1</v>
      </c>
      <c r="H39" s="123">
        <v>1.7274472168905959</v>
      </c>
      <c r="I39" s="124">
        <v>-182.92407917815086</v>
      </c>
    </row>
    <row r="40" spans="4:9" x14ac:dyDescent="0.25">
      <c r="D40" s="330"/>
      <c r="E40" s="335"/>
      <c r="F40" s="337"/>
      <c r="G40" s="109">
        <v>2</v>
      </c>
      <c r="H40" s="121">
        <v>2300.5118362124122</v>
      </c>
      <c r="I40" s="122">
        <v>-159.93485342019545</v>
      </c>
    </row>
    <row r="41" spans="4:9" x14ac:dyDescent="0.25">
      <c r="D41" s="330">
        <v>1</v>
      </c>
      <c r="E41" s="326" t="s">
        <v>67</v>
      </c>
      <c r="F41" s="328" t="s">
        <v>68</v>
      </c>
      <c r="G41" s="110">
        <v>1</v>
      </c>
      <c r="H41" s="123">
        <v>931.6698656429943</v>
      </c>
      <c r="I41" s="124">
        <v>-180.95088950137813</v>
      </c>
    </row>
    <row r="42" spans="4:9" x14ac:dyDescent="0.25">
      <c r="D42" s="330"/>
      <c r="E42" s="327"/>
      <c r="F42" s="329"/>
      <c r="G42" s="109">
        <v>2</v>
      </c>
      <c r="H42" s="121">
        <v>1545.5534229046702</v>
      </c>
      <c r="I42" s="122">
        <v>-155.98847406664999</v>
      </c>
    </row>
    <row r="43" spans="4:9" x14ac:dyDescent="0.25">
      <c r="D43" s="330">
        <v>2</v>
      </c>
      <c r="E43" s="334" t="s">
        <v>102</v>
      </c>
      <c r="F43" s="336" t="s">
        <v>103</v>
      </c>
      <c r="G43" s="110">
        <v>1</v>
      </c>
      <c r="H43" s="123">
        <v>1.4643802744872119</v>
      </c>
      <c r="I43" s="124">
        <v>-126.9604451339182</v>
      </c>
    </row>
    <row r="44" spans="4:9" x14ac:dyDescent="0.25">
      <c r="D44" s="330"/>
      <c r="E44" s="335"/>
      <c r="F44" s="337"/>
      <c r="G44" s="109">
        <v>2</v>
      </c>
      <c r="H44" s="121">
        <v>1200.0650137802099</v>
      </c>
      <c r="I44" s="122">
        <v>-89.041454330867992</v>
      </c>
    </row>
    <row r="45" spans="4:9" x14ac:dyDescent="0.25">
      <c r="D45" s="330">
        <v>2</v>
      </c>
      <c r="E45" s="326" t="s">
        <v>63</v>
      </c>
      <c r="F45" s="328" t="s">
        <v>64</v>
      </c>
      <c r="G45" s="110">
        <v>1</v>
      </c>
      <c r="H45" s="123">
        <v>-0.48850539271654725</v>
      </c>
      <c r="I45" s="124">
        <v>-158.0348688458626</v>
      </c>
    </row>
    <row r="46" spans="4:9" x14ac:dyDescent="0.25">
      <c r="D46" s="330"/>
      <c r="E46" s="327"/>
      <c r="F46" s="329"/>
      <c r="G46" s="109">
        <v>2</v>
      </c>
      <c r="H46" s="121">
        <v>1475.2078418334329</v>
      </c>
      <c r="I46" s="122">
        <v>-108.24730092724542</v>
      </c>
    </row>
    <row r="47" spans="4:9" x14ac:dyDescent="0.25">
      <c r="D47" s="330">
        <v>2</v>
      </c>
      <c r="E47" s="334" t="s">
        <v>50</v>
      </c>
      <c r="F47" s="336" t="s">
        <v>603</v>
      </c>
      <c r="G47" s="110">
        <v>1</v>
      </c>
      <c r="H47" s="123">
        <v>206.18472260244209</v>
      </c>
      <c r="I47" s="124">
        <v>-176.04946988517548</v>
      </c>
    </row>
    <row r="48" spans="4:9" x14ac:dyDescent="0.25">
      <c r="D48" s="330"/>
      <c r="E48" s="335"/>
      <c r="F48" s="337"/>
      <c r="G48" s="109">
        <v>2</v>
      </c>
      <c r="H48" s="121">
        <v>1372.791861049805</v>
      </c>
      <c r="I48" s="122">
        <v>-136.03128317663479</v>
      </c>
    </row>
    <row r="49" spans="4:10" x14ac:dyDescent="0.25">
      <c r="D49" s="330">
        <v>2</v>
      </c>
      <c r="E49" s="326" t="s">
        <v>58</v>
      </c>
      <c r="F49" s="328" t="s">
        <v>605</v>
      </c>
      <c r="G49" s="110">
        <v>1</v>
      </c>
      <c r="H49" s="123">
        <v>2.0978132458981236</v>
      </c>
      <c r="I49" s="124">
        <v>-167.03267592650187</v>
      </c>
    </row>
    <row r="50" spans="4:10" x14ac:dyDescent="0.25">
      <c r="D50" s="330"/>
      <c r="E50" s="327"/>
      <c r="F50" s="329"/>
      <c r="G50" s="109">
        <v>2</v>
      </c>
      <c r="H50" s="121">
        <v>1373.524960275508</v>
      </c>
      <c r="I50" s="122">
        <v>-123.24735909590765</v>
      </c>
    </row>
    <row r="51" spans="4:10" x14ac:dyDescent="0.25">
      <c r="D51" s="330">
        <v>3</v>
      </c>
      <c r="E51" s="334" t="s">
        <v>104</v>
      </c>
      <c r="F51" s="336" t="s">
        <v>105</v>
      </c>
      <c r="G51" s="110">
        <v>1</v>
      </c>
      <c r="H51" s="123">
        <v>505.93824305390422</v>
      </c>
      <c r="I51" s="124">
        <v>-156.41257620135551</v>
      </c>
    </row>
    <row r="52" spans="4:10" x14ac:dyDescent="0.25">
      <c r="D52" s="330"/>
      <c r="E52" s="335"/>
      <c r="F52" s="337"/>
      <c r="G52" s="109">
        <v>2</v>
      </c>
      <c r="H52" s="121">
        <v>2410.4338552713416</v>
      </c>
      <c r="I52" s="122">
        <v>-115.65221929956238</v>
      </c>
    </row>
    <row r="53" spans="4:10" x14ac:dyDescent="0.25">
      <c r="D53" s="330">
        <v>3</v>
      </c>
      <c r="E53" s="326" t="s">
        <v>114</v>
      </c>
      <c r="F53" s="328" t="s">
        <v>115</v>
      </c>
      <c r="G53" s="110">
        <v>1</v>
      </c>
      <c r="H53" s="123">
        <v>923.35478666334598</v>
      </c>
      <c r="I53" s="124">
        <v>-224.04880644756531</v>
      </c>
    </row>
    <row r="54" spans="4:10" x14ac:dyDescent="0.25">
      <c r="D54" s="330"/>
      <c r="E54" s="327"/>
      <c r="F54" s="329"/>
      <c r="G54" s="109">
        <v>2</v>
      </c>
      <c r="H54" s="121">
        <v>1393.9674268760325</v>
      </c>
      <c r="I54" s="122">
        <v>-207.04544700097728</v>
      </c>
    </row>
    <row r="55" spans="4:10" x14ac:dyDescent="0.25">
      <c r="D55" s="330">
        <v>3</v>
      </c>
      <c r="E55" s="334" t="s">
        <v>48</v>
      </c>
      <c r="F55" s="336" t="s">
        <v>49</v>
      </c>
      <c r="G55" s="110">
        <v>1</v>
      </c>
      <c r="H55" s="123">
        <v>0.15299250883708737</v>
      </c>
      <c r="I55" s="124">
        <v>-156.53127483805613</v>
      </c>
    </row>
    <row r="56" spans="4:10" x14ac:dyDescent="0.25">
      <c r="D56" s="330"/>
      <c r="E56" s="335"/>
      <c r="F56" s="337"/>
      <c r="G56" s="109">
        <v>2</v>
      </c>
      <c r="H56" s="121">
        <v>1200.1987399413379</v>
      </c>
      <c r="I56" s="122">
        <v>-113.63162001070197</v>
      </c>
    </row>
    <row r="57" spans="4:10" x14ac:dyDescent="0.25">
      <c r="D57" s="330">
        <v>3</v>
      </c>
      <c r="E57" s="326" t="s">
        <v>65</v>
      </c>
      <c r="F57" s="328" t="s">
        <v>121</v>
      </c>
      <c r="G57" s="110">
        <v>1</v>
      </c>
      <c r="H57" s="123">
        <v>-0.20213049584560849</v>
      </c>
      <c r="I57" s="124">
        <v>-189.54787247924065</v>
      </c>
    </row>
    <row r="58" spans="4:10" x14ac:dyDescent="0.25">
      <c r="D58" s="330"/>
      <c r="E58" s="327"/>
      <c r="F58" s="329"/>
      <c r="G58" s="109">
        <v>2</v>
      </c>
      <c r="H58" s="121">
        <v>1129.4558055625557</v>
      </c>
      <c r="I58" s="122">
        <v>-152.81833371365724</v>
      </c>
    </row>
    <row r="59" spans="4:10" x14ac:dyDescent="0.25">
      <c r="D59" s="330">
        <v>3</v>
      </c>
      <c r="E59" s="334" t="s">
        <v>55</v>
      </c>
      <c r="F59" s="336" t="s">
        <v>604</v>
      </c>
      <c r="G59" s="110">
        <v>1</v>
      </c>
      <c r="H59" s="123">
        <v>308.58118029294474</v>
      </c>
      <c r="I59" s="124">
        <v>-127.99818029106575</v>
      </c>
    </row>
    <row r="60" spans="4:10" x14ac:dyDescent="0.25">
      <c r="D60" s="330"/>
      <c r="E60" s="335"/>
      <c r="F60" s="337"/>
      <c r="G60" s="109">
        <v>2</v>
      </c>
      <c r="H60" s="121">
        <v>2409.5049101450868</v>
      </c>
      <c r="I60" s="122">
        <v>-86.77051144552243</v>
      </c>
    </row>
    <row r="61" spans="4:10" x14ac:dyDescent="0.25">
      <c r="D61" s="330">
        <v>3</v>
      </c>
      <c r="E61" s="326" t="s">
        <v>108</v>
      </c>
      <c r="F61" s="328" t="s">
        <v>109</v>
      </c>
      <c r="G61" s="110">
        <v>1</v>
      </c>
      <c r="H61" s="123"/>
      <c r="I61" s="124"/>
      <c r="J61" s="214"/>
    </row>
    <row r="62" spans="4:10" x14ac:dyDescent="0.25">
      <c r="D62" s="330"/>
      <c r="E62" s="327"/>
      <c r="F62" s="329"/>
      <c r="G62" s="109">
        <v>2</v>
      </c>
      <c r="H62" s="121"/>
      <c r="I62" s="122"/>
      <c r="J62" s="214"/>
    </row>
    <row r="63" spans="4:10" x14ac:dyDescent="0.25">
      <c r="D63" s="330">
        <v>4</v>
      </c>
      <c r="E63" s="334" t="s">
        <v>98</v>
      </c>
      <c r="F63" s="336" t="s">
        <v>99</v>
      </c>
      <c r="G63" s="111">
        <v>1</v>
      </c>
      <c r="H63" s="125">
        <v>0</v>
      </c>
      <c r="I63" s="126">
        <v>-185.44798556825015</v>
      </c>
    </row>
    <row r="64" spans="4:10" x14ac:dyDescent="0.25">
      <c r="D64" s="330"/>
      <c r="E64" s="335"/>
      <c r="F64" s="337"/>
      <c r="G64" s="109">
        <v>2</v>
      </c>
      <c r="H64" s="121">
        <v>1682.578664620107</v>
      </c>
      <c r="I64" s="122">
        <v>-157.06709596107601</v>
      </c>
    </row>
    <row r="65" spans="4:9" x14ac:dyDescent="0.25">
      <c r="D65" s="330">
        <v>4</v>
      </c>
      <c r="E65" s="326" t="s">
        <v>69</v>
      </c>
      <c r="F65" s="328" t="s">
        <v>70</v>
      </c>
      <c r="G65" s="110">
        <v>1</v>
      </c>
      <c r="H65" s="123">
        <v>556.7152724481964</v>
      </c>
      <c r="I65" s="124">
        <v>-166.9677674998581</v>
      </c>
    </row>
    <row r="66" spans="4:9" x14ac:dyDescent="0.25">
      <c r="D66" s="330"/>
      <c r="E66" s="327"/>
      <c r="F66" s="329"/>
      <c r="G66" s="109">
        <v>2</v>
      </c>
      <c r="H66" s="121">
        <v>1939.5241749808131</v>
      </c>
      <c r="I66" s="122">
        <v>-150.08154547833325</v>
      </c>
    </row>
    <row r="67" spans="4:9" x14ac:dyDescent="0.25">
      <c r="D67" s="330">
        <v>4</v>
      </c>
      <c r="E67" s="334" t="s">
        <v>595</v>
      </c>
      <c r="F67" s="336" t="s">
        <v>596</v>
      </c>
      <c r="G67" s="110">
        <v>1</v>
      </c>
      <c r="H67" s="123"/>
      <c r="I67" s="124"/>
    </row>
    <row r="68" spans="4:9" x14ac:dyDescent="0.25">
      <c r="D68" s="330"/>
      <c r="E68" s="335"/>
      <c r="F68" s="337"/>
      <c r="G68" s="109">
        <v>2</v>
      </c>
      <c r="H68" s="121"/>
      <c r="I68" s="122"/>
    </row>
    <row r="69" spans="4:9" x14ac:dyDescent="0.25">
      <c r="D69" s="330">
        <v>4</v>
      </c>
      <c r="E69" s="326" t="s">
        <v>110</v>
      </c>
      <c r="F69" s="328" t="s">
        <v>111</v>
      </c>
      <c r="G69" s="110">
        <v>1</v>
      </c>
      <c r="H69" s="123">
        <v>0</v>
      </c>
      <c r="I69" s="124">
        <v>-86.635598316295898</v>
      </c>
    </row>
    <row r="70" spans="4:9" x14ac:dyDescent="0.25">
      <c r="D70" s="330"/>
      <c r="E70" s="327"/>
      <c r="F70" s="329"/>
      <c r="G70" s="109">
        <v>2</v>
      </c>
      <c r="H70" s="121">
        <v>1999.3860322333073</v>
      </c>
      <c r="I70" s="122">
        <v>-20.061624061038685</v>
      </c>
    </row>
    <row r="71" spans="4:9" x14ac:dyDescent="0.25">
      <c r="D71" s="330">
        <v>5</v>
      </c>
      <c r="E71" s="334" t="s">
        <v>106</v>
      </c>
      <c r="F71" s="336" t="s">
        <v>107</v>
      </c>
      <c r="G71" s="111">
        <v>1</v>
      </c>
      <c r="H71" s="125">
        <v>-0.24307049242622725</v>
      </c>
      <c r="I71" s="126">
        <v>-189.98997364271969</v>
      </c>
    </row>
    <row r="72" spans="4:9" x14ac:dyDescent="0.25">
      <c r="D72" s="330"/>
      <c r="E72" s="335"/>
      <c r="F72" s="337"/>
      <c r="G72" s="109">
        <v>2</v>
      </c>
      <c r="H72" s="121">
        <v>1399.9839515772805</v>
      </c>
      <c r="I72" s="122">
        <v>-137.54384840816181</v>
      </c>
    </row>
    <row r="73" spans="4:9" x14ac:dyDescent="0.25">
      <c r="D73" s="330">
        <v>5</v>
      </c>
      <c r="E73" s="326" t="s">
        <v>116</v>
      </c>
      <c r="F73" s="328" t="s">
        <v>117</v>
      </c>
      <c r="G73" s="110">
        <v>1</v>
      </c>
      <c r="H73" s="123">
        <v>1.5805592652924361</v>
      </c>
      <c r="I73" s="124">
        <v>-264.59536426583668</v>
      </c>
    </row>
    <row r="74" spans="4:9" x14ac:dyDescent="0.25">
      <c r="D74" s="330"/>
      <c r="E74" s="327"/>
      <c r="F74" s="329"/>
      <c r="G74" s="109">
        <v>2</v>
      </c>
      <c r="H74" s="121">
        <v>1660.1208295964655</v>
      </c>
      <c r="I74" s="122">
        <v>-208.05656666295414</v>
      </c>
    </row>
    <row r="75" spans="4:9" x14ac:dyDescent="0.25">
      <c r="D75" s="330">
        <v>5</v>
      </c>
      <c r="E75" s="334" t="s">
        <v>61</v>
      </c>
      <c r="F75" s="336" t="s">
        <v>62</v>
      </c>
      <c r="G75" s="110">
        <v>1</v>
      </c>
      <c r="H75" s="123"/>
      <c r="I75" s="124"/>
    </row>
    <row r="76" spans="4:9" x14ac:dyDescent="0.25">
      <c r="D76" s="330"/>
      <c r="E76" s="335"/>
      <c r="F76" s="337"/>
      <c r="G76" s="109">
        <v>2</v>
      </c>
      <c r="H76" s="121"/>
      <c r="I76" s="122"/>
    </row>
    <row r="77" spans="4:9" x14ac:dyDescent="0.25">
      <c r="D77" s="330">
        <v>5</v>
      </c>
      <c r="E77" s="326" t="s">
        <v>71</v>
      </c>
      <c r="F77" s="328" t="s">
        <v>72</v>
      </c>
      <c r="G77" s="110">
        <v>1</v>
      </c>
      <c r="H77" s="123">
        <v>9.9199688600492664E-2</v>
      </c>
      <c r="I77" s="124">
        <v>-222.46304339763981</v>
      </c>
    </row>
    <row r="78" spans="4:9" ht="15.75" thickBot="1" x14ac:dyDescent="0.3">
      <c r="D78" s="331"/>
      <c r="E78" s="332"/>
      <c r="F78" s="333"/>
      <c r="G78" s="112">
        <v>2</v>
      </c>
      <c r="H78" s="127">
        <v>1175.3947025418838</v>
      </c>
      <c r="I78" s="128">
        <v>-182.11562570005236</v>
      </c>
    </row>
  </sheetData>
  <mergeCells count="66">
    <mergeCell ref="D39:D40"/>
    <mergeCell ref="E39:E40"/>
    <mergeCell ref="F39:F40"/>
    <mergeCell ref="D53:D54"/>
    <mergeCell ref="E53:E54"/>
    <mergeCell ref="F53:F54"/>
    <mergeCell ref="D47:D48"/>
    <mergeCell ref="E47:E48"/>
    <mergeCell ref="F47:F48"/>
    <mergeCell ref="D49:D50"/>
    <mergeCell ref="E49:E50"/>
    <mergeCell ref="F49:F50"/>
    <mergeCell ref="D45:D46"/>
    <mergeCell ref="E45:E46"/>
    <mergeCell ref="F45:F46"/>
    <mergeCell ref="D41:D42"/>
    <mergeCell ref="E4:I5"/>
    <mergeCell ref="D63:D64"/>
    <mergeCell ref="E63:E64"/>
    <mergeCell ref="F63:F64"/>
    <mergeCell ref="D33:I33"/>
    <mergeCell ref="D34:I35"/>
    <mergeCell ref="D37:D38"/>
    <mergeCell ref="E37:E38"/>
    <mergeCell ref="F37:F38"/>
    <mergeCell ref="D43:D44"/>
    <mergeCell ref="E43:E44"/>
    <mergeCell ref="F43:F44"/>
    <mergeCell ref="D51:D52"/>
    <mergeCell ref="E51:E52"/>
    <mergeCell ref="F51:F52"/>
    <mergeCell ref="D61:D62"/>
    <mergeCell ref="D59:D60"/>
    <mergeCell ref="E59:E60"/>
    <mergeCell ref="F59:F60"/>
    <mergeCell ref="D55:D56"/>
    <mergeCell ref="E55:E56"/>
    <mergeCell ref="F55:F56"/>
    <mergeCell ref="D57:D58"/>
    <mergeCell ref="E57:E58"/>
    <mergeCell ref="F57:F58"/>
    <mergeCell ref="F69:F70"/>
    <mergeCell ref="D75:D76"/>
    <mergeCell ref="E75:E76"/>
    <mergeCell ref="F75:F76"/>
    <mergeCell ref="D71:D72"/>
    <mergeCell ref="E71:E72"/>
    <mergeCell ref="F71:F72"/>
    <mergeCell ref="D73:D74"/>
    <mergeCell ref="E73:E74"/>
    <mergeCell ref="E41:E42"/>
    <mergeCell ref="F41:F42"/>
    <mergeCell ref="D77:D78"/>
    <mergeCell ref="E77:E78"/>
    <mergeCell ref="F77:F78"/>
    <mergeCell ref="D65:D66"/>
    <mergeCell ref="E65:E66"/>
    <mergeCell ref="F65:F66"/>
    <mergeCell ref="D67:D68"/>
    <mergeCell ref="E67:E68"/>
    <mergeCell ref="F67:F68"/>
    <mergeCell ref="F73:F74"/>
    <mergeCell ref="E61:E62"/>
    <mergeCell ref="F61:F62"/>
    <mergeCell ref="D69:D70"/>
    <mergeCell ref="E69:E7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EC72E-19C8-4EC8-A073-A431CE785044}">
  <dimension ref="A1:GB416"/>
  <sheetViews>
    <sheetView tabSelected="1" zoomScale="55" zoomScaleNormal="55" workbookViewId="0">
      <pane xSplit="1" topLeftCell="B1" activePane="topRight" state="frozen"/>
      <selection pane="topRight" activeCell="DT282" sqref="DT282"/>
    </sheetView>
  </sheetViews>
  <sheetFormatPr defaultRowHeight="15.75" x14ac:dyDescent="0.25"/>
  <cols>
    <col min="1" max="1" width="36" style="129" bestFit="1" customWidth="1"/>
    <col min="2" max="2" width="5.85546875" style="129" customWidth="1"/>
    <col min="3" max="3" width="21.7109375" style="129" customWidth="1"/>
    <col min="4" max="4" width="11.85546875" style="129" customWidth="1"/>
    <col min="5" max="5" width="15" style="129" bestFit="1" customWidth="1"/>
    <col min="6" max="6" width="6.7109375" style="129" customWidth="1"/>
    <col min="7" max="7" width="8.28515625" style="129" customWidth="1"/>
    <col min="8" max="8" width="6.85546875" style="129" customWidth="1"/>
    <col min="9" max="9" width="11" style="129" customWidth="1"/>
    <col min="10" max="10" width="12" style="129" customWidth="1"/>
    <col min="11" max="11" width="23.5703125" style="129" bestFit="1" customWidth="1"/>
    <col min="12" max="12" width="17.42578125" style="129" customWidth="1"/>
    <col min="13" max="13" width="10.7109375" style="129" bestFit="1" customWidth="1"/>
    <col min="14" max="14" width="11.5703125" style="129" bestFit="1" customWidth="1"/>
    <col min="15" max="15" width="10.140625" style="129" customWidth="1"/>
    <col min="16" max="16" width="10" style="129" customWidth="1"/>
    <col min="17" max="17" width="17.140625" style="129" customWidth="1"/>
    <col min="18" max="18" width="12.28515625" style="129" customWidth="1"/>
    <col min="19" max="19" width="12" style="129" customWidth="1"/>
    <col min="20" max="21" width="10.140625" style="129" bestFit="1" customWidth="1"/>
    <col min="22" max="22" width="8.7109375" style="129" bestFit="1" customWidth="1"/>
    <col min="23" max="24" width="10.140625" style="129" bestFit="1" customWidth="1"/>
    <col min="25" max="26" width="8.7109375" style="129" bestFit="1" customWidth="1"/>
    <col min="27" max="29" width="10.140625" style="129" bestFit="1" customWidth="1"/>
    <col min="30" max="31" width="8.7109375" style="129" bestFit="1" customWidth="1"/>
    <col min="32" max="32" width="9" style="129" customWidth="1"/>
    <col min="33" max="34" width="10.140625" style="129" bestFit="1" customWidth="1"/>
    <col min="35" max="35" width="11.5703125" style="129" bestFit="1" customWidth="1"/>
    <col min="36" max="44" width="9.140625" style="129"/>
    <col min="45" max="45" width="12.28515625" style="25" customWidth="1"/>
    <col min="46" max="46" width="9.28515625" style="129" customWidth="1"/>
    <col min="47" max="47" width="9.140625" style="25" customWidth="1"/>
    <col min="48" max="49" width="9.140625" style="129"/>
    <col min="50" max="52" width="9.140625" style="25"/>
    <col min="53" max="53" width="10.42578125" style="25" customWidth="1"/>
    <col min="54" max="54" width="9.85546875" style="25" customWidth="1"/>
    <col min="55" max="56" width="8.140625" style="129" customWidth="1"/>
    <col min="57" max="57" width="9.42578125" style="129" customWidth="1"/>
    <col min="58" max="58" width="10" style="129" customWidth="1"/>
    <col min="59" max="59" width="11" style="25" customWidth="1"/>
    <col min="60" max="60" width="11.42578125" style="25" customWidth="1"/>
    <col min="61" max="61" width="11.28515625" style="25" customWidth="1"/>
    <col min="62" max="62" width="20.7109375" style="25" customWidth="1"/>
    <col min="63" max="63" width="21" style="25" customWidth="1"/>
    <col min="64" max="64" width="10.28515625" style="25" customWidth="1"/>
    <col min="65" max="65" width="10.7109375" style="25" customWidth="1"/>
    <col min="66" max="66" width="12" style="25" customWidth="1"/>
    <col min="67" max="67" width="13.42578125" style="129" customWidth="1"/>
    <col min="68" max="68" width="10.7109375" style="129" customWidth="1"/>
    <col min="69" max="69" width="9.140625" style="25"/>
    <col min="70" max="70" width="9.140625" style="129" customWidth="1"/>
    <col min="72" max="72" width="9.140625" style="25"/>
    <col min="73" max="73" width="9.140625" style="129"/>
    <col min="74" max="74" width="9.140625" style="25"/>
    <col min="75" max="75" width="9.7109375" style="129" customWidth="1"/>
    <col min="76" max="76" width="9.5703125" style="129" customWidth="1"/>
    <col min="77" max="77" width="9.140625" style="129"/>
    <col min="78" max="78" width="9.140625" style="25"/>
    <col min="79" max="84" width="9.140625" style="129"/>
    <col min="85" max="85" width="14.42578125" style="129" bestFit="1" customWidth="1"/>
    <col min="86" max="86" width="11.5703125" style="129" customWidth="1"/>
    <col min="87" max="87" width="9.140625" style="129"/>
    <col min="88" max="88" width="15" style="129" bestFit="1" customWidth="1"/>
    <col min="89" max="89" width="14.7109375" style="129" bestFit="1" customWidth="1"/>
    <col min="90" max="90" width="9.140625" style="129"/>
    <col min="91" max="91" width="12.85546875" style="129" bestFit="1" customWidth="1"/>
    <col min="92" max="92" width="14.42578125" style="129" bestFit="1" customWidth="1"/>
    <col min="93" max="93" width="9.140625" style="129"/>
    <col min="94" max="95" width="12.85546875" style="129" bestFit="1" customWidth="1"/>
    <col min="96" max="96" width="12.5703125" style="129" bestFit="1" customWidth="1"/>
    <col min="97" max="98" width="13.42578125" style="129" bestFit="1" customWidth="1"/>
    <col min="99" max="99" width="13.42578125" style="129" customWidth="1"/>
    <col min="100" max="100" width="12.5703125" style="129" bestFit="1" customWidth="1"/>
    <col min="101" max="101" width="12.5703125" style="129" customWidth="1"/>
    <col min="102" max="102" width="13.140625" style="129" bestFit="1" customWidth="1"/>
    <col min="103" max="103" width="16" style="129" bestFit="1" customWidth="1"/>
    <col min="104" max="106" width="16" style="129" customWidth="1"/>
    <col min="107" max="108" width="16" style="129" bestFit="1" customWidth="1"/>
    <col min="109" max="109" width="16.7109375" style="129" bestFit="1" customWidth="1"/>
    <col min="110" max="110" width="16.7109375" style="129" customWidth="1"/>
    <col min="111" max="111" width="16" style="129" bestFit="1" customWidth="1"/>
    <col min="112" max="112" width="16.5703125" style="129" bestFit="1" customWidth="1"/>
    <col min="113" max="113" width="16.28515625" style="129" bestFit="1" customWidth="1"/>
    <col min="114" max="114" width="15" style="130" bestFit="1" customWidth="1"/>
    <col min="115" max="115" width="17" style="130" bestFit="1" customWidth="1"/>
    <col min="116" max="116" width="17.28515625" style="130" bestFit="1" customWidth="1"/>
    <col min="117" max="117" width="16" style="129" bestFit="1" customWidth="1"/>
    <col min="118" max="118" width="29.42578125" style="129" bestFit="1" customWidth="1"/>
    <col min="119" max="119" width="16" style="129" bestFit="1" customWidth="1"/>
    <col min="120" max="120" width="16" style="129" customWidth="1"/>
    <col min="121" max="121" width="16" style="129" bestFit="1" customWidth="1"/>
    <col min="122" max="122" width="16" style="129" customWidth="1"/>
    <col min="124" max="124" width="16" style="129" customWidth="1"/>
    <col min="126" max="139" width="16" style="129" customWidth="1"/>
    <col min="140" max="140" width="30.85546875" style="129" customWidth="1"/>
    <col min="141" max="141" width="16" style="129" customWidth="1"/>
    <col min="142" max="142" width="16.42578125" style="129" customWidth="1"/>
    <col min="143" max="143" width="18.85546875" style="129" bestFit="1" customWidth="1"/>
    <col min="144" max="144" width="16" style="129" customWidth="1"/>
    <col min="145" max="145" width="13.7109375" style="129" customWidth="1"/>
    <col min="146" max="146" width="16" style="129" customWidth="1"/>
    <col min="147" max="147" width="25.7109375" style="129" customWidth="1"/>
    <col min="148" max="149" width="16" style="129" bestFit="1" customWidth="1"/>
    <col min="150" max="151" width="16" style="129" customWidth="1"/>
    <col min="152" max="152" width="16" style="129" bestFit="1" customWidth="1"/>
    <col min="153" max="153" width="16" style="129" customWidth="1"/>
    <col min="154" max="157" width="9.140625" style="129"/>
    <col min="158" max="158" width="16" style="129" bestFit="1" customWidth="1"/>
    <col min="159" max="159" width="35.28515625" style="129" bestFit="1" customWidth="1"/>
    <col min="160" max="160" width="16" style="129" customWidth="1"/>
    <col min="161" max="162" width="29" style="129" bestFit="1" customWidth="1"/>
    <col min="163" max="163" width="49.28515625" style="129" bestFit="1" customWidth="1"/>
    <col min="164" max="164" width="22.28515625" style="129" bestFit="1" customWidth="1"/>
    <col min="165" max="165" width="33" style="129" customWidth="1"/>
    <col min="166" max="166" width="22" style="129" customWidth="1"/>
    <col min="167" max="167" width="29.7109375" style="129" bestFit="1" customWidth="1"/>
    <col min="168" max="168" width="29.7109375" style="129" customWidth="1"/>
    <col min="169" max="169" width="9.140625" style="129"/>
    <col min="170" max="170" width="35.140625" style="129" bestFit="1" customWidth="1"/>
    <col min="171" max="171" width="35.42578125" style="129" bestFit="1" customWidth="1"/>
    <col min="172" max="172" width="36" style="129" bestFit="1" customWidth="1"/>
    <col min="173" max="173" width="36.28515625" style="129" bestFit="1" customWidth="1"/>
    <col min="174" max="174" width="35" style="129" bestFit="1" customWidth="1"/>
    <col min="175" max="175" width="32.140625" style="129" bestFit="1" customWidth="1"/>
    <col min="176" max="176" width="23.7109375" style="129" bestFit="1" customWidth="1"/>
    <col min="177" max="177" width="42" style="129" bestFit="1" customWidth="1"/>
    <col min="178" max="178" width="20.140625" style="129" bestFit="1" customWidth="1"/>
    <col min="179" max="179" width="22.28515625" style="129" bestFit="1" customWidth="1"/>
    <col min="180" max="180" width="57.85546875" style="129" bestFit="1" customWidth="1"/>
    <col min="181" max="181" width="14.7109375" style="129" bestFit="1" customWidth="1"/>
    <col min="182" max="182" width="15.7109375" style="129" bestFit="1" customWidth="1"/>
    <col min="183" max="183" width="190" style="129" bestFit="1" customWidth="1"/>
    <col min="184" max="184" width="28.42578125" style="129" bestFit="1" customWidth="1"/>
    <col min="185" max="185" width="18.28515625" style="129" bestFit="1" customWidth="1"/>
    <col min="186" max="186" width="9.140625" style="129"/>
    <col min="187" max="187" width="158.140625" style="129" bestFit="1" customWidth="1"/>
    <col min="188" max="188" width="16.85546875" style="129" bestFit="1" customWidth="1"/>
    <col min="189" max="191" width="18.5703125" style="129" bestFit="1" customWidth="1"/>
    <col min="192" max="192" width="9.140625" style="129"/>
    <col min="193" max="193" width="12.85546875" style="129" bestFit="1" customWidth="1"/>
    <col min="194" max="194" width="13.85546875" style="129" bestFit="1" customWidth="1"/>
    <col min="195" max="195" width="10" style="129" bestFit="1" customWidth="1"/>
    <col min="196" max="196" width="9.85546875" style="129" bestFit="1" customWidth="1"/>
    <col min="197" max="197" width="11.7109375" style="129" bestFit="1" customWidth="1"/>
    <col min="198" max="198" width="9.140625" style="129"/>
    <col min="199" max="199" width="12.28515625" style="129" bestFit="1" customWidth="1"/>
    <col min="200" max="200" width="37.7109375" style="129" bestFit="1" customWidth="1"/>
    <col min="201" max="201" width="16.85546875" style="129" bestFit="1" customWidth="1"/>
    <col min="202" max="202" width="27.140625" style="129" bestFit="1" customWidth="1"/>
    <col min="203" max="203" width="12.85546875" style="129" bestFit="1" customWidth="1"/>
    <col min="204" max="204" width="16.28515625" style="129" bestFit="1" customWidth="1"/>
    <col min="205" max="205" width="19.140625" style="129" bestFit="1" customWidth="1"/>
    <col min="206" max="206" width="37.7109375" style="129" bestFit="1" customWidth="1"/>
    <col min="207" max="207" width="16.85546875" style="129" bestFit="1" customWidth="1"/>
    <col min="208" max="208" width="27.140625" style="129" bestFit="1" customWidth="1"/>
    <col min="209" max="214" width="9.140625" style="129"/>
    <col min="215" max="215" width="12" style="129" bestFit="1" customWidth="1"/>
    <col min="216" max="216" width="12.140625" style="129" bestFit="1" customWidth="1"/>
    <col min="217" max="217" width="9.140625" style="129"/>
    <col min="218" max="218" width="11.85546875" style="129" bestFit="1" customWidth="1"/>
    <col min="219" max="219" width="14.140625" style="129" customWidth="1"/>
    <col min="220" max="220" width="11.85546875" style="129" bestFit="1" customWidth="1"/>
    <col min="221" max="16384" width="9.140625" style="129"/>
  </cols>
  <sheetData>
    <row r="1" spans="1:129" x14ac:dyDescent="0.25">
      <c r="A1" s="129" t="s">
        <v>2</v>
      </c>
      <c r="B1" s="129" t="s">
        <v>0</v>
      </c>
      <c r="C1" s="129" t="s">
        <v>6</v>
      </c>
      <c r="D1" s="129" t="s">
        <v>7</v>
      </c>
      <c r="E1" s="129" t="s">
        <v>4</v>
      </c>
      <c r="F1" s="129" t="s">
        <v>5</v>
      </c>
      <c r="G1" s="129" t="s">
        <v>23</v>
      </c>
      <c r="H1" s="129" t="s">
        <v>122</v>
      </c>
      <c r="I1" s="129" t="s">
        <v>21</v>
      </c>
      <c r="J1" s="129" t="s">
        <v>13</v>
      </c>
      <c r="K1" s="129" t="s">
        <v>3</v>
      </c>
      <c r="L1" s="129" t="s">
        <v>9</v>
      </c>
      <c r="M1" s="129" t="s">
        <v>123</v>
      </c>
      <c r="N1" s="129" t="s">
        <v>124</v>
      </c>
      <c r="O1" s="129" t="s">
        <v>125</v>
      </c>
      <c r="P1" s="129" t="s">
        <v>126</v>
      </c>
      <c r="Q1" s="129" t="s">
        <v>127</v>
      </c>
      <c r="R1" s="129" t="s">
        <v>128</v>
      </c>
      <c r="S1" s="129" t="s">
        <v>129</v>
      </c>
      <c r="T1" s="129" t="s">
        <v>130</v>
      </c>
      <c r="U1" s="129" t="s">
        <v>131</v>
      </c>
      <c r="V1" s="129" t="s">
        <v>132</v>
      </c>
      <c r="W1" s="129" t="s">
        <v>133</v>
      </c>
      <c r="X1" s="129" t="s">
        <v>134</v>
      </c>
      <c r="Y1" s="129" t="s">
        <v>135</v>
      </c>
      <c r="Z1" s="129" t="s">
        <v>136</v>
      </c>
      <c r="AA1" s="129" t="s">
        <v>137</v>
      </c>
      <c r="AB1" s="129" t="s">
        <v>138</v>
      </c>
      <c r="AC1" s="129" t="s">
        <v>139</v>
      </c>
      <c r="AD1" s="129" t="s">
        <v>140</v>
      </c>
      <c r="AE1" s="129" t="s">
        <v>141</v>
      </c>
      <c r="AF1" s="129" t="s">
        <v>142</v>
      </c>
      <c r="AG1" s="129" t="s">
        <v>143</v>
      </c>
      <c r="AH1" s="129" t="s">
        <v>144</v>
      </c>
      <c r="AI1" s="129" t="s">
        <v>145</v>
      </c>
      <c r="AJ1" s="129" t="s">
        <v>146</v>
      </c>
      <c r="AK1" s="129" t="s">
        <v>147</v>
      </c>
      <c r="AL1" s="129" t="s">
        <v>148</v>
      </c>
      <c r="AM1" s="129" t="s">
        <v>149</v>
      </c>
      <c r="AN1" s="129" t="s">
        <v>150</v>
      </c>
      <c r="AO1" s="129" t="s">
        <v>151</v>
      </c>
      <c r="AP1" s="129" t="s">
        <v>152</v>
      </c>
      <c r="AQ1" s="129" t="s">
        <v>153</v>
      </c>
      <c r="AR1" s="129" t="s">
        <v>154</v>
      </c>
      <c r="AS1" s="129" t="s">
        <v>155</v>
      </c>
      <c r="AT1" s="129" t="s">
        <v>156</v>
      </c>
      <c r="AU1" s="129" t="s">
        <v>157</v>
      </c>
      <c r="AV1" s="129" t="s">
        <v>158</v>
      </c>
      <c r="AW1" s="129" t="s">
        <v>159</v>
      </c>
      <c r="AX1" s="129" t="s">
        <v>160</v>
      </c>
      <c r="AY1" s="129" t="s">
        <v>161</v>
      </c>
      <c r="AZ1" s="129" t="s">
        <v>162</v>
      </c>
      <c r="BA1" s="129" t="s">
        <v>163</v>
      </c>
      <c r="BB1" s="129" t="s">
        <v>164</v>
      </c>
      <c r="BC1" s="129" t="s">
        <v>165</v>
      </c>
      <c r="BD1" s="129" t="s">
        <v>166</v>
      </c>
      <c r="BE1" s="129" t="s">
        <v>167</v>
      </c>
      <c r="BF1" s="129" t="s">
        <v>168</v>
      </c>
      <c r="BG1" s="129" t="s">
        <v>169</v>
      </c>
      <c r="BH1" s="129" t="s">
        <v>170</v>
      </c>
      <c r="BI1" s="129" t="s">
        <v>171</v>
      </c>
      <c r="BJ1" s="129" t="s">
        <v>172</v>
      </c>
      <c r="BK1" s="129" t="s">
        <v>610</v>
      </c>
      <c r="BL1" s="129" t="s">
        <v>611</v>
      </c>
      <c r="BM1" s="130" t="s">
        <v>16</v>
      </c>
      <c r="BN1" s="130" t="s">
        <v>17</v>
      </c>
      <c r="BO1" s="130" t="s">
        <v>24</v>
      </c>
      <c r="BP1" s="129" t="s">
        <v>18</v>
      </c>
      <c r="BQ1" s="129" t="s">
        <v>173</v>
      </c>
      <c r="BR1" s="129" t="s">
        <v>19</v>
      </c>
      <c r="BS1" s="129" t="s">
        <v>174</v>
      </c>
      <c r="BT1" s="129" t="s">
        <v>14</v>
      </c>
      <c r="BU1" s="129" t="s">
        <v>175</v>
      </c>
      <c r="BV1" s="129" t="s">
        <v>176</v>
      </c>
      <c r="BW1" s="129" t="s">
        <v>177</v>
      </c>
      <c r="BX1" s="129" t="s">
        <v>178</v>
      </c>
      <c r="BY1" s="129" t="s">
        <v>179</v>
      </c>
      <c r="BZ1" s="129" t="s">
        <v>180</v>
      </c>
      <c r="CA1" s="129" t="s">
        <v>181</v>
      </c>
      <c r="CB1" s="129" t="s">
        <v>182</v>
      </c>
      <c r="CC1" s="129" t="s">
        <v>183</v>
      </c>
      <c r="CD1" s="129" t="s">
        <v>184</v>
      </c>
      <c r="CE1" s="129" t="s">
        <v>185</v>
      </c>
      <c r="CF1" s="129" t="s">
        <v>186</v>
      </c>
      <c r="CG1" s="129" t="s">
        <v>187</v>
      </c>
      <c r="CH1" s="129" t="s">
        <v>188</v>
      </c>
      <c r="CI1" s="129" t="s">
        <v>189</v>
      </c>
      <c r="CJ1" s="129" t="s">
        <v>190</v>
      </c>
      <c r="CK1" s="129" t="s">
        <v>191</v>
      </c>
      <c r="CL1" s="129" t="s">
        <v>192</v>
      </c>
      <c r="CM1" s="129" t="s">
        <v>193</v>
      </c>
      <c r="CN1" s="129" t="s">
        <v>194</v>
      </c>
      <c r="CO1" s="129" t="s">
        <v>195</v>
      </c>
      <c r="CP1" s="129" t="s">
        <v>196</v>
      </c>
      <c r="CQ1" s="129" t="s">
        <v>197</v>
      </c>
      <c r="CR1" s="129" t="s">
        <v>198</v>
      </c>
      <c r="CS1" s="129" t="s">
        <v>199</v>
      </c>
      <c r="CT1" s="129" t="s">
        <v>200</v>
      </c>
      <c r="CU1" s="129" t="s">
        <v>201</v>
      </c>
      <c r="CV1" s="129" t="s">
        <v>202</v>
      </c>
      <c r="CW1" s="129" t="s">
        <v>203</v>
      </c>
      <c r="CX1" s="129" t="s">
        <v>204</v>
      </c>
      <c r="CY1" s="129" t="s">
        <v>205</v>
      </c>
      <c r="CZ1" s="129" t="s">
        <v>206</v>
      </c>
      <c r="DA1" s="129" t="s">
        <v>207</v>
      </c>
      <c r="DB1" s="129" t="s">
        <v>208</v>
      </c>
      <c r="DC1" s="129" t="s">
        <v>209</v>
      </c>
      <c r="DD1" s="129" t="s">
        <v>210</v>
      </c>
      <c r="DE1" s="129" t="s">
        <v>211</v>
      </c>
      <c r="DF1" s="129" t="s">
        <v>212</v>
      </c>
      <c r="DG1" s="129" t="s">
        <v>213</v>
      </c>
      <c r="DH1" s="129" t="s">
        <v>214</v>
      </c>
      <c r="DI1" s="129" t="s">
        <v>215</v>
      </c>
      <c r="DJ1" s="129" t="s">
        <v>20</v>
      </c>
      <c r="DK1" s="129" t="s">
        <v>11</v>
      </c>
      <c r="DL1" s="129" t="s">
        <v>216</v>
      </c>
      <c r="DM1" s="129" t="s">
        <v>217</v>
      </c>
      <c r="DN1" s="129" t="s">
        <v>29</v>
      </c>
      <c r="DO1" s="129" t="s">
        <v>218</v>
      </c>
      <c r="DP1" s="129" t="s">
        <v>25</v>
      </c>
      <c r="DQ1" s="129" t="s">
        <v>32</v>
      </c>
      <c r="DR1" s="129" t="s">
        <v>26</v>
      </c>
      <c r="DS1" s="131" t="s">
        <v>37</v>
      </c>
      <c r="DT1" s="129" t="s">
        <v>219</v>
      </c>
      <c r="DU1" s="129" t="s">
        <v>36</v>
      </c>
      <c r="DW1" s="129" t="s">
        <v>220</v>
      </c>
      <c r="DY1" s="129" t="s">
        <v>221</v>
      </c>
    </row>
    <row r="2" spans="1:129" x14ac:dyDescent="0.25">
      <c r="A2" s="129" t="s">
        <v>222</v>
      </c>
      <c r="B2" s="129">
        <v>0</v>
      </c>
      <c r="C2" s="129" t="s">
        <v>223</v>
      </c>
      <c r="D2" s="129">
        <v>2018</v>
      </c>
      <c r="E2" s="129" t="s">
        <v>224</v>
      </c>
      <c r="F2" s="129" t="s">
        <v>225</v>
      </c>
      <c r="G2" s="129" t="s">
        <v>226</v>
      </c>
      <c r="H2" s="129">
        <v>0</v>
      </c>
      <c r="I2" s="129">
        <v>700</v>
      </c>
      <c r="J2" s="129">
        <v>1000</v>
      </c>
      <c r="K2" s="129" t="s">
        <v>227</v>
      </c>
      <c r="L2" s="129" t="s">
        <v>227</v>
      </c>
      <c r="N2" s="129">
        <v>7980000</v>
      </c>
      <c r="O2" s="130">
        <v>10.025</v>
      </c>
      <c r="P2" s="130">
        <v>16.824999999999999</v>
      </c>
      <c r="Q2" s="130">
        <v>2.0114999999999998</v>
      </c>
      <c r="R2" s="130">
        <f>100-SUM(_2025_01_07T12_47_export3[[#This Row],[Ni_wt]:[Mo_wt]],_2025_01_07T12_47_export3[[#This Row],[W_wt]:[H_wt]])</f>
        <v>68.610900000000001</v>
      </c>
      <c r="S2" s="130"/>
      <c r="T2" s="130"/>
      <c r="U2" s="130">
        <v>1.5305</v>
      </c>
      <c r="V2" s="130"/>
      <c r="W2" s="130"/>
      <c r="X2" s="130">
        <v>0.309</v>
      </c>
      <c r="Y2" s="130">
        <v>0.22500000000000001</v>
      </c>
      <c r="Z2" s="130">
        <v>0.3795</v>
      </c>
      <c r="AA2" s="130"/>
      <c r="AB2" s="130"/>
      <c r="AC2" s="130">
        <v>3.1E-2</v>
      </c>
      <c r="AD2" s="130">
        <v>1.6000000000000001E-3</v>
      </c>
      <c r="AE2" s="130"/>
      <c r="AF2" s="130"/>
      <c r="AG2" s="130"/>
      <c r="AH2" s="130"/>
      <c r="AI2" s="130"/>
      <c r="AJ2" s="130">
        <v>5.0999999999999997E-2</v>
      </c>
      <c r="AK2" s="130"/>
      <c r="AL2" s="130"/>
      <c r="AM2" s="130">
        <f t="shared" ref="AM2:AM65" si="0">100*(O2/BD$343)/($O2/$BD$343+$P2/$BD$344+$Q2/$BD$346+$R2/$BD$348+$S2/$BD$350+$T2/$BD$351+$U2/$BD$352+$V2/$BD$353+$W2/$BD$354+$X2/$BD$359+$Y2/$BD$360+$Z2/$BD$361+$AA2/$BD$362+$AB2/$BD$363+$AC2/$BD$364+$AD2/$BD$365+$AE2/$BD$366+$AF2/$BD$367+$AG2/$BD$369+$AH2/$BD$355+$AI2/$BD$356+$AJ2/$BD$357+$AK2/$BD$368+$AL2/$BD$358)</f>
        <v>9.4263736040079404</v>
      </c>
      <c r="AN2" s="130">
        <f t="shared" ref="AN2:AN65" si="1">100*(P2/BD$344)/($O2/$BD$343+$P2/$BD$344+$Q2/$BD$346+$R2/$BD$348+$S2/$BD$350+$T2/$BD$351+$U2/$BD$352+$V2/$BD$353+$W2/$BD$354+$X2/$BD$359+$Y2/$BD$360+$Z2/$BD$361+$AA2/$BD$362+$AB2/$BD$363+$AC2/$BD$364+$AD2/$BD$365+$AE2/$BD$366+$AF2/$BD$367+$AG2/$BD$369+$AH2/$BD$355+$AI2/$BD$356+$AJ2/$BD$357+$AK2/$BD$368+$AL2/$BD$358)</f>
        <v>17.855668155061338</v>
      </c>
      <c r="AO2" s="130">
        <f t="shared" ref="AO2:AO65" si="2">100*(Q2/BD$346)/($O2/$BD$343+$P2/$BD$344+$Q2/$BD$346+$R2/$BD$348+$S2/$BD$350+$T2/$BD$351+$U2/$BD$352+$V2/$BD$353+$W2/$BD$354+$X2/$BD$359+$Y2/$BD$360+$Z2/$BD$361+$AA2/$BD$362+$AB2/$BD$363+$AC2/$BD$364+$AD2/$BD$365+$AE2/$BD$366+$AF2/$BD$367+$AG2/$BD$369+$AH2/$BD$355+$AI2/$BD$356+$AJ2/$BD$357+$AK2/$BD$368+$AL2/$BD$358)</f>
        <v>1.1567890643408911</v>
      </c>
      <c r="AP2" s="130">
        <f t="shared" ref="AP2:AP65" si="3">100*(R2/BD$348)/($O2/$BD$343+$P2/$BD$344+$Q2/$BD$346+$R2/$BD$348+$S2/$BD$350+$T2/$BD$351+$U2/$BD$352+$V2/$BD$353+$W2/$BD$354+$X2/$BD$359+$Y2/$BD$360+$Z2/$BD$361+$AA2/$BD$362+$AB2/$BD$363+$AC2/$BD$364+$AD2/$BD$365+$AE2/$BD$366+$AF2/$BD$367+$AG2/$BD$369+$AH2/$BD$355+$AI2/$BD$356+$AJ2/$BD$357+$AK2/$BD$368+$AL2/$BD$358)</f>
        <v>67.794477124908823</v>
      </c>
      <c r="AQ2" s="130">
        <f t="shared" ref="AQ2:AQ65" si="4">100*(S2/BD$350)/($O2/$BD$343+$P2/$BD$344+$Q2/$BD$346+$R2/$BD$348+$S2/$BD$350+$T2/$BD$351+$U2/$BD$352+$V2/$BD$353+$W2/$BD$354+$X2/$BD$359+$Y2/$BD$360+$Z2/$BD$361+$AA2/$BD$362+$AB2/$BD$363+$AC2/$BD$364+$AD2/$BD$365+$AE2/$BD$366+$AF2/$BD$367+$AG2/$BD$369+$AH2/$BD$355+$AI2/$BD$356+$AJ2/$BD$357+$AK2/$BD$368+$AL2/$BD$358)</f>
        <v>0</v>
      </c>
      <c r="AR2" s="130">
        <f t="shared" ref="AR2:AR65" si="5">100*(T2/BD$351)/($O2/$BD$343+$P2/$BD$344+$Q2/$BD$346+$R2/$BD$348+$S2/$BD$350+$T2/$BD$351+$U2/$BD$352+$V2/$BD$353+$W2/$BD$354+$X2/$BD$359+$Y2/$BD$360+$Z2/$BD$361+$AA2/$BD$362+$AB2/$BD$363+$AC2/$BD$364+$AD2/$BD$365+$AE2/$BD$366+$AF2/$BD$367+$AG2/$BD$369+$AH2/$BD$355+$AI2/$BD$356+$AJ2/$BD$357+$AK2/$BD$368+$AL2/$BD$358)</f>
        <v>0</v>
      </c>
      <c r="AS2" s="130">
        <f t="shared" ref="AS2:AS65" si="6">100*(U2/BD$352)/($O2/$BD$343+$P2/$BD$344+$Q2/$BD$346+$R2/$BD$348+$S2/$BD$350+$T2/$BD$351+$U2/$BD$352+$V2/$BD$353+$W2/$BD$354+$X2/$BD$359+$Y2/$BD$360+$Z2/$BD$361+$AA2/$BD$362+$AB2/$BD$363+$AC2/$BD$364+$AD2/$BD$365+$AE2/$BD$366+$AF2/$BD$367+$AG2/$BD$369+$AH2/$BD$355+$AI2/$BD$356+$AJ2/$BD$357+$AK2/$BD$368+$AL2/$BD$358)</f>
        <v>1.53733691466061</v>
      </c>
      <c r="AT2" s="130">
        <f t="shared" ref="AT2:AT65" si="7">100*(V2/BD$353)/($O2/$BD$343+$P2/$BD$344+$Q2/$BD$346+$R2/$BD$348+$S2/$BD$350+$T2/$BD$351+$U2/$BD$352+$V2/$BD$353+$W2/$BD$354+$X2/$BD$359+$Y2/$BD$360+$Z2/$BD$361+$AA2/$BD$362+$AB2/$BD$363+$AC2/$BD$364+$AD2/$BD$365+$AE2/$BD$366+$AF2/$BD$367+$AG2/$BD$369+$AH2/$BD$355+$AI2/$BD$356+$AJ2/$BD$357+$AK2/$BD$368+$AL2/$BD$358)</f>
        <v>0</v>
      </c>
      <c r="AU2" s="130">
        <f t="shared" ref="AU2:AU65" si="8">100*(W2/BD$354)/($O2/$BD$343+$P2/$BD$344+$Q2/$BD$346+$R2/$BD$348+$S2/$BD$350+$T2/$BD$351+$U2/$BD$352+$V2/$BD$353+$W2/$BD$354+$X2/$BD$359+$Y2/$BD$360+$Z2/$BD$361+$AA2/$BD$362+$AB2/$BD$363+$AC2/$BD$364+$AD2/$BD$365+$AE2/$BD$366+$AF2/$BD$367+$AG2/$BD$369+$AH2/$BD$355+$AI2/$BD$356+$AJ2/$BD$357+$AK2/$BD$368+$AL2/$BD$358)</f>
        <v>0</v>
      </c>
      <c r="AV2" s="130">
        <f t="shared" ref="AV2:AV65" si="9">100*(X2/BD$359)/($O2/$BD$343+$P2/$BD$344+$Q2/$BD$346+$R2/$BD$348+$S2/$BD$350+$T2/$BD$351+$U2/$BD$352+$V2/$BD$353+$W2/$BD$354+$X2/$BD$359+$Y2/$BD$360+$Z2/$BD$361+$AA2/$BD$362+$AB2/$BD$363+$AC2/$BD$364+$AD2/$BD$365+$AE2/$BD$366+$AF2/$BD$367+$AG2/$BD$369+$AH2/$BD$355+$AI2/$BD$356+$AJ2/$BD$357+$AK2/$BD$368+$AL2/$BD$358)</f>
        <v>0.60705930029728394</v>
      </c>
      <c r="AW2" s="130">
        <f t="shared" ref="AW2:AW65" si="10">100*(Y2/BD$360)/($O2/$BD$343+$P2/$BD$344+$Q2/$BD$346+$R2/$BD$348+$S2/$BD$350+$T2/$BD$351+$U2/$BD$352+$V2/$BD$353+$W2/$BD$354+$X2/$BD$359+$Y2/$BD$360+$Z2/$BD$361+$AA2/$BD$362+$AB2/$BD$363+$AC2/$BD$364+$AD2/$BD$365+$AE2/$BD$366+$AF2/$BD$367+$AG2/$BD$369+$AH2/$BD$355+$AI2/$BD$356+$AJ2/$BD$357+$AK2/$BD$368+$AL2/$BD$358)</f>
        <v>1.0338651293026873</v>
      </c>
      <c r="AX2" s="130">
        <f t="shared" ref="AX2:AX65" si="11">100*(Z2/BD$361)/($O2/$BD$343+$P2/$BD$344+$Q2/$BD$346+$R2/$BD$348+$S2/$BD$350+$T2/$BD$351+$U2/$BD$352+$V2/$BD$353+$W2/$BD$354+$X2/$BD$359+$Y2/$BD$360+$Z2/$BD$361+$AA2/$BD$362+$AB2/$BD$363+$AC2/$BD$364+$AD2/$BD$365+$AE2/$BD$366+$AF2/$BD$367+$AG2/$BD$369+$AH2/$BD$355+$AI2/$BD$356+$AJ2/$BD$357+$AK2/$BD$368+$AL2/$BD$358)</f>
        <v>0.32954945831000193</v>
      </c>
      <c r="AY2" s="130">
        <f t="shared" ref="AY2:AY65" si="12">100*(AA2/BD$362)/($O2/$BD$343+$P2/$BD$344+$Q2/$BD$346+$R2/$BD$348+$S2/$BD$350+$T2/$BD$351+$U2/$BD$352+$V2/$BD$353+$W2/$BD$354+$X2/$BD$359+$Y2/$BD$360+$Z2/$BD$361+$AA2/$BD$362+$AB2/$BD$363+$AC2/$BD$364+$AD2/$BD$365+$AE2/$BD$366+$AF2/$BD$367+$AG2/$BD$369+$AH2/$BD$355+$AI2/$BD$356+$AJ2/$BD$357+$AK2/$BD$368+$AL2/$BD$358)</f>
        <v>0</v>
      </c>
      <c r="AZ2" s="130">
        <f t="shared" ref="AZ2:AZ65" si="13">100*(AB2/BD$363)/($O2/$BD$343+$P2/$BD$344+$Q2/$BD$346+$R2/$BD$348+$S2/$BD$350+$T2/$BD$351+$U2/$BD$352+$V2/$BD$353+$W2/$BD$354+$X2/$BD$359+$Y2/$BD$360+$Z2/$BD$361+$AA2/$BD$362+$AB2/$BD$363+$AC2/$BD$364+$AD2/$BD$365+$AE2/$BD$366+$AF2/$BD$367+$AG2/$BD$369+$AH2/$BD$355+$AI2/$BD$356+$AJ2/$BD$357+$AK2/$BD$368+$AL2/$BD$358)</f>
        <v>0</v>
      </c>
      <c r="BA2" s="130">
        <f t="shared" ref="BA2:BA65" si="14">100*(AC2/BD$364)/($O2/$BD$343+$P2/$BD$344+$Q2/$BD$346+$R2/$BD$348+$S2/$BD$350+$T2/$BD$351+$U2/$BD$352+$V2/$BD$353+$W2/$BD$354+$X2/$BD$359+$Y2/$BD$360+$Z2/$BD$361+$AA2/$BD$362+$AB2/$BD$363+$AC2/$BD$364+$AD2/$BD$365+$AE2/$BD$366+$AF2/$BD$367+$AG2/$BD$369+$AH2/$BD$355+$AI2/$BD$356+$AJ2/$BD$357+$AK2/$BD$368+$AL2/$BD$358)</f>
        <v>5.5238880104858952E-2</v>
      </c>
      <c r="BB2" s="130">
        <f t="shared" ref="BB2:BB65" si="15">100*(AD2/BD$365)/($O2/$BD$343+$P2/$BD$344+$Q2/$BD$346+$R2/$BD$348+$S2/$BD$350+$T2/$BD$351+$U2/$BD$352+$V2/$BD$353+$W2/$BD$354+$X2/$BD$359+$Y2/$BD$360+$Z2/$BD$361+$AA2/$BD$362+$AB2/$BD$363+$AC2/$BD$364+$AD2/$BD$365+$AE2/$BD$366+$AF2/$BD$367+$AG2/$BD$369+$AH2/$BD$355+$AI2/$BD$356+$AJ2/$BD$357+$AK2/$BD$368+$AL2/$BD$358)</f>
        <v>2.7532484252753265E-3</v>
      </c>
      <c r="BC2" s="130">
        <f t="shared" ref="BC2:BC65" si="16">100*(AE2/BD$366)/($O2/$BD$343+$P2/$BD$344+$Q2/$BD$346+$R2/$BD$348+$S2/$BD$350+$T2/$BD$351+$U2/$BD$352+$V2/$BD$353+$W2/$BD$354+$X2/$BD$359+$Y2/$BD$360+$Z2/$BD$361+$AA2/$BD$362+$AB2/$BD$363+$AC2/$BD$364+$AD2/$BD$365+$AE2/$BD$366+$AF2/$BD$367+$AG2/$BD$369+$AH2/$BD$355+$AI2/$BD$356+$AJ2/$BD$357+$AK2/$BD$368+$AL2/$BD$358)</f>
        <v>0</v>
      </c>
      <c r="BD2" s="130">
        <f t="shared" ref="BD2:BD65" si="17">100*(AF2/BD$367)/($O2/$BD$343+$P2/$BD$344+$Q2/$BD$346+$R2/$BD$348+$S2/$BD$350+$T2/$BD$351+$U2/$BD$352+$V2/$BD$353+$W2/$BD$354+$X2/$BD$359+$Y2/$BD$360+$Z2/$BD$361+$AA2/$BD$362+$AB2/$BD$363+$AC2/$BD$364+$AD2/$BD$365+$AE2/$BD$366+$AF2/$BD$367+$AG2/$BD$369+$AH2/$BD$355+$AI2/$BD$356+$AJ2/$BD$357+$AK2/$BD$368+$AL2/$BD$358)</f>
        <v>0</v>
      </c>
      <c r="BE2" s="130">
        <f t="shared" ref="BE2:BE65" si="18">100*(AG2/BD$369)/($O2/$BD$343+$P2/$BD$344+$Q2/$BD$346+$R2/$BD$348+$S2/$BD$350+$T2/$BD$351+$U2/$BD$352+$V2/$BD$353+$W2/$BD$354+$X2/$BD$359+$Y2/$BD$360+$Z2/$BD$361+$AA2/$BD$362+$AB2/$BD$363+$AC2/$BD$364+$AD2/$BD$365+$AE2/$BD$366+$AF2/$BD$367+$AG2/$BD$369+$AH2/$BD$355+$AI2/$BD$356+$AJ2/$BD$357+$AK2/$BD$368+$AL2/$BD$358)</f>
        <v>0</v>
      </c>
      <c r="BF2" s="130">
        <f t="shared" ref="BF2:BF65" si="19">100*(AH2/BD$355)/($O2/$BD$343+$P2/$BD$344+$Q2/$BD$346+$R2/$BD$348+$S2/$BD$350+$T2/$BD$351+$U2/$BD$352+$V2/$BD$353+$W2/$BD$354+$X2/$BD$359+$Y2/$BD$360+$Z2/$BD$361+$AA2/$BD$362+$AB2/$BD$363+$AC2/$BD$364+$AD2/$BD$365+$AE2/$BD$366+$AF2/$BD$367+$AG2/$BD$369+$AH2/$BD$355+$AI2/$BD$356+$AJ2/$BD$357+$AK2/$BD$368+$AL2/$BD$358)</f>
        <v>0</v>
      </c>
      <c r="BG2" s="130">
        <f t="shared" ref="BG2:BG65" si="20">100*(AI2/BD$356)/($O2/$BD$343+$P2/$BD$344+$Q2/$BD$346+$R2/$BD$348+$S2/$BD$350+$T2/$BD$351+$U2/$BD$352+$V2/$BD$353+$W2/$BD$354+$X2/$BD$359+$Y2/$BD$360+$Z2/$BD$361+$AA2/$BD$362+$AB2/$BD$363+$AC2/$BD$364+$AD2/$BD$365+$AE2/$BD$366+$AF2/$BD$367+$AG2/$BD$369+$AH2/$BD$355+$AI2/$BD$356+$AJ2/$BD$357+$AK2/$BD$368+$AL2/$BD$358)</f>
        <v>0</v>
      </c>
      <c r="BH2" s="130">
        <f t="shared" ref="BH2:BH65" si="21">100*(AJ2/BD$357)/($O2/$BD$343+$P2/$BD$344+$Q2/$BD$346+$R2/$BD$348+$S2/$BD$350+$T2/$BD$351+$U2/$BD$352+$V2/$BD$353+$W2/$BD$354+$X2/$BD$359+$Y2/$BD$360+$Z2/$BD$361+$AA2/$BD$362+$AB2/$BD$363+$AC2/$BD$364+$AD2/$BD$365+$AE2/$BD$366+$AF2/$BD$367+$AG2/$BD$369+$AH2/$BD$355+$AI2/$BD$356+$AJ2/$BD$357+$AK2/$BD$368+$AL2/$BD$358)</f>
        <v>0.20088912058028036</v>
      </c>
      <c r="BI2" s="130">
        <f t="shared" ref="BI2:BI65" si="22">100*(AK2/BD$368)/($O2/$BD$343+$P2/$BD$344+$Q2/$BD$346+$R2/$BD$348+$S2/$BD$350+$T2/$BD$351+$U2/$BD$352+$V2/$BD$353+$W2/$BD$354+$X2/$BD$359+$Y2/$BD$360+$Z2/$BD$361+$AA2/$BD$362+$AB2/$BD$363+$AC2/$BD$364+$AD2/$BD$365+$AE2/$BD$366+$AF2/$BD$367+$AG2/$BD$369+$AH2/$BD$355+$AI2/$BD$356+$AJ2/$BD$357+$AK2/$BD$368+$AL2/$BD$358)</f>
        <v>0</v>
      </c>
      <c r="BJ2" s="130">
        <f t="shared" ref="BJ2:BJ65" si="23">100*(AL2/BD$358)/($O2/$BD$343+$P2/$BD$344+$Q2/$BD$346+$R2/$BD$348+$S2/$BD$350+$T2/$BD$351+$U2/$BD$352+$V2/$BD$353+$W2/$BD$354+$X2/$BD$359+$Y2/$BD$360+$Z2/$BD$361+$AA2/$BD$362+$AB2/$BD$363+$AC2/$BD$364+$AD2/$BD$365+$AE2/$BD$366+$AF2/$BD$367+$AG2/$BD$369+$AH2/$BD$355+$AI2/$BD$356+$AJ2/$BD$357+$AK2/$BD$368+$AL2/$BD$358)</f>
        <v>0</v>
      </c>
      <c r="BK2" s="130">
        <f t="shared" ref="BK2:BK65" si="24">(($AM2*($BK$396+$BJ$396*($BM$389+$I2))+$AN2*($BK$397+$BJ$397*($BM$389+$I2))+$AO2*($BK$398+$BJ$398*($BM$389+$I2))+$AP2*($BK$399+$BJ$399*($BM$389+$I2))+$AR2*($BK$401+$BJ$401*($BM$389+$I2))+$AS2*($BK$402+$BJ$402*($BM$389+$I2))+$AT2*($BK$403+$BJ$403*($BM$389+$I2))+$AU2*($BK$404+$BJ$404*($BM$389+$I2))+$AV2*($BK$405+$BJ$405*($BM$389+$I2))+$AW2*($BK$406+$BJ$406*($BM$389+$I2))+$AX2*($BK$407+$BJ$407*($BM$389+$I2))+$AY2*($BK$408+$BJ$408*($BM$389+$I2))+$AZ2*($BK$409+$BJ$409*($BM$389+$I2))+$BB2*($BK$411+$BJ$411*($BM$389+$I2))+$BC2*($BK$412+$BJ$412*($BM$389+$I2))+$BD2*($BK$413+$BJ$413*($BM$389+$I2))+$BF2*($BK$415+$BJ$415*($BM$389+$I2))+$BI2*($BK$416+$BJ$416*($BM$389+$I2)))/(SUM($AM2:$BJ2)-$AQ2-$BA2-$BE2-$BG2-$BH2-$BJ2))</f>
        <v>-136.54295506071665</v>
      </c>
      <c r="BL2" s="130">
        <f>IF($K2=$L2,$BK2,IF(OR($K2="graphite",$K2="vitreous carbon"),$BK$406+($BM$389+$I2)*$BJ$406,IF($K2="Pyrolytic Boron Nitride","PBN",IF(COUNTIF($BH$396:$BH$416,$K2)&gt;0,VLOOKUP($K2,$BH$396:$BK$416,4,FALSE)+($BM$389+$I2)*VLOOKUP($K2,$BH$396:$BK$416,3,FALSE),IF(COUNTIF($L1:$L$247,$K2)&gt;0,VLOOKUP($K2,$L1:$BK$247,52,FALSE),"idk")))))</f>
        <v>-136.54295506071665</v>
      </c>
      <c r="BM2" s="130">
        <v>13</v>
      </c>
      <c r="BN2" s="130">
        <v>7</v>
      </c>
      <c r="BO2" s="130">
        <v>1</v>
      </c>
      <c r="BP2" s="129" t="s">
        <v>228</v>
      </c>
      <c r="BQ2" s="129" t="s">
        <v>229</v>
      </c>
      <c r="BR2" s="129" t="s">
        <v>230</v>
      </c>
      <c r="BS2" s="129"/>
      <c r="BT2" s="129">
        <v>0</v>
      </c>
      <c r="BV2" s="129"/>
      <c r="BZ2" s="129"/>
      <c r="DJ2" s="129">
        <v>0</v>
      </c>
      <c r="DK2" s="129">
        <v>0</v>
      </c>
      <c r="DL2" s="129"/>
      <c r="DM2" s="129">
        <v>-6.4</v>
      </c>
      <c r="DN2" s="129">
        <v>-17.100000000000001</v>
      </c>
      <c r="DO2" s="129">
        <v>-0.22</v>
      </c>
      <c r="DS2" s="129"/>
      <c r="DT2" s="4" t="s">
        <v>232</v>
      </c>
      <c r="DU2" s="129" t="s">
        <v>231</v>
      </c>
      <c r="DW2" s="129">
        <f>SUM(_2025_01_07T12_47_export3[[#This Row],[Ni_wt]:[H_wt]])</f>
        <v>99.999999999999986</v>
      </c>
      <c r="DY2" s="130">
        <f>SUM($AM2:BJ2)</f>
        <v>99.999999999999986</v>
      </c>
    </row>
    <row r="3" spans="1:129" x14ac:dyDescent="0.25">
      <c r="A3" s="129" t="s">
        <v>222</v>
      </c>
      <c r="B3" s="129">
        <v>1</v>
      </c>
      <c r="C3" s="129" t="s">
        <v>223</v>
      </c>
      <c r="D3" s="129">
        <v>2019</v>
      </c>
      <c r="E3" s="129" t="s">
        <v>224</v>
      </c>
      <c r="F3" s="129" t="s">
        <v>225</v>
      </c>
      <c r="G3" s="129" t="s">
        <v>226</v>
      </c>
      <c r="H3" s="129">
        <v>0</v>
      </c>
      <c r="I3" s="129">
        <v>700</v>
      </c>
      <c r="J3" s="129">
        <v>1000</v>
      </c>
      <c r="K3" s="129" t="s">
        <v>233</v>
      </c>
      <c r="L3" s="129" t="s">
        <v>227</v>
      </c>
      <c r="N3" s="129">
        <v>7980000</v>
      </c>
      <c r="O3" s="130">
        <v>10.025</v>
      </c>
      <c r="P3" s="130">
        <v>16.824999999999999</v>
      </c>
      <c r="Q3" s="130">
        <v>2.0114999999999998</v>
      </c>
      <c r="R3" s="130">
        <f>100-SUM(_2025_01_07T12_47_export3[[#This Row],[Ni_wt]:[Mo_wt]],_2025_01_07T12_47_export3[[#This Row],[W_wt]:[H_wt]])</f>
        <v>68.610900000000001</v>
      </c>
      <c r="S3" s="130"/>
      <c r="T3" s="130"/>
      <c r="U3" s="130">
        <v>1.5305</v>
      </c>
      <c r="V3" s="130"/>
      <c r="W3" s="130"/>
      <c r="X3" s="130">
        <v>0.309</v>
      </c>
      <c r="Y3" s="130">
        <v>0.22500000000000001</v>
      </c>
      <c r="Z3" s="130">
        <v>0.3795</v>
      </c>
      <c r="AA3" s="130"/>
      <c r="AB3" s="130"/>
      <c r="AC3" s="130">
        <v>3.1E-2</v>
      </c>
      <c r="AD3" s="130">
        <v>1.6000000000000001E-3</v>
      </c>
      <c r="AE3" s="130"/>
      <c r="AF3" s="130"/>
      <c r="AG3" s="130"/>
      <c r="AH3" s="130"/>
      <c r="AI3" s="130"/>
      <c r="AJ3" s="130">
        <v>5.0999999999999997E-2</v>
      </c>
      <c r="AK3" s="130"/>
      <c r="AL3" s="130"/>
      <c r="AM3" s="130">
        <f t="shared" si="0"/>
        <v>9.4263736040079404</v>
      </c>
      <c r="AN3" s="130">
        <f t="shared" si="1"/>
        <v>17.855668155061338</v>
      </c>
      <c r="AO3" s="130">
        <f t="shared" si="2"/>
        <v>1.1567890643408911</v>
      </c>
      <c r="AP3" s="130">
        <f t="shared" si="3"/>
        <v>67.794477124908823</v>
      </c>
      <c r="AQ3" s="130">
        <f t="shared" si="4"/>
        <v>0</v>
      </c>
      <c r="AR3" s="130">
        <f t="shared" si="5"/>
        <v>0</v>
      </c>
      <c r="AS3" s="130">
        <f t="shared" si="6"/>
        <v>1.53733691466061</v>
      </c>
      <c r="AT3" s="130">
        <f t="shared" si="7"/>
        <v>0</v>
      </c>
      <c r="AU3" s="130">
        <f t="shared" si="8"/>
        <v>0</v>
      </c>
      <c r="AV3" s="130">
        <f t="shared" si="9"/>
        <v>0.60705930029728394</v>
      </c>
      <c r="AW3" s="130">
        <f t="shared" si="10"/>
        <v>1.0338651293026873</v>
      </c>
      <c r="AX3" s="130">
        <f t="shared" si="11"/>
        <v>0.32954945831000193</v>
      </c>
      <c r="AY3" s="130">
        <f t="shared" si="12"/>
        <v>0</v>
      </c>
      <c r="AZ3" s="130">
        <f t="shared" si="13"/>
        <v>0</v>
      </c>
      <c r="BA3" s="130">
        <f t="shared" si="14"/>
        <v>5.5238880104858952E-2</v>
      </c>
      <c r="BB3" s="130">
        <f t="shared" si="15"/>
        <v>2.7532484252753265E-3</v>
      </c>
      <c r="BC3" s="130">
        <f t="shared" si="16"/>
        <v>0</v>
      </c>
      <c r="BD3" s="130">
        <f t="shared" si="17"/>
        <v>0</v>
      </c>
      <c r="BE3" s="130">
        <f t="shared" si="18"/>
        <v>0</v>
      </c>
      <c r="BF3" s="130">
        <f t="shared" si="19"/>
        <v>0</v>
      </c>
      <c r="BG3" s="130">
        <f t="shared" si="20"/>
        <v>0</v>
      </c>
      <c r="BH3" s="130">
        <f t="shared" si="21"/>
        <v>0.20088912058028036</v>
      </c>
      <c r="BI3" s="130">
        <f t="shared" si="22"/>
        <v>0</v>
      </c>
      <c r="BJ3" s="130">
        <f t="shared" si="23"/>
        <v>0</v>
      </c>
      <c r="BK3" s="130">
        <f t="shared" si="24"/>
        <v>-136.54295506071665</v>
      </c>
      <c r="BL3" s="130">
        <f>IF($K3=$L3,$BK3,IF(OR($K3="graphite",$K3="vitreous carbon"),$BK$406+($BM$389+$I3)*$BJ$406,IF($K3="Pyrolytic Boron Nitride","PBN",IF(COUNTIF($BH$396:$BH$416,$K3)&gt;0,VLOOKUP($K3,$BH$396:$BK$416,4,FALSE)+($BM$389+$I3)*VLOOKUP($K3,$BH$396:$BK$416,3,FALSE),IF(COUNTIF($L1:$L$238,$K3)&gt;0,VLOOKUP($K3,$L1:$BK$238,52,FALSE),"idk")))))</f>
        <v>-63.529671587210359</v>
      </c>
      <c r="BM3" s="130">
        <v>13</v>
      </c>
      <c r="BN3" s="130">
        <v>7</v>
      </c>
      <c r="BO3" s="130">
        <v>1</v>
      </c>
      <c r="BP3" s="129" t="s">
        <v>228</v>
      </c>
      <c r="BQ3" s="129" t="s">
        <v>229</v>
      </c>
      <c r="BR3" s="129" t="s">
        <v>230</v>
      </c>
      <c r="BS3" s="129"/>
      <c r="BT3" s="129">
        <v>0</v>
      </c>
      <c r="BV3" s="129"/>
      <c r="BZ3" s="129"/>
      <c r="DJ3" s="129">
        <v>0</v>
      </c>
      <c r="DK3" s="129">
        <v>0</v>
      </c>
      <c r="DL3" s="129"/>
      <c r="DM3" s="129">
        <v>-13.7</v>
      </c>
      <c r="DN3" s="129">
        <v>-31.2</v>
      </c>
      <c r="DO3" s="129">
        <v>-0.27</v>
      </c>
      <c r="DS3" s="129"/>
      <c r="DT3" s="279" t="s">
        <v>234</v>
      </c>
      <c r="DU3" s="129" t="s">
        <v>231</v>
      </c>
      <c r="DW3" s="129">
        <f>SUM(_2025_01_07T12_47_export3[[#This Row],[Ni_wt]:[H_wt]])</f>
        <v>99.999999999999986</v>
      </c>
      <c r="DY3" s="130">
        <f>SUM($AM3:BJ3)</f>
        <v>99.999999999999986</v>
      </c>
    </row>
    <row r="4" spans="1:129" x14ac:dyDescent="0.25">
      <c r="A4" s="238" t="s">
        <v>222</v>
      </c>
      <c r="B4" s="238">
        <v>2</v>
      </c>
      <c r="C4" s="238" t="s">
        <v>223</v>
      </c>
      <c r="D4" s="238">
        <v>2020</v>
      </c>
      <c r="E4" s="238" t="s">
        <v>224</v>
      </c>
      <c r="F4" s="238" t="s">
        <v>225</v>
      </c>
      <c r="G4" s="238" t="s">
        <v>226</v>
      </c>
      <c r="H4" s="238">
        <v>0</v>
      </c>
      <c r="I4" s="238">
        <v>700</v>
      </c>
      <c r="J4" s="238">
        <v>2000</v>
      </c>
      <c r="K4" s="238" t="s">
        <v>227</v>
      </c>
      <c r="L4" s="238" t="s">
        <v>227</v>
      </c>
      <c r="M4" s="238"/>
      <c r="N4" s="238">
        <v>7980000</v>
      </c>
      <c r="O4" s="239">
        <v>10.025</v>
      </c>
      <c r="P4" s="239">
        <v>16.824999999999999</v>
      </c>
      <c r="Q4" s="239">
        <v>2.0114999999999998</v>
      </c>
      <c r="R4" s="239">
        <f>100-SUM(_2025_01_07T12_47_export3[[#This Row],[Ni_wt]:[Mo_wt]],_2025_01_07T12_47_export3[[#This Row],[W_wt]:[H_wt]])</f>
        <v>68.610900000000001</v>
      </c>
      <c r="S4" s="239"/>
      <c r="T4" s="239"/>
      <c r="U4" s="239">
        <v>1.5305</v>
      </c>
      <c r="V4" s="239"/>
      <c r="W4" s="239"/>
      <c r="X4" s="239">
        <v>0.309</v>
      </c>
      <c r="Y4" s="239">
        <v>0.22500000000000001</v>
      </c>
      <c r="Z4" s="239">
        <v>0.3795</v>
      </c>
      <c r="AA4" s="239"/>
      <c r="AB4" s="239"/>
      <c r="AC4" s="239">
        <v>3.1E-2</v>
      </c>
      <c r="AD4" s="239">
        <v>1.6000000000000001E-3</v>
      </c>
      <c r="AE4" s="239"/>
      <c r="AF4" s="239"/>
      <c r="AG4" s="239"/>
      <c r="AH4" s="239"/>
      <c r="AI4" s="239"/>
      <c r="AJ4" s="239">
        <v>5.0999999999999997E-2</v>
      </c>
      <c r="AK4" s="239"/>
      <c r="AL4" s="239"/>
      <c r="AM4" s="239">
        <f t="shared" si="0"/>
        <v>9.4263736040079404</v>
      </c>
      <c r="AN4" s="239">
        <f t="shared" si="1"/>
        <v>17.855668155061338</v>
      </c>
      <c r="AO4" s="239">
        <f t="shared" si="2"/>
        <v>1.1567890643408911</v>
      </c>
      <c r="AP4" s="239">
        <f t="shared" si="3"/>
        <v>67.794477124908823</v>
      </c>
      <c r="AQ4" s="239">
        <f t="shared" si="4"/>
        <v>0</v>
      </c>
      <c r="AR4" s="239">
        <f t="shared" si="5"/>
        <v>0</v>
      </c>
      <c r="AS4" s="239">
        <f t="shared" si="6"/>
        <v>1.53733691466061</v>
      </c>
      <c r="AT4" s="239">
        <f t="shared" si="7"/>
        <v>0</v>
      </c>
      <c r="AU4" s="239">
        <f t="shared" si="8"/>
        <v>0</v>
      </c>
      <c r="AV4" s="239">
        <f t="shared" si="9"/>
        <v>0.60705930029728394</v>
      </c>
      <c r="AW4" s="239">
        <f t="shared" si="10"/>
        <v>1.0338651293026873</v>
      </c>
      <c r="AX4" s="239">
        <f t="shared" si="11"/>
        <v>0.32954945831000193</v>
      </c>
      <c r="AY4" s="239">
        <f t="shared" si="12"/>
        <v>0</v>
      </c>
      <c r="AZ4" s="239">
        <f t="shared" si="13"/>
        <v>0</v>
      </c>
      <c r="BA4" s="239">
        <f t="shared" si="14"/>
        <v>5.5238880104858952E-2</v>
      </c>
      <c r="BB4" s="239">
        <f t="shared" si="15"/>
        <v>2.7532484252753265E-3</v>
      </c>
      <c r="BC4" s="239">
        <f t="shared" si="16"/>
        <v>0</v>
      </c>
      <c r="BD4" s="239">
        <f t="shared" si="17"/>
        <v>0</v>
      </c>
      <c r="BE4" s="239">
        <f t="shared" si="18"/>
        <v>0</v>
      </c>
      <c r="BF4" s="239">
        <f t="shared" si="19"/>
        <v>0</v>
      </c>
      <c r="BG4" s="239">
        <f t="shared" si="20"/>
        <v>0</v>
      </c>
      <c r="BH4" s="239">
        <f t="shared" si="21"/>
        <v>0.20088912058028036</v>
      </c>
      <c r="BI4" s="239">
        <f t="shared" si="22"/>
        <v>0</v>
      </c>
      <c r="BJ4" s="239">
        <f t="shared" si="23"/>
        <v>0</v>
      </c>
      <c r="BK4" s="239">
        <f t="shared" si="24"/>
        <v>-136.54295506071665</v>
      </c>
      <c r="BL4" s="239">
        <f>IF($K4=$L4,$BK4,IF(OR($K4="graphite",$K4="vitreous carbon"),$BK$406+($BM$389+$I4)*$BJ$406,IF($K4="Pyrolytic Boron Nitride","PBN",IF(COUNTIF($BH$396:$BH$416,$K4)&gt;0,VLOOKUP($K4,$BH$396:$BK$416,4,FALSE)+($BM$389+$I4)*VLOOKUP($K4,$BH$396:$BK$416,3,FALSE),IF(COUNTIF($L$2:$L3,$K4)&gt;0,VLOOKUP($K4,$L$2:$BK3,52,FALSE),"idk")))))</f>
        <v>-136.54295506071665</v>
      </c>
      <c r="BM4" s="239">
        <v>13</v>
      </c>
      <c r="BN4" s="239">
        <v>7</v>
      </c>
      <c r="BO4" s="239">
        <v>1</v>
      </c>
      <c r="BP4" s="238" t="s">
        <v>228</v>
      </c>
      <c r="BQ4" s="238" t="s">
        <v>229</v>
      </c>
      <c r="BR4" s="238" t="s">
        <v>230</v>
      </c>
      <c r="BS4" s="238"/>
      <c r="BT4" s="238">
        <v>0</v>
      </c>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v>0</v>
      </c>
      <c r="DK4" s="238">
        <v>0</v>
      </c>
      <c r="DL4" s="238"/>
      <c r="DM4" s="238">
        <v>-10.7</v>
      </c>
      <c r="DN4" s="238">
        <v>-17.100000000000001</v>
      </c>
      <c r="DO4" s="238">
        <v>-0.35</v>
      </c>
      <c r="DP4" s="238"/>
      <c r="DQ4" s="238"/>
      <c r="DR4" s="238"/>
      <c r="DS4" s="238"/>
      <c r="DT4" s="134" t="s">
        <v>235</v>
      </c>
      <c r="DU4" s="238" t="s">
        <v>231</v>
      </c>
      <c r="DW4" s="129">
        <f>SUM(_2025_01_07T12_47_export3[[#This Row],[Ni_wt]:[H_wt]])</f>
        <v>99.999999999999986</v>
      </c>
      <c r="DY4" s="130">
        <f>SUM($AM4:BJ4)</f>
        <v>99.999999999999986</v>
      </c>
    </row>
    <row r="5" spans="1:129" x14ac:dyDescent="0.25">
      <c r="A5" s="129" t="s">
        <v>222</v>
      </c>
      <c r="B5" s="129">
        <v>3</v>
      </c>
      <c r="C5" s="129" t="s">
        <v>223</v>
      </c>
      <c r="D5" s="129">
        <v>2021</v>
      </c>
      <c r="E5" s="129" t="s">
        <v>224</v>
      </c>
      <c r="F5" s="129" t="s">
        <v>225</v>
      </c>
      <c r="G5" s="129" t="s">
        <v>226</v>
      </c>
      <c r="H5" s="129">
        <v>0</v>
      </c>
      <c r="I5" s="129">
        <v>700</v>
      </c>
      <c r="J5" s="129">
        <v>2000</v>
      </c>
      <c r="K5" s="129" t="s">
        <v>233</v>
      </c>
      <c r="L5" s="129" t="s">
        <v>227</v>
      </c>
      <c r="N5" s="129">
        <v>7980000</v>
      </c>
      <c r="O5" s="130">
        <v>10.025</v>
      </c>
      <c r="P5" s="130">
        <v>16.824999999999999</v>
      </c>
      <c r="Q5" s="130">
        <v>2.0114999999999998</v>
      </c>
      <c r="R5" s="130">
        <f>100-SUM(_2025_01_07T12_47_export3[[#This Row],[Ni_wt]:[Mo_wt]],_2025_01_07T12_47_export3[[#This Row],[W_wt]:[H_wt]])</f>
        <v>68.610900000000001</v>
      </c>
      <c r="S5" s="130"/>
      <c r="T5" s="130"/>
      <c r="U5" s="130">
        <v>1.5305</v>
      </c>
      <c r="V5" s="130"/>
      <c r="W5" s="130"/>
      <c r="X5" s="130">
        <v>0.309</v>
      </c>
      <c r="Y5" s="130">
        <v>0.22500000000000001</v>
      </c>
      <c r="Z5" s="130">
        <v>0.3795</v>
      </c>
      <c r="AA5" s="130"/>
      <c r="AB5" s="130"/>
      <c r="AC5" s="130">
        <v>3.1E-2</v>
      </c>
      <c r="AD5" s="130">
        <v>1.6000000000000001E-3</v>
      </c>
      <c r="AE5" s="130"/>
      <c r="AF5" s="130"/>
      <c r="AG5" s="130"/>
      <c r="AH5" s="130"/>
      <c r="AI5" s="130"/>
      <c r="AJ5" s="130">
        <v>5.0999999999999997E-2</v>
      </c>
      <c r="AK5" s="130"/>
      <c r="AL5" s="130"/>
      <c r="AM5" s="130">
        <f t="shared" si="0"/>
        <v>9.4263736040079404</v>
      </c>
      <c r="AN5" s="130">
        <f t="shared" si="1"/>
        <v>17.855668155061338</v>
      </c>
      <c r="AO5" s="130">
        <f t="shared" si="2"/>
        <v>1.1567890643408911</v>
      </c>
      <c r="AP5" s="130">
        <f t="shared" si="3"/>
        <v>67.794477124908823</v>
      </c>
      <c r="AQ5" s="130">
        <f t="shared" si="4"/>
        <v>0</v>
      </c>
      <c r="AR5" s="130">
        <f t="shared" si="5"/>
        <v>0</v>
      </c>
      <c r="AS5" s="130">
        <f t="shared" si="6"/>
        <v>1.53733691466061</v>
      </c>
      <c r="AT5" s="130">
        <f t="shared" si="7"/>
        <v>0</v>
      </c>
      <c r="AU5" s="130">
        <f t="shared" si="8"/>
        <v>0</v>
      </c>
      <c r="AV5" s="130">
        <f t="shared" si="9"/>
        <v>0.60705930029728394</v>
      </c>
      <c r="AW5" s="130">
        <f t="shared" si="10"/>
        <v>1.0338651293026873</v>
      </c>
      <c r="AX5" s="130">
        <f t="shared" si="11"/>
        <v>0.32954945831000193</v>
      </c>
      <c r="AY5" s="130">
        <f t="shared" si="12"/>
        <v>0</v>
      </c>
      <c r="AZ5" s="130">
        <f t="shared" si="13"/>
        <v>0</v>
      </c>
      <c r="BA5" s="130">
        <f t="shared" si="14"/>
        <v>5.5238880104858952E-2</v>
      </c>
      <c r="BB5" s="130">
        <f t="shared" si="15"/>
        <v>2.7532484252753265E-3</v>
      </c>
      <c r="BC5" s="130">
        <f t="shared" si="16"/>
        <v>0</v>
      </c>
      <c r="BD5" s="130">
        <f t="shared" si="17"/>
        <v>0</v>
      </c>
      <c r="BE5" s="130">
        <f t="shared" si="18"/>
        <v>0</v>
      </c>
      <c r="BF5" s="130">
        <f t="shared" si="19"/>
        <v>0</v>
      </c>
      <c r="BG5" s="130">
        <f t="shared" si="20"/>
        <v>0</v>
      </c>
      <c r="BH5" s="130">
        <f t="shared" si="21"/>
        <v>0.20088912058028036</v>
      </c>
      <c r="BI5" s="130">
        <f t="shared" si="22"/>
        <v>0</v>
      </c>
      <c r="BJ5" s="130">
        <f t="shared" si="23"/>
        <v>0</v>
      </c>
      <c r="BK5" s="130">
        <f t="shared" si="24"/>
        <v>-136.54295506071665</v>
      </c>
      <c r="BL5" s="130">
        <f>IF($K5=$L5,$BK5,IF(OR($K5="graphite",$K5="vitreous carbon"),$BK$406+($BM$389+$I5)*$BJ$406,IF($K5="Pyrolytic Boron Nitride","PBN",IF(COUNTIF($BH$396:$BH$416,$K5)&gt;0,VLOOKUP($K5,$BH$396:$BK$416,4,FALSE)+($BM$389+$I5)*VLOOKUP($K5,$BH$396:$BK$416,3,FALSE),IF(COUNTIF($L$2:$L4,$K5)&gt;0,VLOOKUP($K5,$L$2:$BK4,52,FALSE),"idk")))))</f>
        <v>-63.529671587210359</v>
      </c>
      <c r="BM5" s="130">
        <v>13</v>
      </c>
      <c r="BN5" s="130">
        <v>7</v>
      </c>
      <c r="BO5" s="130">
        <v>1</v>
      </c>
      <c r="BP5" s="129" t="s">
        <v>228</v>
      </c>
      <c r="BQ5" s="129" t="s">
        <v>229</v>
      </c>
      <c r="BR5" s="129" t="s">
        <v>230</v>
      </c>
      <c r="BS5" s="129"/>
      <c r="BT5" s="129">
        <v>0</v>
      </c>
      <c r="BV5" s="129"/>
      <c r="BZ5" s="129"/>
      <c r="DJ5" s="129">
        <v>0</v>
      </c>
      <c r="DK5" s="129">
        <v>0</v>
      </c>
      <c r="DL5" s="129"/>
      <c r="DM5" s="129">
        <v>-19.399999999999999</v>
      </c>
      <c r="DN5" s="129">
        <v>-31.2</v>
      </c>
      <c r="DO5" s="129">
        <v>-0.41</v>
      </c>
      <c r="DS5" s="129"/>
      <c r="DT5" s="279" t="s">
        <v>236</v>
      </c>
      <c r="DU5" s="129" t="s">
        <v>231</v>
      </c>
      <c r="DW5" s="129">
        <f>SUM(_2025_01_07T12_47_export3[[#This Row],[Ni_wt]:[H_wt]])</f>
        <v>99.999999999999986</v>
      </c>
      <c r="DY5" s="130">
        <f>SUM($AM5:BJ5)</f>
        <v>99.999999999999986</v>
      </c>
    </row>
    <row r="6" spans="1:129" x14ac:dyDescent="0.25">
      <c r="A6" s="238" t="s">
        <v>222</v>
      </c>
      <c r="B6" s="238">
        <v>4</v>
      </c>
      <c r="C6" s="238" t="s">
        <v>223</v>
      </c>
      <c r="D6" s="238">
        <v>2022</v>
      </c>
      <c r="E6" s="238" t="s">
        <v>224</v>
      </c>
      <c r="F6" s="238" t="s">
        <v>225</v>
      </c>
      <c r="G6" s="238" t="s">
        <v>226</v>
      </c>
      <c r="H6" s="238">
        <v>0</v>
      </c>
      <c r="I6" s="238">
        <v>700</v>
      </c>
      <c r="J6" s="238">
        <v>3000</v>
      </c>
      <c r="K6" s="238" t="s">
        <v>227</v>
      </c>
      <c r="L6" s="238" t="s">
        <v>227</v>
      </c>
      <c r="M6" s="238"/>
      <c r="N6" s="238">
        <v>7980000</v>
      </c>
      <c r="O6" s="239">
        <v>10.025</v>
      </c>
      <c r="P6" s="239">
        <v>16.824999999999999</v>
      </c>
      <c r="Q6" s="239">
        <v>2.0114999999999998</v>
      </c>
      <c r="R6" s="239">
        <f>100-SUM(_2025_01_07T12_47_export3[[#This Row],[Ni_wt]:[Mo_wt]],_2025_01_07T12_47_export3[[#This Row],[W_wt]:[H_wt]])</f>
        <v>68.610900000000001</v>
      </c>
      <c r="S6" s="239"/>
      <c r="T6" s="239"/>
      <c r="U6" s="239">
        <v>1.5305</v>
      </c>
      <c r="V6" s="239"/>
      <c r="W6" s="239"/>
      <c r="X6" s="239">
        <v>0.309</v>
      </c>
      <c r="Y6" s="239">
        <v>0.22500000000000001</v>
      </c>
      <c r="Z6" s="239">
        <v>0.3795</v>
      </c>
      <c r="AA6" s="239"/>
      <c r="AB6" s="239"/>
      <c r="AC6" s="239">
        <v>3.1E-2</v>
      </c>
      <c r="AD6" s="239">
        <v>1.6000000000000001E-3</v>
      </c>
      <c r="AE6" s="239"/>
      <c r="AF6" s="239"/>
      <c r="AG6" s="239"/>
      <c r="AH6" s="239"/>
      <c r="AI6" s="239"/>
      <c r="AJ6" s="239">
        <v>5.0999999999999997E-2</v>
      </c>
      <c r="AK6" s="239"/>
      <c r="AL6" s="239"/>
      <c r="AM6" s="239">
        <f t="shared" si="0"/>
        <v>9.4263736040079404</v>
      </c>
      <c r="AN6" s="239">
        <f t="shared" si="1"/>
        <v>17.855668155061338</v>
      </c>
      <c r="AO6" s="239">
        <f t="shared" si="2"/>
        <v>1.1567890643408911</v>
      </c>
      <c r="AP6" s="239">
        <f t="shared" si="3"/>
        <v>67.794477124908823</v>
      </c>
      <c r="AQ6" s="239">
        <f t="shared" si="4"/>
        <v>0</v>
      </c>
      <c r="AR6" s="239">
        <f t="shared" si="5"/>
        <v>0</v>
      </c>
      <c r="AS6" s="239">
        <f t="shared" si="6"/>
        <v>1.53733691466061</v>
      </c>
      <c r="AT6" s="239">
        <f t="shared" si="7"/>
        <v>0</v>
      </c>
      <c r="AU6" s="239">
        <f t="shared" si="8"/>
        <v>0</v>
      </c>
      <c r="AV6" s="239">
        <f t="shared" si="9"/>
        <v>0.60705930029728394</v>
      </c>
      <c r="AW6" s="239">
        <f t="shared" si="10"/>
        <v>1.0338651293026873</v>
      </c>
      <c r="AX6" s="239">
        <f t="shared" si="11"/>
        <v>0.32954945831000193</v>
      </c>
      <c r="AY6" s="239">
        <f t="shared" si="12"/>
        <v>0</v>
      </c>
      <c r="AZ6" s="239">
        <f t="shared" si="13"/>
        <v>0</v>
      </c>
      <c r="BA6" s="239">
        <f t="shared" si="14"/>
        <v>5.5238880104858952E-2</v>
      </c>
      <c r="BB6" s="239">
        <f t="shared" si="15"/>
        <v>2.7532484252753265E-3</v>
      </c>
      <c r="BC6" s="239">
        <f t="shared" si="16"/>
        <v>0</v>
      </c>
      <c r="BD6" s="239">
        <f t="shared" si="17"/>
        <v>0</v>
      </c>
      <c r="BE6" s="239">
        <f t="shared" si="18"/>
        <v>0</v>
      </c>
      <c r="BF6" s="239">
        <f t="shared" si="19"/>
        <v>0</v>
      </c>
      <c r="BG6" s="239">
        <f t="shared" si="20"/>
        <v>0</v>
      </c>
      <c r="BH6" s="239">
        <f t="shared" si="21"/>
        <v>0.20088912058028036</v>
      </c>
      <c r="BI6" s="239">
        <f t="shared" si="22"/>
        <v>0</v>
      </c>
      <c r="BJ6" s="239">
        <f t="shared" si="23"/>
        <v>0</v>
      </c>
      <c r="BK6" s="239">
        <f t="shared" si="24"/>
        <v>-136.54295506071665</v>
      </c>
      <c r="BL6" s="239">
        <f>IF($K6=$L6,$BK6,IF(OR($K6="graphite",$K6="vitreous carbon"),$BK$406+($BM$389+$I6)*$BJ$406,IF($K6="Pyrolytic Boron Nitride","PBN",IF(COUNTIF($BH$396:$BH$416,$K6)&gt;0,VLOOKUP($K6,$BH$396:$BK$416,4,FALSE)+($BM$389+$I6)*VLOOKUP($K6,$BH$396:$BK$416,3,FALSE),IF(COUNTIF($L$2:$L5,$K6)&gt;0,VLOOKUP($K6,$L$2:$BK5,52,FALSE),"idk")))))</f>
        <v>-136.54295506071665</v>
      </c>
      <c r="BM6" s="239">
        <v>13</v>
      </c>
      <c r="BN6" s="239">
        <v>7</v>
      </c>
      <c r="BO6" s="239">
        <v>1</v>
      </c>
      <c r="BP6" s="238" t="s">
        <v>228</v>
      </c>
      <c r="BQ6" s="238" t="s">
        <v>229</v>
      </c>
      <c r="BR6" s="238" t="s">
        <v>230</v>
      </c>
      <c r="BS6" s="238"/>
      <c r="BT6" s="238">
        <v>0</v>
      </c>
      <c r="BU6" s="238"/>
      <c r="BV6" s="238"/>
      <c r="BW6" s="238"/>
      <c r="BX6" s="238"/>
      <c r="BY6" s="238"/>
      <c r="BZ6" s="238"/>
      <c r="CA6" s="238"/>
      <c r="CB6" s="238"/>
      <c r="CC6" s="238"/>
      <c r="CD6" s="238"/>
      <c r="CE6" s="238"/>
      <c r="CF6" s="238"/>
      <c r="CG6" s="238"/>
      <c r="CH6" s="238"/>
      <c r="CI6" s="238"/>
      <c r="CJ6" s="238"/>
      <c r="CK6" s="238"/>
      <c r="CL6" s="238"/>
      <c r="CM6" s="238"/>
      <c r="CN6" s="238"/>
      <c r="CO6" s="238"/>
      <c r="CP6" s="238"/>
      <c r="CQ6" s="238"/>
      <c r="CR6" s="238"/>
      <c r="CS6" s="238"/>
      <c r="CT6" s="238"/>
      <c r="CU6" s="238"/>
      <c r="CV6" s="238"/>
      <c r="CW6" s="238"/>
      <c r="CX6" s="238"/>
      <c r="CY6" s="238"/>
      <c r="CZ6" s="238"/>
      <c r="DA6" s="238"/>
      <c r="DB6" s="238"/>
      <c r="DC6" s="238"/>
      <c r="DD6" s="238"/>
      <c r="DE6" s="238"/>
      <c r="DF6" s="238"/>
      <c r="DG6" s="238"/>
      <c r="DH6" s="238"/>
      <c r="DI6" s="238"/>
      <c r="DJ6" s="238">
        <v>0</v>
      </c>
      <c r="DK6" s="238">
        <v>0</v>
      </c>
      <c r="DL6" s="238"/>
      <c r="DM6" s="238">
        <v>-11.5</v>
      </c>
      <c r="DN6" s="238">
        <v>-17.100000000000001</v>
      </c>
      <c r="DO6" s="238">
        <v>-0.55000000000000004</v>
      </c>
      <c r="DP6" s="238"/>
      <c r="DQ6" s="238"/>
      <c r="DR6" s="238"/>
      <c r="DS6" s="238"/>
      <c r="DT6" s="135" t="s">
        <v>237</v>
      </c>
      <c r="DU6" s="238" t="s">
        <v>231</v>
      </c>
      <c r="DW6" s="129">
        <f>SUM(_2025_01_07T12_47_export3[[#This Row],[Ni_wt]:[H_wt]])</f>
        <v>99.999999999999986</v>
      </c>
      <c r="DY6" s="130">
        <f>SUM($AM6:BJ6)</f>
        <v>99.999999999999986</v>
      </c>
    </row>
    <row r="7" spans="1:129" x14ac:dyDescent="0.25">
      <c r="A7" s="129" t="s">
        <v>222</v>
      </c>
      <c r="B7" s="129">
        <v>5</v>
      </c>
      <c r="C7" s="129" t="s">
        <v>223</v>
      </c>
      <c r="D7" s="129">
        <v>2023</v>
      </c>
      <c r="E7" s="129" t="s">
        <v>224</v>
      </c>
      <c r="F7" s="129" t="s">
        <v>225</v>
      </c>
      <c r="G7" s="129" t="s">
        <v>226</v>
      </c>
      <c r="H7" s="129">
        <v>0</v>
      </c>
      <c r="I7" s="129">
        <v>700</v>
      </c>
      <c r="J7" s="129">
        <v>3000</v>
      </c>
      <c r="K7" s="129" t="s">
        <v>233</v>
      </c>
      <c r="L7" s="129" t="s">
        <v>227</v>
      </c>
      <c r="N7" s="129">
        <v>7980000</v>
      </c>
      <c r="O7" s="130">
        <v>10.025</v>
      </c>
      <c r="P7" s="130">
        <v>16.824999999999999</v>
      </c>
      <c r="Q7" s="130">
        <v>2.0114999999999998</v>
      </c>
      <c r="R7" s="130">
        <f>100-SUM(_2025_01_07T12_47_export3[[#This Row],[Ni_wt]:[Mo_wt]],_2025_01_07T12_47_export3[[#This Row],[W_wt]:[H_wt]])</f>
        <v>68.610900000000001</v>
      </c>
      <c r="S7" s="130"/>
      <c r="T7" s="130"/>
      <c r="U7" s="130">
        <v>1.5305</v>
      </c>
      <c r="V7" s="130"/>
      <c r="W7" s="130"/>
      <c r="X7" s="130">
        <v>0.309</v>
      </c>
      <c r="Y7" s="130">
        <v>0.22500000000000001</v>
      </c>
      <c r="Z7" s="130">
        <v>0.3795</v>
      </c>
      <c r="AA7" s="130"/>
      <c r="AB7" s="130"/>
      <c r="AC7" s="130">
        <v>3.1E-2</v>
      </c>
      <c r="AD7" s="130">
        <v>1.6000000000000001E-3</v>
      </c>
      <c r="AE7" s="130"/>
      <c r="AF7" s="130"/>
      <c r="AG7" s="130"/>
      <c r="AH7" s="130"/>
      <c r="AI7" s="130"/>
      <c r="AJ7" s="130">
        <v>5.0999999999999997E-2</v>
      </c>
      <c r="AK7" s="130"/>
      <c r="AL7" s="130"/>
      <c r="AM7" s="130">
        <f t="shared" si="0"/>
        <v>9.4263736040079404</v>
      </c>
      <c r="AN7" s="130">
        <f t="shared" si="1"/>
        <v>17.855668155061338</v>
      </c>
      <c r="AO7" s="130">
        <f t="shared" si="2"/>
        <v>1.1567890643408911</v>
      </c>
      <c r="AP7" s="130">
        <f t="shared" si="3"/>
        <v>67.794477124908823</v>
      </c>
      <c r="AQ7" s="130">
        <f t="shared" si="4"/>
        <v>0</v>
      </c>
      <c r="AR7" s="130">
        <f t="shared" si="5"/>
        <v>0</v>
      </c>
      <c r="AS7" s="130">
        <f t="shared" si="6"/>
        <v>1.53733691466061</v>
      </c>
      <c r="AT7" s="130">
        <f t="shared" si="7"/>
        <v>0</v>
      </c>
      <c r="AU7" s="130">
        <f t="shared" si="8"/>
        <v>0</v>
      </c>
      <c r="AV7" s="130">
        <f t="shared" si="9"/>
        <v>0.60705930029728394</v>
      </c>
      <c r="AW7" s="130">
        <f t="shared" si="10"/>
        <v>1.0338651293026873</v>
      </c>
      <c r="AX7" s="130">
        <f t="shared" si="11"/>
        <v>0.32954945831000193</v>
      </c>
      <c r="AY7" s="130">
        <f t="shared" si="12"/>
        <v>0</v>
      </c>
      <c r="AZ7" s="130">
        <f t="shared" si="13"/>
        <v>0</v>
      </c>
      <c r="BA7" s="130">
        <f t="shared" si="14"/>
        <v>5.5238880104858952E-2</v>
      </c>
      <c r="BB7" s="130">
        <f t="shared" si="15"/>
        <v>2.7532484252753265E-3</v>
      </c>
      <c r="BC7" s="130">
        <f t="shared" si="16"/>
        <v>0</v>
      </c>
      <c r="BD7" s="130">
        <f t="shared" si="17"/>
        <v>0</v>
      </c>
      <c r="BE7" s="130">
        <f t="shared" si="18"/>
        <v>0</v>
      </c>
      <c r="BF7" s="130">
        <f t="shared" si="19"/>
        <v>0</v>
      </c>
      <c r="BG7" s="130">
        <f t="shared" si="20"/>
        <v>0</v>
      </c>
      <c r="BH7" s="130">
        <f t="shared" si="21"/>
        <v>0.20088912058028036</v>
      </c>
      <c r="BI7" s="130">
        <f t="shared" si="22"/>
        <v>0</v>
      </c>
      <c r="BJ7" s="130">
        <f t="shared" si="23"/>
        <v>0</v>
      </c>
      <c r="BK7" s="130">
        <f t="shared" si="24"/>
        <v>-136.54295506071665</v>
      </c>
      <c r="BL7" s="130">
        <f>IF($K7=$L7,$BK7,IF(OR($K7="graphite",$K7="vitreous carbon"),$BK$406+($BM$389+$I7)*$BJ$406,IF($K7="Pyrolytic Boron Nitride","PBN",IF(COUNTIF($BH$396:$BH$416,$K7)&gt;0,VLOOKUP($K7,$BH$396:$BK$416,4,FALSE)+($BM$389+$I7)*VLOOKUP($K7,$BH$396:$BK$416,3,FALSE),IF(COUNTIF($L$2:$L6,$K7)&gt;0,VLOOKUP($K7,$L$2:$BK6,52,FALSE),"idk")))))</f>
        <v>-63.529671587210359</v>
      </c>
      <c r="BM7" s="130">
        <v>13</v>
      </c>
      <c r="BN7" s="130">
        <v>7</v>
      </c>
      <c r="BO7" s="130">
        <v>1</v>
      </c>
      <c r="BP7" s="129" t="s">
        <v>228</v>
      </c>
      <c r="BQ7" s="129" t="s">
        <v>229</v>
      </c>
      <c r="BR7" s="129" t="s">
        <v>230</v>
      </c>
      <c r="BS7" s="129"/>
      <c r="BT7" s="129">
        <v>0</v>
      </c>
      <c r="BV7" s="129"/>
      <c r="BZ7" s="129"/>
      <c r="DJ7" s="129">
        <v>0</v>
      </c>
      <c r="DK7" s="129">
        <v>0</v>
      </c>
      <c r="DL7" s="129"/>
      <c r="DM7" s="129">
        <v>-22.5</v>
      </c>
      <c r="DN7" s="129">
        <v>-31.2</v>
      </c>
      <c r="DO7" s="129">
        <v>-0.5</v>
      </c>
      <c r="DS7" s="129"/>
      <c r="DU7" s="129" t="s">
        <v>231</v>
      </c>
      <c r="DW7" s="129">
        <f>SUM(_2025_01_07T12_47_export3[[#This Row],[Ni_wt]:[H_wt]])</f>
        <v>99.999999999999986</v>
      </c>
      <c r="DY7" s="130">
        <f>SUM($AM7:BJ7)</f>
        <v>99.999999999999986</v>
      </c>
    </row>
    <row r="8" spans="1:129" x14ac:dyDescent="0.25">
      <c r="A8" s="129" t="s">
        <v>238</v>
      </c>
      <c r="B8" s="129">
        <v>6</v>
      </c>
      <c r="C8" s="129" t="s">
        <v>223</v>
      </c>
      <c r="D8" s="129">
        <v>2016</v>
      </c>
      <c r="E8" s="129" t="s">
        <v>224</v>
      </c>
      <c r="F8" s="129" t="s">
        <v>225</v>
      </c>
      <c r="G8" s="129" t="s">
        <v>226</v>
      </c>
      <c r="H8" s="129">
        <v>0</v>
      </c>
      <c r="I8" s="129">
        <v>700</v>
      </c>
      <c r="J8" s="129">
        <v>1000</v>
      </c>
      <c r="K8" s="129" t="s">
        <v>48</v>
      </c>
      <c r="L8" s="129" t="s">
        <v>239</v>
      </c>
      <c r="N8" s="129">
        <v>8860000</v>
      </c>
      <c r="O8" s="130">
        <v>71</v>
      </c>
      <c r="P8" s="130">
        <v>7</v>
      </c>
      <c r="Q8" s="130">
        <v>16</v>
      </c>
      <c r="R8" s="130">
        <v>4</v>
      </c>
      <c r="S8" s="130">
        <v>0.5</v>
      </c>
      <c r="T8" s="130">
        <v>0.2</v>
      </c>
      <c r="U8" s="130">
        <v>0.8</v>
      </c>
      <c r="V8" s="130">
        <v>0.17</v>
      </c>
      <c r="W8" s="130">
        <v>0.18</v>
      </c>
      <c r="X8" s="130">
        <v>1</v>
      </c>
      <c r="Y8" s="130">
        <v>0.08</v>
      </c>
      <c r="Z8" s="130">
        <v>0.35</v>
      </c>
      <c r="AA8" s="130"/>
      <c r="AB8" s="130"/>
      <c r="AC8" s="130"/>
      <c r="AD8" s="130"/>
      <c r="AE8" s="130"/>
      <c r="AF8" s="130"/>
      <c r="AG8" s="130"/>
      <c r="AH8" s="130"/>
      <c r="AI8" s="130"/>
      <c r="AJ8" s="130"/>
      <c r="AK8" s="130"/>
      <c r="AL8" s="130"/>
      <c r="AM8" s="130">
        <f t="shared" si="0"/>
        <v>72.822611879318529</v>
      </c>
      <c r="AN8" s="130">
        <f t="shared" si="1"/>
        <v>8.1033893928441021</v>
      </c>
      <c r="AO8" s="130">
        <f t="shared" si="2"/>
        <v>10.036949882162649</v>
      </c>
      <c r="AP8" s="130">
        <f t="shared" si="3"/>
        <v>4.3113057774947521</v>
      </c>
      <c r="AQ8" s="130">
        <f t="shared" si="4"/>
        <v>0.16375573155133422</v>
      </c>
      <c r="AR8" s="130">
        <f t="shared" si="5"/>
        <v>0.20429868290605968</v>
      </c>
      <c r="AS8" s="130">
        <f t="shared" si="6"/>
        <v>0.87654323870797934</v>
      </c>
      <c r="AT8" s="130">
        <f t="shared" si="7"/>
        <v>0.37929663365848709</v>
      </c>
      <c r="AU8" s="130">
        <f t="shared" si="8"/>
        <v>0.22635030802775613</v>
      </c>
      <c r="AV8" s="130">
        <f t="shared" si="9"/>
        <v>2.1429906343278917</v>
      </c>
      <c r="AW8" s="130">
        <f t="shared" si="10"/>
        <v>0.40097656565042783</v>
      </c>
      <c r="AX8" s="130">
        <f t="shared" si="11"/>
        <v>0.33153127335003413</v>
      </c>
      <c r="AY8" s="130">
        <f t="shared" si="12"/>
        <v>0</v>
      </c>
      <c r="AZ8" s="130">
        <f t="shared" si="13"/>
        <v>0</v>
      </c>
      <c r="BA8" s="130">
        <f t="shared" si="14"/>
        <v>0</v>
      </c>
      <c r="BB8" s="130">
        <f t="shared" si="15"/>
        <v>0</v>
      </c>
      <c r="BC8" s="130">
        <f t="shared" si="16"/>
        <v>0</v>
      </c>
      <c r="BD8" s="130">
        <f t="shared" si="17"/>
        <v>0</v>
      </c>
      <c r="BE8" s="130">
        <f t="shared" si="18"/>
        <v>0</v>
      </c>
      <c r="BF8" s="130">
        <f t="shared" si="19"/>
        <v>0</v>
      </c>
      <c r="BG8" s="130">
        <f t="shared" si="20"/>
        <v>0</v>
      </c>
      <c r="BH8" s="130">
        <f t="shared" si="21"/>
        <v>0</v>
      </c>
      <c r="BI8" s="130">
        <f t="shared" si="22"/>
        <v>0</v>
      </c>
      <c r="BJ8" s="130">
        <f t="shared" si="23"/>
        <v>0</v>
      </c>
      <c r="BK8" s="130">
        <f t="shared" si="24"/>
        <v>-125.28457574331848</v>
      </c>
      <c r="BL8" s="130">
        <f>IF($K8=$L8,$BK8,IF(OR($K8="graphite",$K8="vitreous carbon"),$BK$406+($BM$389+$I8)*$BJ$406,IF($K8="Pyrolytic Boron Nitride","PBN",IF(COUNTIF($BH$396:$BH$416,$K8)&gt;0,VLOOKUP($K8,$BH$396:$BK$416,4,FALSE)+($BM$389+$I8)*VLOOKUP($K8,$BH$396:$BK$416,3,FALSE),IF(COUNTIF($L$2:$L7,$K8)&gt;0,VLOOKUP($K8,$L$2:$BK7,52,FALSE),"idk")))))</f>
        <v>-121.74823772574202</v>
      </c>
      <c r="BM8" s="130">
        <v>13</v>
      </c>
      <c r="BN8" s="130">
        <v>7</v>
      </c>
      <c r="BO8" s="130">
        <v>1</v>
      </c>
      <c r="BP8" s="129" t="s">
        <v>228</v>
      </c>
      <c r="BQ8" s="129" t="s">
        <v>229</v>
      </c>
      <c r="BR8" s="129" t="s">
        <v>230</v>
      </c>
      <c r="BS8" s="129"/>
      <c r="BT8" s="129">
        <v>0</v>
      </c>
      <c r="BV8" s="129"/>
      <c r="BZ8" s="129"/>
      <c r="DJ8" s="129">
        <v>0</v>
      </c>
      <c r="DK8" s="129">
        <v>0</v>
      </c>
      <c r="DL8" s="129"/>
      <c r="DM8" s="129">
        <v>-3.5</v>
      </c>
      <c r="DN8" s="129">
        <v>-1.226</v>
      </c>
      <c r="DO8" s="129">
        <v>-0.124</v>
      </c>
      <c r="DS8" s="129"/>
      <c r="DU8" s="129" t="s">
        <v>231</v>
      </c>
      <c r="DW8" s="129">
        <f>SUM(_2025_01_07T12_47_export3[[#This Row],[Ni_wt]:[H_wt]])</f>
        <v>101.28</v>
      </c>
      <c r="DY8" s="130">
        <f>SUM($AM8:BJ8)</f>
        <v>100</v>
      </c>
    </row>
    <row r="9" spans="1:129" x14ac:dyDescent="0.25">
      <c r="A9" s="238" t="s">
        <v>238</v>
      </c>
      <c r="B9" s="238">
        <v>7</v>
      </c>
      <c r="C9" s="238" t="s">
        <v>223</v>
      </c>
      <c r="D9" s="238">
        <v>2017</v>
      </c>
      <c r="E9" s="238" t="s">
        <v>224</v>
      </c>
      <c r="F9" s="238" t="s">
        <v>225</v>
      </c>
      <c r="G9" s="238" t="s">
        <v>226</v>
      </c>
      <c r="H9" s="238">
        <v>0</v>
      </c>
      <c r="I9" s="238">
        <v>700</v>
      </c>
      <c r="J9" s="238">
        <v>1000</v>
      </c>
      <c r="K9" s="238" t="s">
        <v>233</v>
      </c>
      <c r="L9" s="238" t="s">
        <v>239</v>
      </c>
      <c r="M9" s="238"/>
      <c r="N9" s="238">
        <v>8860000</v>
      </c>
      <c r="O9" s="239">
        <v>71</v>
      </c>
      <c r="P9" s="239">
        <v>7</v>
      </c>
      <c r="Q9" s="239">
        <v>16</v>
      </c>
      <c r="R9" s="239">
        <v>4</v>
      </c>
      <c r="S9" s="239">
        <v>0.5</v>
      </c>
      <c r="T9" s="239">
        <v>0.2</v>
      </c>
      <c r="U9" s="239">
        <v>0.8</v>
      </c>
      <c r="V9" s="239">
        <v>0.17</v>
      </c>
      <c r="W9" s="239">
        <v>0.18</v>
      </c>
      <c r="X9" s="239">
        <v>1</v>
      </c>
      <c r="Y9" s="239">
        <v>0.08</v>
      </c>
      <c r="Z9" s="239">
        <v>0.35</v>
      </c>
      <c r="AA9" s="239"/>
      <c r="AB9" s="239"/>
      <c r="AC9" s="239"/>
      <c r="AD9" s="239"/>
      <c r="AE9" s="239"/>
      <c r="AF9" s="239"/>
      <c r="AG9" s="239"/>
      <c r="AH9" s="239"/>
      <c r="AI9" s="239"/>
      <c r="AJ9" s="239"/>
      <c r="AK9" s="239"/>
      <c r="AL9" s="239"/>
      <c r="AM9" s="239">
        <f t="shared" si="0"/>
        <v>72.822611879318529</v>
      </c>
      <c r="AN9" s="239">
        <f t="shared" si="1"/>
        <v>8.1033893928441021</v>
      </c>
      <c r="AO9" s="239">
        <f t="shared" si="2"/>
        <v>10.036949882162649</v>
      </c>
      <c r="AP9" s="239">
        <f t="shared" si="3"/>
        <v>4.3113057774947521</v>
      </c>
      <c r="AQ9" s="239">
        <f t="shared" si="4"/>
        <v>0.16375573155133422</v>
      </c>
      <c r="AR9" s="239">
        <f t="shared" si="5"/>
        <v>0.20429868290605968</v>
      </c>
      <c r="AS9" s="239">
        <f t="shared" si="6"/>
        <v>0.87654323870797934</v>
      </c>
      <c r="AT9" s="239">
        <f t="shared" si="7"/>
        <v>0.37929663365848709</v>
      </c>
      <c r="AU9" s="239">
        <f t="shared" si="8"/>
        <v>0.22635030802775613</v>
      </c>
      <c r="AV9" s="239">
        <f t="shared" si="9"/>
        <v>2.1429906343278917</v>
      </c>
      <c r="AW9" s="239">
        <f t="shared" si="10"/>
        <v>0.40097656565042783</v>
      </c>
      <c r="AX9" s="239">
        <f t="shared" si="11"/>
        <v>0.33153127335003413</v>
      </c>
      <c r="AY9" s="239">
        <f t="shared" si="12"/>
        <v>0</v>
      </c>
      <c r="AZ9" s="239">
        <f t="shared" si="13"/>
        <v>0</v>
      </c>
      <c r="BA9" s="239">
        <f t="shared" si="14"/>
        <v>0</v>
      </c>
      <c r="BB9" s="239">
        <f t="shared" si="15"/>
        <v>0</v>
      </c>
      <c r="BC9" s="239">
        <f t="shared" si="16"/>
        <v>0</v>
      </c>
      <c r="BD9" s="239">
        <f t="shared" si="17"/>
        <v>0</v>
      </c>
      <c r="BE9" s="239">
        <f t="shared" si="18"/>
        <v>0</v>
      </c>
      <c r="BF9" s="239">
        <f t="shared" si="19"/>
        <v>0</v>
      </c>
      <c r="BG9" s="239">
        <f t="shared" si="20"/>
        <v>0</v>
      </c>
      <c r="BH9" s="239">
        <f t="shared" si="21"/>
        <v>0</v>
      </c>
      <c r="BI9" s="239">
        <f t="shared" si="22"/>
        <v>0</v>
      </c>
      <c r="BJ9" s="239">
        <f t="shared" si="23"/>
        <v>0</v>
      </c>
      <c r="BK9" s="239">
        <f t="shared" si="24"/>
        <v>-125.28457574331848</v>
      </c>
      <c r="BL9" s="239">
        <f>IF($K9=$L9,$BK9,IF(OR($K9="graphite",$K9="vitreous carbon"),$BK$406+($BM$389+$I9)*$BJ$406,IF($K9="Pyrolytic Boron Nitride","PBN",IF(COUNTIF($BH$396:$BH$416,$K9)&gt;0,VLOOKUP($K9,$BH$396:$BK$416,4,FALSE)+($BM$389+$I9)*VLOOKUP($K9,$BH$396:$BK$416,3,FALSE),IF(COUNTIF($L$2:$L8,$K9)&gt;0,VLOOKUP($K9,$L$2:$BK8,52,FALSE),"idk")))))</f>
        <v>-63.529671587210359</v>
      </c>
      <c r="BM9" s="239">
        <v>13</v>
      </c>
      <c r="BN9" s="239">
        <v>7</v>
      </c>
      <c r="BO9" s="239">
        <v>1</v>
      </c>
      <c r="BP9" s="238" t="s">
        <v>228</v>
      </c>
      <c r="BQ9" s="238" t="s">
        <v>229</v>
      </c>
      <c r="BR9" s="238" t="s">
        <v>230</v>
      </c>
      <c r="BS9" s="238"/>
      <c r="BT9" s="238">
        <v>0</v>
      </c>
      <c r="BU9" s="238"/>
      <c r="BV9" s="238"/>
      <c r="BW9" s="238"/>
      <c r="BX9" s="238"/>
      <c r="BY9" s="238"/>
      <c r="BZ9" s="238"/>
      <c r="CA9" s="238"/>
      <c r="CB9" s="238"/>
      <c r="CC9" s="238"/>
      <c r="CD9" s="238"/>
      <c r="CE9" s="238"/>
      <c r="CF9" s="238"/>
      <c r="CG9" s="238"/>
      <c r="CH9" s="238"/>
      <c r="CI9" s="238"/>
      <c r="CJ9" s="238"/>
      <c r="CK9" s="238"/>
      <c r="CL9" s="238"/>
      <c r="CM9" s="238"/>
      <c r="CN9" s="238"/>
      <c r="CO9" s="238"/>
      <c r="CP9" s="238"/>
      <c r="CQ9" s="238"/>
      <c r="CR9" s="238"/>
      <c r="CS9" s="238"/>
      <c r="CT9" s="238"/>
      <c r="CU9" s="238"/>
      <c r="CV9" s="238"/>
      <c r="CW9" s="238"/>
      <c r="CX9" s="238"/>
      <c r="CY9" s="238"/>
      <c r="CZ9" s="238"/>
      <c r="DA9" s="238"/>
      <c r="DB9" s="238"/>
      <c r="DC9" s="238"/>
      <c r="DD9" s="238"/>
      <c r="DE9" s="238"/>
      <c r="DF9" s="238"/>
      <c r="DG9" s="238"/>
      <c r="DH9" s="238"/>
      <c r="DI9" s="238"/>
      <c r="DJ9" s="238">
        <v>0</v>
      </c>
      <c r="DK9" s="238">
        <v>0</v>
      </c>
      <c r="DL9" s="238"/>
      <c r="DM9" s="238">
        <v>-9</v>
      </c>
      <c r="DN9" s="238">
        <v>-17.100000000000001</v>
      </c>
      <c r="DO9" s="238">
        <v>0.16500000000000001</v>
      </c>
      <c r="DP9" s="238"/>
      <c r="DQ9" s="238"/>
      <c r="DR9" s="238"/>
      <c r="DS9" s="238"/>
      <c r="DT9" s="238"/>
      <c r="DU9" s="238" t="s">
        <v>231</v>
      </c>
      <c r="DW9" s="129">
        <f>SUM(_2025_01_07T12_47_export3[[#This Row],[Ni_wt]:[H_wt]])</f>
        <v>101.28</v>
      </c>
      <c r="DY9" s="130">
        <f>SUM($AM9:BJ9)</f>
        <v>100</v>
      </c>
    </row>
    <row r="10" spans="1:129" x14ac:dyDescent="0.25">
      <c r="A10" s="129" t="s">
        <v>240</v>
      </c>
      <c r="B10" s="129">
        <v>8</v>
      </c>
      <c r="C10" s="129" t="s">
        <v>223</v>
      </c>
      <c r="D10" s="129">
        <v>2015</v>
      </c>
      <c r="E10" s="129" t="s">
        <v>224</v>
      </c>
      <c r="F10" s="129" t="s">
        <v>225</v>
      </c>
      <c r="G10" s="129" t="s">
        <v>226</v>
      </c>
      <c r="H10" s="129">
        <v>0</v>
      </c>
      <c r="I10" s="129">
        <v>700</v>
      </c>
      <c r="J10" s="129">
        <v>50</v>
      </c>
      <c r="K10" s="129" t="s">
        <v>48</v>
      </c>
      <c r="L10" s="129" t="s">
        <v>241</v>
      </c>
      <c r="N10" s="129">
        <v>8570000</v>
      </c>
      <c r="O10" s="130">
        <v>80</v>
      </c>
      <c r="P10" s="130">
        <v>20</v>
      </c>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f t="shared" si="0"/>
        <v>77.993175597135249</v>
      </c>
      <c r="AN10" s="130">
        <f t="shared" si="1"/>
        <v>22.006824402864751</v>
      </c>
      <c r="AO10" s="130">
        <f t="shared" si="2"/>
        <v>0</v>
      </c>
      <c r="AP10" s="130">
        <f t="shared" si="3"/>
        <v>0</v>
      </c>
      <c r="AQ10" s="130">
        <f t="shared" si="4"/>
        <v>0</v>
      </c>
      <c r="AR10" s="130">
        <f t="shared" si="5"/>
        <v>0</v>
      </c>
      <c r="AS10" s="130">
        <f t="shared" si="6"/>
        <v>0</v>
      </c>
      <c r="AT10" s="130">
        <f t="shared" si="7"/>
        <v>0</v>
      </c>
      <c r="AU10" s="130">
        <f t="shared" si="8"/>
        <v>0</v>
      </c>
      <c r="AV10" s="130">
        <f t="shared" si="9"/>
        <v>0</v>
      </c>
      <c r="AW10" s="130">
        <f t="shared" si="10"/>
        <v>0</v>
      </c>
      <c r="AX10" s="130">
        <f t="shared" si="11"/>
        <v>0</v>
      </c>
      <c r="AY10" s="130">
        <f t="shared" si="12"/>
        <v>0</v>
      </c>
      <c r="AZ10" s="130">
        <f t="shared" si="13"/>
        <v>0</v>
      </c>
      <c r="BA10" s="130">
        <f t="shared" si="14"/>
        <v>0</v>
      </c>
      <c r="BB10" s="130">
        <f t="shared" si="15"/>
        <v>0</v>
      </c>
      <c r="BC10" s="130">
        <f t="shared" si="16"/>
        <v>0</v>
      </c>
      <c r="BD10" s="130">
        <f t="shared" si="17"/>
        <v>0</v>
      </c>
      <c r="BE10" s="130">
        <f t="shared" si="18"/>
        <v>0</v>
      </c>
      <c r="BF10" s="130">
        <f t="shared" si="19"/>
        <v>0</v>
      </c>
      <c r="BG10" s="130">
        <f t="shared" si="20"/>
        <v>0</v>
      </c>
      <c r="BH10" s="130">
        <f t="shared" si="21"/>
        <v>0</v>
      </c>
      <c r="BI10" s="130">
        <f t="shared" si="22"/>
        <v>0</v>
      </c>
      <c r="BJ10" s="130">
        <f t="shared" si="23"/>
        <v>0</v>
      </c>
      <c r="BK10" s="130">
        <f t="shared" si="24"/>
        <v>-127.90838393314866</v>
      </c>
      <c r="BL10" s="130">
        <f>IF($K10=$L10,$BK10,IF(OR($K10="graphite",$K10="vitreous carbon"),$BK$406+($BM$389+$I10)*$BJ$406,IF($K10="Pyrolytic Boron Nitride","PBN",IF(COUNTIF($BH$396:$BH$416,$K10)&gt;0,VLOOKUP($K10,$BH$396:$BK$416,4,FALSE)+($BM$389+$I10)*VLOOKUP($K10,$BH$396:$BK$416,3,FALSE),IF(COUNTIF($L$2:$L9,$K10)&gt;0,VLOOKUP($K10,$L$2:$BK9,52,FALSE),"idk")))))</f>
        <v>-121.74823772574202</v>
      </c>
      <c r="BM10" s="130">
        <v>12.7</v>
      </c>
      <c r="BN10" s="130">
        <v>6.3</v>
      </c>
      <c r="BO10" s="130">
        <v>2.2999999999999998</v>
      </c>
      <c r="BP10" s="129" t="s">
        <v>228</v>
      </c>
      <c r="BQ10" s="129" t="s">
        <v>229</v>
      </c>
      <c r="BR10" s="129" t="s">
        <v>230</v>
      </c>
      <c r="BS10" s="129"/>
      <c r="BT10" s="129">
        <v>0</v>
      </c>
      <c r="BV10" s="129"/>
      <c r="BZ10" s="129"/>
      <c r="DJ10" s="129">
        <v>0</v>
      </c>
      <c r="DK10" s="129">
        <v>0</v>
      </c>
      <c r="DL10" s="129"/>
      <c r="DM10" s="129">
        <v>-18.2</v>
      </c>
      <c r="DO10" s="129">
        <v>-0.67</v>
      </c>
      <c r="DQ10" s="129">
        <v>1714000</v>
      </c>
      <c r="DR10" s="129">
        <v>2</v>
      </c>
      <c r="DS10" s="129">
        <v>3</v>
      </c>
      <c r="DU10" s="129" t="s">
        <v>231</v>
      </c>
      <c r="DW10" s="129">
        <f>SUM(_2025_01_07T12_47_export3[[#This Row],[Ni_wt]:[H_wt]])</f>
        <v>100</v>
      </c>
      <c r="DY10" s="130">
        <f>SUM($AM10:BJ10)</f>
        <v>100</v>
      </c>
    </row>
    <row r="11" spans="1:129" x14ac:dyDescent="0.25">
      <c r="A11" s="129" t="s">
        <v>240</v>
      </c>
      <c r="B11" s="129">
        <v>9</v>
      </c>
      <c r="C11" s="129" t="s">
        <v>223</v>
      </c>
      <c r="D11" s="129">
        <v>2015</v>
      </c>
      <c r="E11" s="129" t="s">
        <v>224</v>
      </c>
      <c r="F11" s="129" t="s">
        <v>225</v>
      </c>
      <c r="G11" s="129" t="s">
        <v>226</v>
      </c>
      <c r="H11" s="129">
        <v>0</v>
      </c>
      <c r="I11" s="129">
        <v>700</v>
      </c>
      <c r="J11" s="129">
        <v>500</v>
      </c>
      <c r="K11" s="129" t="s">
        <v>48</v>
      </c>
      <c r="L11" s="129" t="s">
        <v>241</v>
      </c>
      <c r="N11" s="129">
        <v>8570000</v>
      </c>
      <c r="O11" s="130">
        <v>80</v>
      </c>
      <c r="P11" s="130">
        <v>20</v>
      </c>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f t="shared" si="0"/>
        <v>77.993175597135249</v>
      </c>
      <c r="AN11" s="130">
        <f t="shared" si="1"/>
        <v>22.006824402864751</v>
      </c>
      <c r="AO11" s="130">
        <f t="shared" si="2"/>
        <v>0</v>
      </c>
      <c r="AP11" s="130">
        <f t="shared" si="3"/>
        <v>0</v>
      </c>
      <c r="AQ11" s="130">
        <f t="shared" si="4"/>
        <v>0</v>
      </c>
      <c r="AR11" s="130">
        <f t="shared" si="5"/>
        <v>0</v>
      </c>
      <c r="AS11" s="130">
        <f t="shared" si="6"/>
        <v>0</v>
      </c>
      <c r="AT11" s="130">
        <f t="shared" si="7"/>
        <v>0</v>
      </c>
      <c r="AU11" s="130">
        <f t="shared" si="8"/>
        <v>0</v>
      </c>
      <c r="AV11" s="130">
        <f t="shared" si="9"/>
        <v>0</v>
      </c>
      <c r="AW11" s="130">
        <f t="shared" si="10"/>
        <v>0</v>
      </c>
      <c r="AX11" s="130">
        <f t="shared" si="11"/>
        <v>0</v>
      </c>
      <c r="AY11" s="130">
        <f t="shared" si="12"/>
        <v>0</v>
      </c>
      <c r="AZ11" s="130">
        <f t="shared" si="13"/>
        <v>0</v>
      </c>
      <c r="BA11" s="130">
        <f t="shared" si="14"/>
        <v>0</v>
      </c>
      <c r="BB11" s="130">
        <f t="shared" si="15"/>
        <v>0</v>
      </c>
      <c r="BC11" s="130">
        <f t="shared" si="16"/>
        <v>0</v>
      </c>
      <c r="BD11" s="130">
        <f t="shared" si="17"/>
        <v>0</v>
      </c>
      <c r="BE11" s="130">
        <f t="shared" si="18"/>
        <v>0</v>
      </c>
      <c r="BF11" s="130">
        <f t="shared" si="19"/>
        <v>0</v>
      </c>
      <c r="BG11" s="130">
        <f t="shared" si="20"/>
        <v>0</v>
      </c>
      <c r="BH11" s="130">
        <f t="shared" si="21"/>
        <v>0</v>
      </c>
      <c r="BI11" s="130">
        <f t="shared" si="22"/>
        <v>0</v>
      </c>
      <c r="BJ11" s="130">
        <f t="shared" si="23"/>
        <v>0</v>
      </c>
      <c r="BK11" s="130">
        <f t="shared" si="24"/>
        <v>-127.90838393314866</v>
      </c>
      <c r="BL11" s="130">
        <f>IF($K11=$L11,$BK11,IF(OR($K11="graphite",$K11="vitreous carbon"),$BK$406+($BM$389+$I11)*$BJ$406,IF($K11="Pyrolytic Boron Nitride","PBN",IF(COUNTIF($BH$396:$BH$416,$K11)&gt;0,VLOOKUP($K11,$BH$396:$BK$416,4,FALSE)+($BM$389+$I11)*VLOOKUP($K11,$BH$396:$BK$416,3,FALSE),IF(COUNTIF($L$2:$L10,$K11)&gt;0,VLOOKUP($K11,$L$2:$BK10,52,FALSE),"idk")))))</f>
        <v>-121.74823772574202</v>
      </c>
      <c r="BM11" s="130">
        <v>12.7</v>
      </c>
      <c r="BN11" s="130">
        <v>6.3</v>
      </c>
      <c r="BO11" s="130">
        <v>2.2999999999999998</v>
      </c>
      <c r="BP11" s="129" t="s">
        <v>228</v>
      </c>
      <c r="BQ11" s="129" t="s">
        <v>229</v>
      </c>
      <c r="BR11" s="129" t="s">
        <v>230</v>
      </c>
      <c r="BS11" s="129"/>
      <c r="BT11" s="129">
        <v>0</v>
      </c>
      <c r="BV11" s="129"/>
      <c r="BZ11" s="129"/>
      <c r="DJ11" s="129">
        <v>0</v>
      </c>
      <c r="DK11" s="129">
        <v>0</v>
      </c>
      <c r="DL11" s="129"/>
      <c r="DM11" s="129">
        <v>-84.5</v>
      </c>
      <c r="DO11" s="129">
        <v>-3.05</v>
      </c>
      <c r="DQ11" s="129">
        <v>1714000</v>
      </c>
      <c r="DR11" s="129">
        <v>4</v>
      </c>
      <c r="DS11" s="129">
        <v>3</v>
      </c>
      <c r="DU11" s="129" t="s">
        <v>231</v>
      </c>
      <c r="DW11" s="129">
        <f>SUM(_2025_01_07T12_47_export3[[#This Row],[Ni_wt]:[H_wt]])</f>
        <v>100</v>
      </c>
      <c r="DY11" s="130">
        <f>SUM($AM11:BJ11)</f>
        <v>100</v>
      </c>
    </row>
    <row r="12" spans="1:129" x14ac:dyDescent="0.25">
      <c r="A12" s="129" t="s">
        <v>240</v>
      </c>
      <c r="B12" s="129">
        <v>10</v>
      </c>
      <c r="C12" s="129" t="s">
        <v>223</v>
      </c>
      <c r="D12" s="129">
        <v>2015</v>
      </c>
      <c r="E12" s="129" t="s">
        <v>224</v>
      </c>
      <c r="F12" s="129" t="s">
        <v>225</v>
      </c>
      <c r="G12" s="129" t="s">
        <v>226</v>
      </c>
      <c r="H12" s="129">
        <v>0</v>
      </c>
      <c r="I12" s="129">
        <v>700</v>
      </c>
      <c r="J12" s="129">
        <v>1000</v>
      </c>
      <c r="K12" s="129" t="s">
        <v>48</v>
      </c>
      <c r="L12" s="129" t="s">
        <v>241</v>
      </c>
      <c r="N12" s="129">
        <v>8570000</v>
      </c>
      <c r="O12" s="130">
        <v>80</v>
      </c>
      <c r="P12" s="130">
        <v>20</v>
      </c>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f t="shared" si="0"/>
        <v>77.993175597135249</v>
      </c>
      <c r="AN12" s="130">
        <f t="shared" si="1"/>
        <v>22.006824402864751</v>
      </c>
      <c r="AO12" s="130">
        <f t="shared" si="2"/>
        <v>0</v>
      </c>
      <c r="AP12" s="130">
        <f t="shared" si="3"/>
        <v>0</v>
      </c>
      <c r="AQ12" s="130">
        <f t="shared" si="4"/>
        <v>0</v>
      </c>
      <c r="AR12" s="130">
        <f t="shared" si="5"/>
        <v>0</v>
      </c>
      <c r="AS12" s="130">
        <f t="shared" si="6"/>
        <v>0</v>
      </c>
      <c r="AT12" s="130">
        <f t="shared" si="7"/>
        <v>0</v>
      </c>
      <c r="AU12" s="130">
        <f t="shared" si="8"/>
        <v>0</v>
      </c>
      <c r="AV12" s="130">
        <f t="shared" si="9"/>
        <v>0</v>
      </c>
      <c r="AW12" s="130">
        <f t="shared" si="10"/>
        <v>0</v>
      </c>
      <c r="AX12" s="130">
        <f t="shared" si="11"/>
        <v>0</v>
      </c>
      <c r="AY12" s="130">
        <f t="shared" si="12"/>
        <v>0</v>
      </c>
      <c r="AZ12" s="130">
        <f t="shared" si="13"/>
        <v>0</v>
      </c>
      <c r="BA12" s="130">
        <f t="shared" si="14"/>
        <v>0</v>
      </c>
      <c r="BB12" s="130">
        <f t="shared" si="15"/>
        <v>0</v>
      </c>
      <c r="BC12" s="130">
        <f t="shared" si="16"/>
        <v>0</v>
      </c>
      <c r="BD12" s="130">
        <f t="shared" si="17"/>
        <v>0</v>
      </c>
      <c r="BE12" s="130">
        <f t="shared" si="18"/>
        <v>0</v>
      </c>
      <c r="BF12" s="130">
        <f t="shared" si="19"/>
        <v>0</v>
      </c>
      <c r="BG12" s="130">
        <f t="shared" si="20"/>
        <v>0</v>
      </c>
      <c r="BH12" s="130">
        <f t="shared" si="21"/>
        <v>0</v>
      </c>
      <c r="BI12" s="130">
        <f t="shared" si="22"/>
        <v>0</v>
      </c>
      <c r="BJ12" s="130">
        <f t="shared" si="23"/>
        <v>0</v>
      </c>
      <c r="BK12" s="130">
        <f t="shared" si="24"/>
        <v>-127.90838393314866</v>
      </c>
      <c r="BL12" s="130">
        <f>IF($K12=$L12,$BK12,IF(OR($K12="graphite",$K12="vitreous carbon"),$BK$406+($BM$389+$I12)*$BJ$406,IF($K12="Pyrolytic Boron Nitride","PBN",IF(COUNTIF($BH$396:$BH$416,$K12)&gt;0,VLOOKUP($K12,$BH$396:$BK$416,4,FALSE)+($BM$389+$I12)*VLOOKUP($K12,$BH$396:$BK$416,3,FALSE),IF(COUNTIF($L$2:$L11,$K12)&gt;0,VLOOKUP($K12,$L$2:$BK11,52,FALSE),"idk")))))</f>
        <v>-121.74823772574202</v>
      </c>
      <c r="BM12" s="130">
        <v>12.7</v>
      </c>
      <c r="BN12" s="130">
        <v>6.3</v>
      </c>
      <c r="BO12" s="130">
        <v>2.2999999999999998</v>
      </c>
      <c r="BP12" s="129" t="s">
        <v>228</v>
      </c>
      <c r="BQ12" s="129" t="s">
        <v>229</v>
      </c>
      <c r="BR12" s="129" t="s">
        <v>230</v>
      </c>
      <c r="BS12" s="129"/>
      <c r="BT12" s="129">
        <v>0</v>
      </c>
      <c r="BV12" s="129"/>
      <c r="BZ12" s="129"/>
      <c r="DJ12" s="129">
        <v>0</v>
      </c>
      <c r="DK12" s="129">
        <v>0</v>
      </c>
      <c r="DL12" s="129"/>
      <c r="DM12" s="129">
        <v>-140.80000000000001</v>
      </c>
      <c r="DO12" s="129">
        <v>-7.12</v>
      </c>
      <c r="DQ12" s="129">
        <v>1714000</v>
      </c>
      <c r="DR12" s="129">
        <v>5</v>
      </c>
      <c r="DS12" s="129">
        <v>3</v>
      </c>
      <c r="DU12" s="129" t="s">
        <v>231</v>
      </c>
      <c r="DW12" s="129">
        <f>SUM(_2025_01_07T12_47_export3[[#This Row],[Ni_wt]:[H_wt]])</f>
        <v>100</v>
      </c>
      <c r="DY12" s="130">
        <f>SUM($AM12:BJ12)</f>
        <v>100</v>
      </c>
    </row>
    <row r="13" spans="1:129" x14ac:dyDescent="0.25">
      <c r="A13" s="129" t="s">
        <v>242</v>
      </c>
      <c r="B13" s="129">
        <v>11</v>
      </c>
      <c r="C13" s="129" t="s">
        <v>223</v>
      </c>
      <c r="D13" s="129">
        <v>2015</v>
      </c>
      <c r="E13" s="129" t="s">
        <v>224</v>
      </c>
      <c r="F13" s="129" t="s">
        <v>225</v>
      </c>
      <c r="G13" s="129" t="s">
        <v>226</v>
      </c>
      <c r="H13" s="129">
        <v>0</v>
      </c>
      <c r="I13" s="129">
        <v>700</v>
      </c>
      <c r="J13" s="129">
        <v>50</v>
      </c>
      <c r="K13" s="129" t="s">
        <v>48</v>
      </c>
      <c r="L13" s="129" t="s">
        <v>243</v>
      </c>
      <c r="N13" s="129">
        <v>8700000</v>
      </c>
      <c r="O13" s="130">
        <v>95</v>
      </c>
      <c r="P13" s="130">
        <v>5</v>
      </c>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f t="shared" si="0"/>
        <v>94.392800160505971</v>
      </c>
      <c r="AN13" s="130">
        <f t="shared" si="1"/>
        <v>5.6071998394940241</v>
      </c>
      <c r="AO13" s="130">
        <f t="shared" si="2"/>
        <v>0</v>
      </c>
      <c r="AP13" s="130">
        <f t="shared" si="3"/>
        <v>0</v>
      </c>
      <c r="AQ13" s="130">
        <f t="shared" si="4"/>
        <v>0</v>
      </c>
      <c r="AR13" s="130">
        <f t="shared" si="5"/>
        <v>0</v>
      </c>
      <c r="AS13" s="130">
        <f t="shared" si="6"/>
        <v>0</v>
      </c>
      <c r="AT13" s="130">
        <f t="shared" si="7"/>
        <v>0</v>
      </c>
      <c r="AU13" s="130">
        <f t="shared" si="8"/>
        <v>0</v>
      </c>
      <c r="AV13" s="130">
        <f t="shared" si="9"/>
        <v>0</v>
      </c>
      <c r="AW13" s="130">
        <f t="shared" si="10"/>
        <v>0</v>
      </c>
      <c r="AX13" s="130">
        <f t="shared" si="11"/>
        <v>0</v>
      </c>
      <c r="AY13" s="130">
        <f t="shared" si="12"/>
        <v>0</v>
      </c>
      <c r="AZ13" s="130">
        <f t="shared" si="13"/>
        <v>0</v>
      </c>
      <c r="BA13" s="130">
        <f t="shared" si="14"/>
        <v>0</v>
      </c>
      <c r="BB13" s="130">
        <f t="shared" si="15"/>
        <v>0</v>
      </c>
      <c r="BC13" s="130">
        <f t="shared" si="16"/>
        <v>0</v>
      </c>
      <c r="BD13" s="130">
        <f t="shared" si="17"/>
        <v>0</v>
      </c>
      <c r="BE13" s="130">
        <f t="shared" si="18"/>
        <v>0</v>
      </c>
      <c r="BF13" s="130">
        <f t="shared" si="19"/>
        <v>0</v>
      </c>
      <c r="BG13" s="130">
        <f t="shared" si="20"/>
        <v>0</v>
      </c>
      <c r="BH13" s="130">
        <f t="shared" si="21"/>
        <v>0</v>
      </c>
      <c r="BI13" s="130">
        <f t="shared" si="22"/>
        <v>0</v>
      </c>
      <c r="BJ13" s="130">
        <f t="shared" si="23"/>
        <v>0</v>
      </c>
      <c r="BK13" s="130">
        <f t="shared" si="24"/>
        <v>-123.3178040653968</v>
      </c>
      <c r="BL13" s="130">
        <f>IF($K13=$L13,$BK13,IF(OR($K13="graphite",$K13="vitreous carbon"),$BK$406+($BM$389+$I13)*$BJ$406,IF($K13="Pyrolytic Boron Nitride","PBN",IF(COUNTIF($BH$396:$BH$416,$K13)&gt;0,VLOOKUP($K13,$BH$396:$BK$416,4,FALSE)+($BM$389+$I13)*VLOOKUP($K13,$BH$396:$BK$416,3,FALSE),IF(COUNTIF($L$2:$L12,$K13)&gt;0,VLOOKUP($K13,$L$2:$BK12,52,FALSE),"idk")))))</f>
        <v>-121.74823772574202</v>
      </c>
      <c r="BM13" s="130">
        <v>12.7</v>
      </c>
      <c r="BN13" s="130">
        <v>6.3</v>
      </c>
      <c r="BO13" s="130">
        <v>0.57999999999999996</v>
      </c>
      <c r="BP13" s="129" t="s">
        <v>228</v>
      </c>
      <c r="BQ13" s="129" t="s">
        <v>229</v>
      </c>
      <c r="BR13" s="129" t="s">
        <v>230</v>
      </c>
      <c r="BS13" s="129"/>
      <c r="BT13" s="129">
        <v>0</v>
      </c>
      <c r="BV13" s="129"/>
      <c r="BZ13" s="129"/>
      <c r="DJ13" s="129">
        <v>0</v>
      </c>
      <c r="DK13" s="129">
        <v>0</v>
      </c>
      <c r="DL13" s="129"/>
      <c r="DM13" s="129">
        <v>-5.6</v>
      </c>
      <c r="DO13" s="129">
        <v>-0.08</v>
      </c>
      <c r="DQ13" s="129">
        <v>435000</v>
      </c>
      <c r="DR13" s="129">
        <v>1</v>
      </c>
      <c r="DS13" s="129">
        <v>3</v>
      </c>
      <c r="DU13" s="129" t="s">
        <v>231</v>
      </c>
      <c r="DW13" s="129">
        <f>SUM(_2025_01_07T12_47_export3[[#This Row],[Ni_wt]:[H_wt]])</f>
        <v>100</v>
      </c>
      <c r="DY13" s="130">
        <f>SUM($AM13:BJ13)</f>
        <v>100</v>
      </c>
    </row>
    <row r="14" spans="1:129" x14ac:dyDescent="0.25">
      <c r="A14" s="238" t="s">
        <v>242</v>
      </c>
      <c r="B14" s="238">
        <v>12</v>
      </c>
      <c r="C14" s="238" t="s">
        <v>223</v>
      </c>
      <c r="D14" s="238">
        <v>2015</v>
      </c>
      <c r="E14" s="238" t="s">
        <v>224</v>
      </c>
      <c r="F14" s="238" t="s">
        <v>225</v>
      </c>
      <c r="G14" s="238" t="s">
        <v>226</v>
      </c>
      <c r="H14" s="238">
        <v>0</v>
      </c>
      <c r="I14" s="238">
        <v>700</v>
      </c>
      <c r="J14" s="238">
        <v>500</v>
      </c>
      <c r="K14" s="238" t="s">
        <v>48</v>
      </c>
      <c r="L14" s="238" t="s">
        <v>243</v>
      </c>
      <c r="M14" s="238"/>
      <c r="N14" s="238">
        <v>8700000</v>
      </c>
      <c r="O14" s="239">
        <v>95</v>
      </c>
      <c r="P14" s="239">
        <v>5</v>
      </c>
      <c r="Q14" s="239"/>
      <c r="R14" s="239"/>
      <c r="S14" s="239"/>
      <c r="T14" s="239"/>
      <c r="U14" s="239"/>
      <c r="V14" s="239"/>
      <c r="W14" s="239"/>
      <c r="X14" s="239"/>
      <c r="Y14" s="239"/>
      <c r="Z14" s="239"/>
      <c r="AA14" s="239"/>
      <c r="AB14" s="239"/>
      <c r="AC14" s="239"/>
      <c r="AD14" s="239"/>
      <c r="AE14" s="239"/>
      <c r="AF14" s="239"/>
      <c r="AG14" s="239"/>
      <c r="AH14" s="239"/>
      <c r="AI14" s="239"/>
      <c r="AJ14" s="239"/>
      <c r="AK14" s="239"/>
      <c r="AL14" s="239"/>
      <c r="AM14" s="239">
        <f t="shared" si="0"/>
        <v>94.392800160505971</v>
      </c>
      <c r="AN14" s="239">
        <f t="shared" si="1"/>
        <v>5.6071998394940241</v>
      </c>
      <c r="AO14" s="239">
        <f t="shared" si="2"/>
        <v>0</v>
      </c>
      <c r="AP14" s="239">
        <f t="shared" si="3"/>
        <v>0</v>
      </c>
      <c r="AQ14" s="239">
        <f t="shared" si="4"/>
        <v>0</v>
      </c>
      <c r="AR14" s="239">
        <f t="shared" si="5"/>
        <v>0</v>
      </c>
      <c r="AS14" s="239">
        <f t="shared" si="6"/>
        <v>0</v>
      </c>
      <c r="AT14" s="239">
        <f t="shared" si="7"/>
        <v>0</v>
      </c>
      <c r="AU14" s="239">
        <f t="shared" si="8"/>
        <v>0</v>
      </c>
      <c r="AV14" s="239">
        <f t="shared" si="9"/>
        <v>0</v>
      </c>
      <c r="AW14" s="239">
        <f t="shared" si="10"/>
        <v>0</v>
      </c>
      <c r="AX14" s="239">
        <f t="shared" si="11"/>
        <v>0</v>
      </c>
      <c r="AY14" s="239">
        <f t="shared" si="12"/>
        <v>0</v>
      </c>
      <c r="AZ14" s="239">
        <f t="shared" si="13"/>
        <v>0</v>
      </c>
      <c r="BA14" s="239">
        <f t="shared" si="14"/>
        <v>0</v>
      </c>
      <c r="BB14" s="239">
        <f t="shared" si="15"/>
        <v>0</v>
      </c>
      <c r="BC14" s="239">
        <f t="shared" si="16"/>
        <v>0</v>
      </c>
      <c r="BD14" s="239">
        <f t="shared" si="17"/>
        <v>0</v>
      </c>
      <c r="BE14" s="239">
        <f t="shared" si="18"/>
        <v>0</v>
      </c>
      <c r="BF14" s="239">
        <f t="shared" si="19"/>
        <v>0</v>
      </c>
      <c r="BG14" s="239">
        <f t="shared" si="20"/>
        <v>0</v>
      </c>
      <c r="BH14" s="239">
        <f t="shared" si="21"/>
        <v>0</v>
      </c>
      <c r="BI14" s="239">
        <f t="shared" si="22"/>
        <v>0</v>
      </c>
      <c r="BJ14" s="239">
        <f t="shared" si="23"/>
        <v>0</v>
      </c>
      <c r="BK14" s="239">
        <f t="shared" si="24"/>
        <v>-123.3178040653968</v>
      </c>
      <c r="BL14" s="239">
        <f>IF($K14=$L14,$BK14,IF(OR($K14="graphite",$K14="vitreous carbon"),$BK$406+($BM$389+$I14)*$BJ$406,IF($K14="Pyrolytic Boron Nitride","PBN",IF(COUNTIF($BH$396:$BH$416,$K14)&gt;0,VLOOKUP($K14,$BH$396:$BK$416,4,FALSE)+($BM$389+$I14)*VLOOKUP($K14,$BH$396:$BK$416,3,FALSE),IF(COUNTIF($L$2:$L13,$K14)&gt;0,VLOOKUP($K14,$L$2:$BK13,52,FALSE),"idk")))))</f>
        <v>-121.74823772574202</v>
      </c>
      <c r="BM14" s="239">
        <v>12.7</v>
      </c>
      <c r="BN14" s="239">
        <v>6.3</v>
      </c>
      <c r="BO14" s="239">
        <v>0.57999999999999996</v>
      </c>
      <c r="BP14" s="238" t="s">
        <v>228</v>
      </c>
      <c r="BQ14" s="238" t="s">
        <v>229</v>
      </c>
      <c r="BR14" s="238" t="s">
        <v>230</v>
      </c>
      <c r="BS14" s="238"/>
      <c r="BT14" s="238">
        <v>0</v>
      </c>
      <c r="BU14" s="238"/>
      <c r="BV14" s="238"/>
      <c r="BW14" s="238"/>
      <c r="BX14" s="238"/>
      <c r="BY14" s="238"/>
      <c r="BZ14" s="238"/>
      <c r="CA14" s="238"/>
      <c r="CB14" s="238"/>
      <c r="CC14" s="238"/>
      <c r="CD14" s="238"/>
      <c r="CE14" s="238"/>
      <c r="CF14" s="238"/>
      <c r="CG14" s="238"/>
      <c r="CH14" s="238"/>
      <c r="CI14" s="238"/>
      <c r="CJ14" s="238"/>
      <c r="CK14" s="238"/>
      <c r="CL14" s="238"/>
      <c r="CM14" s="238"/>
      <c r="CN14" s="238"/>
      <c r="CO14" s="238"/>
      <c r="CP14" s="238"/>
      <c r="CQ14" s="238"/>
      <c r="CR14" s="238"/>
      <c r="CS14" s="238"/>
      <c r="CT14" s="238"/>
      <c r="CU14" s="238"/>
      <c r="CV14" s="238"/>
      <c r="CW14" s="238"/>
      <c r="CX14" s="238"/>
      <c r="CY14" s="238"/>
      <c r="CZ14" s="238"/>
      <c r="DA14" s="238"/>
      <c r="DB14" s="238"/>
      <c r="DC14" s="238"/>
      <c r="DD14" s="238"/>
      <c r="DE14" s="238"/>
      <c r="DF14" s="238"/>
      <c r="DG14" s="238"/>
      <c r="DH14" s="238"/>
      <c r="DI14" s="238"/>
      <c r="DJ14" s="238">
        <v>0</v>
      </c>
      <c r="DK14" s="238">
        <v>0</v>
      </c>
      <c r="DL14" s="238"/>
      <c r="DM14" s="238">
        <v>-18</v>
      </c>
      <c r="DN14" s="238"/>
      <c r="DO14" s="238">
        <v>-0.27</v>
      </c>
      <c r="DP14" s="238"/>
      <c r="DQ14" s="238">
        <v>435000</v>
      </c>
      <c r="DR14" s="238">
        <v>2</v>
      </c>
      <c r="DS14" s="238">
        <v>3</v>
      </c>
      <c r="DT14" s="238"/>
      <c r="DU14" s="238" t="s">
        <v>231</v>
      </c>
      <c r="DW14" s="129">
        <f>SUM(_2025_01_07T12_47_export3[[#This Row],[Ni_wt]:[H_wt]])</f>
        <v>100</v>
      </c>
      <c r="DY14" s="130">
        <f>SUM($AM14:BJ14)</f>
        <v>100</v>
      </c>
    </row>
    <row r="15" spans="1:129" ht="16.5" thickBot="1" x14ac:dyDescent="0.3">
      <c r="A15" s="136" t="s">
        <v>242</v>
      </c>
      <c r="B15" s="136">
        <v>13</v>
      </c>
      <c r="C15" s="136" t="s">
        <v>223</v>
      </c>
      <c r="D15" s="136">
        <v>2015</v>
      </c>
      <c r="E15" s="136" t="s">
        <v>224</v>
      </c>
      <c r="F15" s="136" t="s">
        <v>225</v>
      </c>
      <c r="G15" s="136" t="s">
        <v>226</v>
      </c>
      <c r="H15" s="136">
        <v>0</v>
      </c>
      <c r="I15" s="136">
        <v>700</v>
      </c>
      <c r="J15" s="136">
        <v>1000</v>
      </c>
      <c r="K15" s="136" t="s">
        <v>48</v>
      </c>
      <c r="L15" s="136" t="s">
        <v>243</v>
      </c>
      <c r="M15" s="136"/>
      <c r="N15" s="136">
        <v>8700000</v>
      </c>
      <c r="O15" s="137">
        <v>95</v>
      </c>
      <c r="P15" s="137">
        <v>5</v>
      </c>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f t="shared" si="0"/>
        <v>94.392800160505971</v>
      </c>
      <c r="AN15" s="137">
        <f t="shared" si="1"/>
        <v>5.6071998394940241</v>
      </c>
      <c r="AO15" s="137">
        <f t="shared" si="2"/>
        <v>0</v>
      </c>
      <c r="AP15" s="137">
        <f t="shared" si="3"/>
        <v>0</v>
      </c>
      <c r="AQ15" s="137">
        <f t="shared" si="4"/>
        <v>0</v>
      </c>
      <c r="AR15" s="137">
        <f t="shared" si="5"/>
        <v>0</v>
      </c>
      <c r="AS15" s="137">
        <f t="shared" si="6"/>
        <v>0</v>
      </c>
      <c r="AT15" s="137">
        <f t="shared" si="7"/>
        <v>0</v>
      </c>
      <c r="AU15" s="137">
        <f t="shared" si="8"/>
        <v>0</v>
      </c>
      <c r="AV15" s="137">
        <f t="shared" si="9"/>
        <v>0</v>
      </c>
      <c r="AW15" s="137">
        <f t="shared" si="10"/>
        <v>0</v>
      </c>
      <c r="AX15" s="137">
        <f t="shared" si="11"/>
        <v>0</v>
      </c>
      <c r="AY15" s="137">
        <f t="shared" si="12"/>
        <v>0</v>
      </c>
      <c r="AZ15" s="137">
        <f t="shared" si="13"/>
        <v>0</v>
      </c>
      <c r="BA15" s="137">
        <f t="shared" si="14"/>
        <v>0</v>
      </c>
      <c r="BB15" s="137">
        <f t="shared" si="15"/>
        <v>0</v>
      </c>
      <c r="BC15" s="137">
        <f t="shared" si="16"/>
        <v>0</v>
      </c>
      <c r="BD15" s="137">
        <f t="shared" si="17"/>
        <v>0</v>
      </c>
      <c r="BE15" s="137">
        <f t="shared" si="18"/>
        <v>0</v>
      </c>
      <c r="BF15" s="137">
        <f t="shared" si="19"/>
        <v>0</v>
      </c>
      <c r="BG15" s="137">
        <f t="shared" si="20"/>
        <v>0</v>
      </c>
      <c r="BH15" s="137">
        <f t="shared" si="21"/>
        <v>0</v>
      </c>
      <c r="BI15" s="137">
        <f t="shared" si="22"/>
        <v>0</v>
      </c>
      <c r="BJ15" s="137">
        <f t="shared" si="23"/>
        <v>0</v>
      </c>
      <c r="BK15" s="137">
        <f t="shared" si="24"/>
        <v>-123.3178040653968</v>
      </c>
      <c r="BL15" s="137">
        <f>IF($K15=$L15,$BK15,IF(OR($K15="graphite",$K15="vitreous carbon"),$BK$406+($BM$389+$I15)*$BJ$406,IF($K15="Pyrolytic Boron Nitride","PBN",IF(COUNTIF($BH$396:$BH$416,$K15)&gt;0,VLOOKUP($K15,$BH$396:$BK$416,4,FALSE)+($BM$389+$I15)*VLOOKUP($K15,$BH$396:$BK$416,3,FALSE),IF(COUNTIF($L$2:$L14,$K15)&gt;0,VLOOKUP($K15,$L$2:$BK14,52,FALSE),"idk")))))</f>
        <v>-121.74823772574202</v>
      </c>
      <c r="BM15" s="137">
        <v>12.7</v>
      </c>
      <c r="BN15" s="137">
        <v>6.3</v>
      </c>
      <c r="BO15" s="137">
        <v>0.57999999999999996</v>
      </c>
      <c r="BP15" s="136" t="s">
        <v>228</v>
      </c>
      <c r="BQ15" s="136" t="s">
        <v>229</v>
      </c>
      <c r="BR15" s="136" t="s">
        <v>230</v>
      </c>
      <c r="BS15" s="136"/>
      <c r="BT15" s="136">
        <v>0</v>
      </c>
      <c r="BU15" s="136"/>
      <c r="BV15" s="136"/>
      <c r="BW15" s="136"/>
      <c r="BX15" s="136"/>
      <c r="BY15" s="136"/>
      <c r="BZ15" s="136"/>
      <c r="CA15" s="136"/>
      <c r="CB15" s="136"/>
      <c r="CC15" s="136"/>
      <c r="CD15" s="136"/>
      <c r="CE15" s="136"/>
      <c r="CF15" s="136"/>
      <c r="CG15" s="136"/>
      <c r="CH15" s="136"/>
      <c r="CI15" s="136"/>
      <c r="CJ15" s="136"/>
      <c r="CK15" s="136"/>
      <c r="CL15" s="136"/>
      <c r="CM15" s="136"/>
      <c r="CN15" s="136"/>
      <c r="CO15" s="136"/>
      <c r="CP15" s="136"/>
      <c r="CQ15" s="136"/>
      <c r="CR15" s="136"/>
      <c r="CS15" s="136"/>
      <c r="CT15" s="136"/>
      <c r="CU15" s="136"/>
      <c r="CV15" s="136"/>
      <c r="CW15" s="136"/>
      <c r="CX15" s="136"/>
      <c r="CY15" s="136"/>
      <c r="CZ15" s="136"/>
      <c r="DA15" s="136"/>
      <c r="DB15" s="136"/>
      <c r="DC15" s="136"/>
      <c r="DD15" s="136"/>
      <c r="DE15" s="136"/>
      <c r="DF15" s="136"/>
      <c r="DG15" s="136"/>
      <c r="DH15" s="136"/>
      <c r="DI15" s="136"/>
      <c r="DJ15" s="136">
        <v>0</v>
      </c>
      <c r="DK15" s="136">
        <v>0</v>
      </c>
      <c r="DL15" s="136"/>
      <c r="DM15" s="136">
        <v>-21.8</v>
      </c>
      <c r="DN15" s="136"/>
      <c r="DO15" s="136">
        <v>-0.43</v>
      </c>
      <c r="DP15" s="136"/>
      <c r="DQ15" s="136">
        <v>435000</v>
      </c>
      <c r="DR15" s="136">
        <v>3</v>
      </c>
      <c r="DS15" s="136">
        <v>3</v>
      </c>
      <c r="DT15" s="136"/>
      <c r="DU15" s="136" t="s">
        <v>231</v>
      </c>
      <c r="DW15" s="129">
        <f>SUM(_2025_01_07T12_47_export3[[#This Row],[Ni_wt]:[H_wt]])</f>
        <v>100</v>
      </c>
      <c r="DY15" s="130">
        <f>SUM($AM15:BJ15)</f>
        <v>100</v>
      </c>
    </row>
    <row r="16" spans="1:129" x14ac:dyDescent="0.25">
      <c r="A16" s="129" t="s">
        <v>252</v>
      </c>
      <c r="B16" s="129">
        <v>24</v>
      </c>
      <c r="C16" s="129" t="s">
        <v>229</v>
      </c>
      <c r="D16" s="129">
        <v>2023</v>
      </c>
      <c r="E16" s="129" t="s">
        <v>253</v>
      </c>
      <c r="F16" s="129" t="s">
        <v>254</v>
      </c>
      <c r="G16" s="129" t="s">
        <v>226</v>
      </c>
      <c r="H16" s="129">
        <v>0</v>
      </c>
      <c r="I16" s="129">
        <v>550</v>
      </c>
      <c r="J16" s="129">
        <v>500</v>
      </c>
      <c r="K16" s="129" t="s">
        <v>55</v>
      </c>
      <c r="L16" s="129" t="s">
        <v>50</v>
      </c>
      <c r="N16" s="129">
        <v>8960000</v>
      </c>
      <c r="O16" s="130"/>
      <c r="P16" s="130">
        <v>100</v>
      </c>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f t="shared" si="0"/>
        <v>0</v>
      </c>
      <c r="AN16" s="130">
        <f t="shared" si="1"/>
        <v>100</v>
      </c>
      <c r="AO16" s="130">
        <f t="shared" si="2"/>
        <v>0</v>
      </c>
      <c r="AP16" s="130">
        <f t="shared" si="3"/>
        <v>0</v>
      </c>
      <c r="AQ16" s="130">
        <f t="shared" si="4"/>
        <v>0</v>
      </c>
      <c r="AR16" s="130">
        <f t="shared" si="5"/>
        <v>0</v>
      </c>
      <c r="AS16" s="130">
        <f t="shared" si="6"/>
        <v>0</v>
      </c>
      <c r="AT16" s="130">
        <f t="shared" si="7"/>
        <v>0</v>
      </c>
      <c r="AU16" s="130">
        <f t="shared" si="8"/>
        <v>0</v>
      </c>
      <c r="AV16" s="130">
        <f t="shared" si="9"/>
        <v>0</v>
      </c>
      <c r="AW16" s="130">
        <f t="shared" si="10"/>
        <v>0</v>
      </c>
      <c r="AX16" s="130">
        <f t="shared" si="11"/>
        <v>0</v>
      </c>
      <c r="AY16" s="130">
        <f t="shared" si="12"/>
        <v>0</v>
      </c>
      <c r="AZ16" s="130">
        <f t="shared" si="13"/>
        <v>0</v>
      </c>
      <c r="BA16" s="130">
        <f t="shared" si="14"/>
        <v>0</v>
      </c>
      <c r="BB16" s="130">
        <f t="shared" si="15"/>
        <v>0</v>
      </c>
      <c r="BC16" s="130">
        <f t="shared" si="16"/>
        <v>0</v>
      </c>
      <c r="BD16" s="130">
        <f t="shared" si="17"/>
        <v>0</v>
      </c>
      <c r="BE16" s="130">
        <f t="shared" si="18"/>
        <v>0</v>
      </c>
      <c r="BF16" s="130">
        <f t="shared" si="19"/>
        <v>0</v>
      </c>
      <c r="BG16" s="130">
        <f t="shared" si="20"/>
        <v>0</v>
      </c>
      <c r="BH16" s="130">
        <f t="shared" si="21"/>
        <v>0</v>
      </c>
      <c r="BI16" s="130">
        <f t="shared" si="22"/>
        <v>0</v>
      </c>
      <c r="BJ16" s="130">
        <f t="shared" si="23"/>
        <v>0</v>
      </c>
      <c r="BK16" s="130">
        <f t="shared" si="24"/>
        <v>-154.88567716533856</v>
      </c>
      <c r="BL16" s="130">
        <f>IF($K16=$L16,$BK16,IF(OR($K16="graphite",$K16="vitreous carbon"),$BK$406+($BM$389+$I16)*$BJ$406,IF($K16="Pyrolytic Boron Nitride","PBN",IF(COUNTIF($BH$396:$BH$416,$K16)&gt;0,VLOOKUP($K16,$BH$396:$BK$416,4,FALSE)+($BM$389+$I16)*VLOOKUP($K16,$BH$396:$BK$416,3,FALSE),IF(COUNTIF($L$2:$L15,$K16)&gt;0,VLOOKUP($K16,$L$2:$BK15,52,FALSE),"idk")))))</f>
        <v>-117.90049202390642</v>
      </c>
      <c r="BM16" s="130">
        <v>20</v>
      </c>
      <c r="BN16" s="130">
        <v>10</v>
      </c>
      <c r="BO16" s="130">
        <v>1.5</v>
      </c>
      <c r="BP16" s="129" t="s">
        <v>245</v>
      </c>
      <c r="BQ16" s="129"/>
      <c r="BR16" s="129" t="s">
        <v>230</v>
      </c>
      <c r="BS16" s="129"/>
      <c r="BT16" s="129">
        <v>0</v>
      </c>
      <c r="BU16" s="129">
        <v>16</v>
      </c>
      <c r="BV16" s="129"/>
      <c r="BZ16" s="129">
        <v>6</v>
      </c>
      <c r="CA16" s="129">
        <v>7</v>
      </c>
      <c r="CE16" s="129">
        <v>1</v>
      </c>
      <c r="CH16" s="129">
        <v>314</v>
      </c>
      <c r="CM16" s="234">
        <v>590</v>
      </c>
      <c r="DJ16" s="129">
        <v>0</v>
      </c>
      <c r="DK16" s="129">
        <v>0</v>
      </c>
      <c r="DL16" s="129"/>
      <c r="DO16" s="129">
        <v>-2.64</v>
      </c>
      <c r="DQ16" s="129">
        <v>7139286</v>
      </c>
      <c r="DS16" s="129">
        <v>1</v>
      </c>
      <c r="DT16" s="135" t="s">
        <v>255</v>
      </c>
      <c r="DU16" s="129"/>
      <c r="DW16" s="129">
        <f>SUM(_2025_01_07T12_47_export3[[#This Row],[Ni_wt]:[H_wt]])</f>
        <v>100</v>
      </c>
      <c r="DY16" s="130">
        <f>SUM($AM16:BJ16)</f>
        <v>100</v>
      </c>
    </row>
    <row r="17" spans="1:129" x14ac:dyDescent="0.25">
      <c r="A17" s="129" t="s">
        <v>252</v>
      </c>
      <c r="B17" s="129">
        <v>25</v>
      </c>
      <c r="C17" s="129" t="s">
        <v>229</v>
      </c>
      <c r="D17" s="129">
        <v>2023</v>
      </c>
      <c r="E17" s="129" t="s">
        <v>253</v>
      </c>
      <c r="F17" s="129" t="s">
        <v>254</v>
      </c>
      <c r="G17" s="129" t="s">
        <v>226</v>
      </c>
      <c r="H17" s="129">
        <v>0</v>
      </c>
      <c r="I17" s="129">
        <v>550</v>
      </c>
      <c r="J17" s="129">
        <v>1000</v>
      </c>
      <c r="K17" s="129" t="s">
        <v>55</v>
      </c>
      <c r="L17" s="129" t="s">
        <v>50</v>
      </c>
      <c r="N17" s="129">
        <v>8960000</v>
      </c>
      <c r="O17" s="130"/>
      <c r="P17" s="130">
        <v>100</v>
      </c>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f t="shared" si="0"/>
        <v>0</v>
      </c>
      <c r="AN17" s="130">
        <f t="shared" si="1"/>
        <v>100</v>
      </c>
      <c r="AO17" s="130">
        <f t="shared" si="2"/>
        <v>0</v>
      </c>
      <c r="AP17" s="130">
        <f t="shared" si="3"/>
        <v>0</v>
      </c>
      <c r="AQ17" s="130">
        <f t="shared" si="4"/>
        <v>0</v>
      </c>
      <c r="AR17" s="130">
        <f t="shared" si="5"/>
        <v>0</v>
      </c>
      <c r="AS17" s="130">
        <f t="shared" si="6"/>
        <v>0</v>
      </c>
      <c r="AT17" s="130">
        <f t="shared" si="7"/>
        <v>0</v>
      </c>
      <c r="AU17" s="130">
        <f t="shared" si="8"/>
        <v>0</v>
      </c>
      <c r="AV17" s="130">
        <f t="shared" si="9"/>
        <v>0</v>
      </c>
      <c r="AW17" s="130">
        <f t="shared" si="10"/>
        <v>0</v>
      </c>
      <c r="AX17" s="130">
        <f t="shared" si="11"/>
        <v>0</v>
      </c>
      <c r="AY17" s="130">
        <f t="shared" si="12"/>
        <v>0</v>
      </c>
      <c r="AZ17" s="130">
        <f t="shared" si="13"/>
        <v>0</v>
      </c>
      <c r="BA17" s="130">
        <f t="shared" si="14"/>
        <v>0</v>
      </c>
      <c r="BB17" s="130">
        <f t="shared" si="15"/>
        <v>0</v>
      </c>
      <c r="BC17" s="130">
        <f t="shared" si="16"/>
        <v>0</v>
      </c>
      <c r="BD17" s="130">
        <f t="shared" si="17"/>
        <v>0</v>
      </c>
      <c r="BE17" s="130">
        <f t="shared" si="18"/>
        <v>0</v>
      </c>
      <c r="BF17" s="130">
        <f t="shared" si="19"/>
        <v>0</v>
      </c>
      <c r="BG17" s="130">
        <f t="shared" si="20"/>
        <v>0</v>
      </c>
      <c r="BH17" s="130">
        <f t="shared" si="21"/>
        <v>0</v>
      </c>
      <c r="BI17" s="130">
        <f t="shared" si="22"/>
        <v>0</v>
      </c>
      <c r="BJ17" s="130">
        <f t="shared" si="23"/>
        <v>0</v>
      </c>
      <c r="BK17" s="130">
        <f t="shared" si="24"/>
        <v>-154.88567716533856</v>
      </c>
      <c r="BL17" s="130">
        <f>IF($K17=$L17,$BK17,IF(OR($K17="graphite",$K17="vitreous carbon"),$BK$406+($BM$389+$I17)*$BJ$406,IF($K17="Pyrolytic Boron Nitride","PBN",IF(COUNTIF($BH$396:$BH$416,$K17)&gt;0,VLOOKUP($K17,$BH$396:$BK$416,4,FALSE)+($BM$389+$I17)*VLOOKUP($K17,$BH$396:$BK$416,3,FALSE),IF(COUNTIF($L$2:$L16,$K17)&gt;0,VLOOKUP($K17,$L$2:$BK16,52,FALSE),"idk")))))</f>
        <v>-117.90049202390642</v>
      </c>
      <c r="BM17" s="130">
        <v>20</v>
      </c>
      <c r="BN17" s="130">
        <v>10</v>
      </c>
      <c r="BO17" s="130">
        <v>1.5</v>
      </c>
      <c r="BP17" s="129" t="s">
        <v>245</v>
      </c>
      <c r="BQ17" s="129"/>
      <c r="BR17" s="129" t="s">
        <v>230</v>
      </c>
      <c r="BS17" s="129"/>
      <c r="BT17" s="129">
        <v>0</v>
      </c>
      <c r="BU17" s="129">
        <v>16</v>
      </c>
      <c r="BV17" s="129"/>
      <c r="BZ17" s="129">
        <v>6</v>
      </c>
      <c r="CA17" s="129">
        <v>7</v>
      </c>
      <c r="CE17" s="129">
        <v>1</v>
      </c>
      <c r="CH17" s="129">
        <v>314</v>
      </c>
      <c r="CM17" s="234">
        <v>590</v>
      </c>
      <c r="DJ17" s="129">
        <v>0</v>
      </c>
      <c r="DK17" s="129">
        <v>0</v>
      </c>
      <c r="DL17" s="129"/>
      <c r="DO17" s="129">
        <v>-3.31</v>
      </c>
      <c r="DQ17" s="129">
        <v>7139286</v>
      </c>
      <c r="DS17" s="129">
        <v>1</v>
      </c>
      <c r="DT17" s="132" t="s">
        <v>256</v>
      </c>
      <c r="DU17" s="129"/>
      <c r="DW17" s="129">
        <f>SUM(_2025_01_07T12_47_export3[[#This Row],[Ni_wt]:[H_wt]])</f>
        <v>100</v>
      </c>
      <c r="DY17" s="130">
        <f>SUM($AM17:BJ17)</f>
        <v>100</v>
      </c>
    </row>
    <row r="18" spans="1:129" x14ac:dyDescent="0.25">
      <c r="A18" s="129" t="s">
        <v>252</v>
      </c>
      <c r="B18" s="129">
        <v>26</v>
      </c>
      <c r="C18" s="129" t="s">
        <v>229</v>
      </c>
      <c r="D18" s="129">
        <v>2023</v>
      </c>
      <c r="E18" s="129" t="s">
        <v>253</v>
      </c>
      <c r="F18" s="129" t="s">
        <v>254</v>
      </c>
      <c r="G18" s="129" t="s">
        <v>226</v>
      </c>
      <c r="H18" s="129">
        <v>0</v>
      </c>
      <c r="I18" s="129">
        <v>550</v>
      </c>
      <c r="J18" s="129">
        <v>2000</v>
      </c>
      <c r="K18" s="129" t="s">
        <v>55</v>
      </c>
      <c r="L18" s="129" t="s">
        <v>50</v>
      </c>
      <c r="N18" s="129">
        <v>8960000</v>
      </c>
      <c r="O18" s="130"/>
      <c r="P18" s="130">
        <v>100</v>
      </c>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f t="shared" si="0"/>
        <v>0</v>
      </c>
      <c r="AN18" s="130">
        <f t="shared" si="1"/>
        <v>100</v>
      </c>
      <c r="AO18" s="130">
        <f t="shared" si="2"/>
        <v>0</v>
      </c>
      <c r="AP18" s="130">
        <f t="shared" si="3"/>
        <v>0</v>
      </c>
      <c r="AQ18" s="130">
        <f t="shared" si="4"/>
        <v>0</v>
      </c>
      <c r="AR18" s="130">
        <f t="shared" si="5"/>
        <v>0</v>
      </c>
      <c r="AS18" s="130">
        <f t="shared" si="6"/>
        <v>0</v>
      </c>
      <c r="AT18" s="130">
        <f t="shared" si="7"/>
        <v>0</v>
      </c>
      <c r="AU18" s="130">
        <f t="shared" si="8"/>
        <v>0</v>
      </c>
      <c r="AV18" s="130">
        <f t="shared" si="9"/>
        <v>0</v>
      </c>
      <c r="AW18" s="130">
        <f t="shared" si="10"/>
        <v>0</v>
      </c>
      <c r="AX18" s="130">
        <f t="shared" si="11"/>
        <v>0</v>
      </c>
      <c r="AY18" s="130">
        <f t="shared" si="12"/>
        <v>0</v>
      </c>
      <c r="AZ18" s="130">
        <f t="shared" si="13"/>
        <v>0</v>
      </c>
      <c r="BA18" s="130">
        <f t="shared" si="14"/>
        <v>0</v>
      </c>
      <c r="BB18" s="130">
        <f t="shared" si="15"/>
        <v>0</v>
      </c>
      <c r="BC18" s="130">
        <f t="shared" si="16"/>
        <v>0</v>
      </c>
      <c r="BD18" s="130">
        <f t="shared" si="17"/>
        <v>0</v>
      </c>
      <c r="BE18" s="130">
        <f t="shared" si="18"/>
        <v>0</v>
      </c>
      <c r="BF18" s="130">
        <f t="shared" si="19"/>
        <v>0</v>
      </c>
      <c r="BG18" s="130">
        <f t="shared" si="20"/>
        <v>0</v>
      </c>
      <c r="BH18" s="130">
        <f t="shared" si="21"/>
        <v>0</v>
      </c>
      <c r="BI18" s="130">
        <f t="shared" si="22"/>
        <v>0</v>
      </c>
      <c r="BJ18" s="130">
        <f t="shared" si="23"/>
        <v>0</v>
      </c>
      <c r="BK18" s="130">
        <f t="shared" si="24"/>
        <v>-154.88567716533856</v>
      </c>
      <c r="BL18" s="130">
        <f>IF($K18=$L18,$BK18,IF(OR($K18="graphite",$K18="vitreous carbon"),$BK$406+($BM$389+$I18)*$BJ$406,IF($K18="Pyrolytic Boron Nitride","PBN",IF(COUNTIF($BH$396:$BH$416,$K18)&gt;0,VLOOKUP($K18,$BH$396:$BK$416,4,FALSE)+($BM$389+$I18)*VLOOKUP($K18,$BH$396:$BK$416,3,FALSE),IF(COUNTIF($L$2:$L17,$K18)&gt;0,VLOOKUP($K18,$L$2:$BK17,52,FALSE),"idk")))))</f>
        <v>-117.90049202390642</v>
      </c>
      <c r="BM18" s="130">
        <v>20</v>
      </c>
      <c r="BN18" s="130">
        <v>10</v>
      </c>
      <c r="BO18" s="130">
        <v>1.5</v>
      </c>
      <c r="BP18" s="129" t="s">
        <v>245</v>
      </c>
      <c r="BQ18" s="129"/>
      <c r="BR18" s="129" t="s">
        <v>230</v>
      </c>
      <c r="BS18" s="129"/>
      <c r="BT18" s="129">
        <v>0</v>
      </c>
      <c r="BU18" s="129">
        <v>16</v>
      </c>
      <c r="BV18" s="129"/>
      <c r="BZ18" s="129">
        <v>6</v>
      </c>
      <c r="CA18" s="129">
        <v>7</v>
      </c>
      <c r="CE18" s="129">
        <v>1</v>
      </c>
      <c r="CH18" s="129">
        <v>314</v>
      </c>
      <c r="CM18" s="234">
        <v>590</v>
      </c>
      <c r="DJ18" s="129">
        <v>0</v>
      </c>
      <c r="DK18" s="129">
        <v>0</v>
      </c>
      <c r="DL18" s="129"/>
      <c r="DO18" s="129">
        <v>-2.94</v>
      </c>
      <c r="DQ18" s="129">
        <v>7139286</v>
      </c>
      <c r="DS18" s="129">
        <v>1</v>
      </c>
      <c r="DT18" s="132" t="s">
        <v>257</v>
      </c>
      <c r="DU18" s="129"/>
      <c r="DW18" s="129">
        <f>SUM(_2025_01_07T12_47_export3[[#This Row],[Ni_wt]:[H_wt]])</f>
        <v>100</v>
      </c>
      <c r="DY18" s="130">
        <f>SUM($AM18:BJ18)</f>
        <v>100</v>
      </c>
    </row>
    <row r="19" spans="1:129" x14ac:dyDescent="0.25">
      <c r="A19" s="129" t="s">
        <v>252</v>
      </c>
      <c r="B19" s="129">
        <v>27</v>
      </c>
      <c r="C19" s="129" t="s">
        <v>229</v>
      </c>
      <c r="D19" s="129">
        <v>2023</v>
      </c>
      <c r="E19" s="129" t="s">
        <v>253</v>
      </c>
      <c r="F19" s="129" t="s">
        <v>254</v>
      </c>
      <c r="G19" s="129" t="s">
        <v>226</v>
      </c>
      <c r="H19" s="129">
        <v>0</v>
      </c>
      <c r="I19" s="129">
        <v>650</v>
      </c>
      <c r="J19" s="129">
        <v>500</v>
      </c>
      <c r="K19" s="129" t="s">
        <v>55</v>
      </c>
      <c r="L19" s="129" t="s">
        <v>50</v>
      </c>
      <c r="N19" s="129">
        <v>8960000</v>
      </c>
      <c r="O19" s="130"/>
      <c r="P19" s="130">
        <v>100</v>
      </c>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f t="shared" si="0"/>
        <v>0</v>
      </c>
      <c r="AN19" s="130">
        <f t="shared" si="1"/>
        <v>100</v>
      </c>
      <c r="AO19" s="130">
        <f t="shared" si="2"/>
        <v>0</v>
      </c>
      <c r="AP19" s="130">
        <f t="shared" si="3"/>
        <v>0</v>
      </c>
      <c r="AQ19" s="130">
        <f t="shared" si="4"/>
        <v>0</v>
      </c>
      <c r="AR19" s="130">
        <f t="shared" si="5"/>
        <v>0</v>
      </c>
      <c r="AS19" s="130">
        <f t="shared" si="6"/>
        <v>0</v>
      </c>
      <c r="AT19" s="130">
        <f t="shared" si="7"/>
        <v>0</v>
      </c>
      <c r="AU19" s="130">
        <f t="shared" si="8"/>
        <v>0</v>
      </c>
      <c r="AV19" s="130">
        <f t="shared" si="9"/>
        <v>0</v>
      </c>
      <c r="AW19" s="130">
        <f t="shared" si="10"/>
        <v>0</v>
      </c>
      <c r="AX19" s="130">
        <f t="shared" si="11"/>
        <v>0</v>
      </c>
      <c r="AY19" s="130">
        <f t="shared" si="12"/>
        <v>0</v>
      </c>
      <c r="AZ19" s="130">
        <f t="shared" si="13"/>
        <v>0</v>
      </c>
      <c r="BA19" s="130">
        <f t="shared" si="14"/>
        <v>0</v>
      </c>
      <c r="BB19" s="130">
        <f t="shared" si="15"/>
        <v>0</v>
      </c>
      <c r="BC19" s="130">
        <f t="shared" si="16"/>
        <v>0</v>
      </c>
      <c r="BD19" s="130">
        <f t="shared" si="17"/>
        <v>0</v>
      </c>
      <c r="BE19" s="130">
        <f t="shared" si="18"/>
        <v>0</v>
      </c>
      <c r="BF19" s="130">
        <f t="shared" si="19"/>
        <v>0</v>
      </c>
      <c r="BG19" s="130">
        <f t="shared" si="20"/>
        <v>0</v>
      </c>
      <c r="BH19" s="130">
        <f t="shared" si="21"/>
        <v>0</v>
      </c>
      <c r="BI19" s="130">
        <f t="shared" si="22"/>
        <v>0</v>
      </c>
      <c r="BJ19" s="130">
        <f t="shared" si="23"/>
        <v>0</v>
      </c>
      <c r="BK19" s="130">
        <f t="shared" si="24"/>
        <v>-151.45537184749173</v>
      </c>
      <c r="BL19" s="130">
        <f>IF($K19=$L19,$BK19,IF(OR($K19="graphite",$K19="vitreous carbon"),$BK$406+($BM$389+$I19)*$BJ$406,IF($K19="Pyrolytic Boron Nitride","PBN",IF(COUNTIF($BH$396:$BH$416,$K19)&gt;0,VLOOKUP($K19,$BH$396:$BK$416,4,FALSE)+($BM$389+$I19)*VLOOKUP($K19,$BH$396:$BK$416,3,FALSE),IF(COUNTIF($L$2:$L18,$K19)&gt;0,VLOOKUP($K19,$L$2:$BK18,52,FALSE),"idk")))))</f>
        <v>-115.93813288350846</v>
      </c>
      <c r="BM19" s="130">
        <v>20</v>
      </c>
      <c r="BN19" s="130">
        <v>10</v>
      </c>
      <c r="BO19" s="130">
        <v>1.5</v>
      </c>
      <c r="BP19" s="129" t="s">
        <v>245</v>
      </c>
      <c r="BQ19" s="129"/>
      <c r="BR19" s="129" t="s">
        <v>230</v>
      </c>
      <c r="BS19" s="129"/>
      <c r="BT19" s="129">
        <v>0</v>
      </c>
      <c r="BU19" s="129">
        <v>16</v>
      </c>
      <c r="BV19" s="129"/>
      <c r="BZ19" s="129">
        <v>6</v>
      </c>
      <c r="CA19" s="129">
        <v>7</v>
      </c>
      <c r="CE19" s="129">
        <v>1</v>
      </c>
      <c r="CH19" s="129">
        <v>314</v>
      </c>
      <c r="CM19" s="234">
        <v>590</v>
      </c>
      <c r="DJ19" s="129">
        <v>0</v>
      </c>
      <c r="DK19" s="129">
        <v>0</v>
      </c>
      <c r="DL19" s="129"/>
      <c r="DO19" s="129">
        <v>-1.96</v>
      </c>
      <c r="DQ19" s="129">
        <v>7139286</v>
      </c>
      <c r="DS19" s="129">
        <v>1</v>
      </c>
      <c r="DU19" s="129"/>
      <c r="DW19" s="129">
        <f>SUM(_2025_01_07T12_47_export3[[#This Row],[Ni_wt]:[H_wt]])</f>
        <v>100</v>
      </c>
      <c r="DY19" s="130">
        <f>SUM($AM19:BJ19)</f>
        <v>100</v>
      </c>
    </row>
    <row r="20" spans="1:129" x14ac:dyDescent="0.25">
      <c r="A20" s="129" t="s">
        <v>252</v>
      </c>
      <c r="B20" s="129">
        <v>28</v>
      </c>
      <c r="C20" s="129" t="s">
        <v>229</v>
      </c>
      <c r="D20" s="129">
        <v>2023</v>
      </c>
      <c r="E20" s="129" t="s">
        <v>253</v>
      </c>
      <c r="F20" s="129" t="s">
        <v>254</v>
      </c>
      <c r="G20" s="129" t="s">
        <v>226</v>
      </c>
      <c r="H20" s="129">
        <v>0</v>
      </c>
      <c r="I20" s="129">
        <v>650</v>
      </c>
      <c r="J20" s="129">
        <v>1000</v>
      </c>
      <c r="K20" s="129" t="s">
        <v>55</v>
      </c>
      <c r="L20" s="129" t="s">
        <v>50</v>
      </c>
      <c r="N20" s="129">
        <v>8960000</v>
      </c>
      <c r="O20" s="130"/>
      <c r="P20" s="130">
        <v>100</v>
      </c>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f t="shared" si="0"/>
        <v>0</v>
      </c>
      <c r="AN20" s="130">
        <f t="shared" si="1"/>
        <v>100</v>
      </c>
      <c r="AO20" s="130">
        <f t="shared" si="2"/>
        <v>0</v>
      </c>
      <c r="AP20" s="130">
        <f t="shared" si="3"/>
        <v>0</v>
      </c>
      <c r="AQ20" s="130">
        <f t="shared" si="4"/>
        <v>0</v>
      </c>
      <c r="AR20" s="130">
        <f t="shared" si="5"/>
        <v>0</v>
      </c>
      <c r="AS20" s="130">
        <f t="shared" si="6"/>
        <v>0</v>
      </c>
      <c r="AT20" s="130">
        <f t="shared" si="7"/>
        <v>0</v>
      </c>
      <c r="AU20" s="130">
        <f t="shared" si="8"/>
        <v>0</v>
      </c>
      <c r="AV20" s="130">
        <f t="shared" si="9"/>
        <v>0</v>
      </c>
      <c r="AW20" s="130">
        <f t="shared" si="10"/>
        <v>0</v>
      </c>
      <c r="AX20" s="130">
        <f t="shared" si="11"/>
        <v>0</v>
      </c>
      <c r="AY20" s="130">
        <f t="shared" si="12"/>
        <v>0</v>
      </c>
      <c r="AZ20" s="130">
        <f t="shared" si="13"/>
        <v>0</v>
      </c>
      <c r="BA20" s="130">
        <f t="shared" si="14"/>
        <v>0</v>
      </c>
      <c r="BB20" s="130">
        <f t="shared" si="15"/>
        <v>0</v>
      </c>
      <c r="BC20" s="130">
        <f t="shared" si="16"/>
        <v>0</v>
      </c>
      <c r="BD20" s="130">
        <f t="shared" si="17"/>
        <v>0</v>
      </c>
      <c r="BE20" s="130">
        <f t="shared" si="18"/>
        <v>0</v>
      </c>
      <c r="BF20" s="130">
        <f t="shared" si="19"/>
        <v>0</v>
      </c>
      <c r="BG20" s="130">
        <f t="shared" si="20"/>
        <v>0</v>
      </c>
      <c r="BH20" s="130">
        <f t="shared" si="21"/>
        <v>0</v>
      </c>
      <c r="BI20" s="130">
        <f t="shared" si="22"/>
        <v>0</v>
      </c>
      <c r="BJ20" s="130">
        <f t="shared" si="23"/>
        <v>0</v>
      </c>
      <c r="BK20" s="130">
        <f t="shared" si="24"/>
        <v>-151.45537184749173</v>
      </c>
      <c r="BL20" s="130">
        <f>IF($K20=$L20,$BK20,IF(OR($K20="graphite",$K20="vitreous carbon"),$BK$406+($BM$389+$I20)*$BJ$406,IF($K20="Pyrolytic Boron Nitride","PBN",IF(COUNTIF($BH$396:$BH$416,$K20)&gt;0,VLOOKUP($K20,$BH$396:$BK$416,4,FALSE)+($BM$389+$I20)*VLOOKUP($K20,$BH$396:$BK$416,3,FALSE),IF(COUNTIF($L$2:$L19,$K20)&gt;0,VLOOKUP($K20,$L$2:$BK19,52,FALSE),"idk")))))</f>
        <v>-115.93813288350846</v>
      </c>
      <c r="BM20" s="130">
        <v>20</v>
      </c>
      <c r="BN20" s="130">
        <v>10</v>
      </c>
      <c r="BO20" s="130">
        <v>1.5</v>
      </c>
      <c r="BP20" s="129" t="s">
        <v>245</v>
      </c>
      <c r="BQ20" s="129"/>
      <c r="BR20" s="129" t="s">
        <v>230</v>
      </c>
      <c r="BS20" s="129"/>
      <c r="BT20" s="129">
        <v>0</v>
      </c>
      <c r="BU20" s="129">
        <v>16</v>
      </c>
      <c r="BV20" s="129"/>
      <c r="BZ20" s="129">
        <v>6</v>
      </c>
      <c r="CA20" s="129">
        <v>7</v>
      </c>
      <c r="CE20" s="129">
        <v>1</v>
      </c>
      <c r="CH20" s="129">
        <v>314</v>
      </c>
      <c r="CM20" s="234">
        <v>590</v>
      </c>
      <c r="DJ20" s="129">
        <v>0</v>
      </c>
      <c r="DK20" s="129">
        <v>0</v>
      </c>
      <c r="DL20" s="129"/>
      <c r="DO20" s="129">
        <v>-1.97</v>
      </c>
      <c r="DQ20" s="129">
        <v>7139286</v>
      </c>
      <c r="DS20" s="129">
        <v>1</v>
      </c>
      <c r="DU20" s="129"/>
      <c r="DW20" s="129">
        <f>SUM(_2025_01_07T12_47_export3[[#This Row],[Ni_wt]:[H_wt]])</f>
        <v>100</v>
      </c>
      <c r="DY20" s="130">
        <f>SUM($AM20:BJ20)</f>
        <v>100</v>
      </c>
    </row>
    <row r="21" spans="1:129" x14ac:dyDescent="0.25">
      <c r="A21" s="129" t="s">
        <v>252</v>
      </c>
      <c r="B21" s="129">
        <v>29</v>
      </c>
      <c r="C21" s="129" t="s">
        <v>229</v>
      </c>
      <c r="D21" s="129">
        <v>2023</v>
      </c>
      <c r="E21" s="129" t="s">
        <v>253</v>
      </c>
      <c r="F21" s="129" t="s">
        <v>254</v>
      </c>
      <c r="G21" s="129" t="s">
        <v>226</v>
      </c>
      <c r="H21" s="129">
        <v>0</v>
      </c>
      <c r="I21" s="129">
        <v>650</v>
      </c>
      <c r="J21" s="129">
        <v>2000</v>
      </c>
      <c r="K21" s="129" t="s">
        <v>55</v>
      </c>
      <c r="L21" s="129" t="s">
        <v>50</v>
      </c>
      <c r="N21" s="129">
        <v>8960000</v>
      </c>
      <c r="O21" s="130"/>
      <c r="P21" s="130">
        <v>100</v>
      </c>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f t="shared" si="0"/>
        <v>0</v>
      </c>
      <c r="AN21" s="130">
        <f t="shared" si="1"/>
        <v>100</v>
      </c>
      <c r="AO21" s="130">
        <f t="shared" si="2"/>
        <v>0</v>
      </c>
      <c r="AP21" s="130">
        <f t="shared" si="3"/>
        <v>0</v>
      </c>
      <c r="AQ21" s="130">
        <f t="shared" si="4"/>
        <v>0</v>
      </c>
      <c r="AR21" s="130">
        <f t="shared" si="5"/>
        <v>0</v>
      </c>
      <c r="AS21" s="130">
        <f t="shared" si="6"/>
        <v>0</v>
      </c>
      <c r="AT21" s="130">
        <f t="shared" si="7"/>
        <v>0</v>
      </c>
      <c r="AU21" s="130">
        <f t="shared" si="8"/>
        <v>0</v>
      </c>
      <c r="AV21" s="130">
        <f t="shared" si="9"/>
        <v>0</v>
      </c>
      <c r="AW21" s="130">
        <f t="shared" si="10"/>
        <v>0</v>
      </c>
      <c r="AX21" s="130">
        <f t="shared" si="11"/>
        <v>0</v>
      </c>
      <c r="AY21" s="130">
        <f t="shared" si="12"/>
        <v>0</v>
      </c>
      <c r="AZ21" s="130">
        <f t="shared" si="13"/>
        <v>0</v>
      </c>
      <c r="BA21" s="130">
        <f t="shared" si="14"/>
        <v>0</v>
      </c>
      <c r="BB21" s="130">
        <f t="shared" si="15"/>
        <v>0</v>
      </c>
      <c r="BC21" s="130">
        <f t="shared" si="16"/>
        <v>0</v>
      </c>
      <c r="BD21" s="130">
        <f t="shared" si="17"/>
        <v>0</v>
      </c>
      <c r="BE21" s="130">
        <f t="shared" si="18"/>
        <v>0</v>
      </c>
      <c r="BF21" s="130">
        <f t="shared" si="19"/>
        <v>0</v>
      </c>
      <c r="BG21" s="130">
        <f t="shared" si="20"/>
        <v>0</v>
      </c>
      <c r="BH21" s="130">
        <f t="shared" si="21"/>
        <v>0</v>
      </c>
      <c r="BI21" s="130">
        <f t="shared" si="22"/>
        <v>0</v>
      </c>
      <c r="BJ21" s="130">
        <f t="shared" si="23"/>
        <v>0</v>
      </c>
      <c r="BK21" s="130">
        <f t="shared" si="24"/>
        <v>-151.45537184749173</v>
      </c>
      <c r="BL21" s="130">
        <f>IF($K21=$L21,$BK21,IF(OR($K21="graphite",$K21="vitreous carbon"),$BK$406+($BM$389+$I21)*$BJ$406,IF($K21="Pyrolytic Boron Nitride","PBN",IF(COUNTIF($BH$396:$BH$416,$K21)&gt;0,VLOOKUP($K21,$BH$396:$BK$416,4,FALSE)+($BM$389+$I21)*VLOOKUP($K21,$BH$396:$BK$416,3,FALSE),IF(COUNTIF($L$2:$L20,$K21)&gt;0,VLOOKUP($K21,$L$2:$BK20,52,FALSE),"idk")))))</f>
        <v>-115.93813288350846</v>
      </c>
      <c r="BM21" s="130">
        <v>20</v>
      </c>
      <c r="BN21" s="130">
        <v>10</v>
      </c>
      <c r="BO21" s="130">
        <v>1.5</v>
      </c>
      <c r="BP21" s="129" t="s">
        <v>245</v>
      </c>
      <c r="BQ21" s="129"/>
      <c r="BR21" s="129" t="s">
        <v>230</v>
      </c>
      <c r="BS21" s="129"/>
      <c r="BT21" s="129">
        <v>0</v>
      </c>
      <c r="BU21" s="129">
        <v>16</v>
      </c>
      <c r="BV21" s="129"/>
      <c r="BZ21" s="129">
        <v>6</v>
      </c>
      <c r="CA21" s="129">
        <v>7</v>
      </c>
      <c r="CE21" s="129">
        <v>1</v>
      </c>
      <c r="CH21" s="129">
        <v>314</v>
      </c>
      <c r="CM21" s="234">
        <v>590</v>
      </c>
      <c r="DJ21" s="129">
        <v>0</v>
      </c>
      <c r="DK21" s="129">
        <v>0</v>
      </c>
      <c r="DL21" s="129"/>
      <c r="DO21" s="129">
        <v>-2.0299999999999998</v>
      </c>
      <c r="DQ21" s="129">
        <v>7139286</v>
      </c>
      <c r="DS21" s="129">
        <v>1</v>
      </c>
      <c r="DU21" s="129"/>
      <c r="DW21" s="129">
        <f>SUM(_2025_01_07T12_47_export3[[#This Row],[Ni_wt]:[H_wt]])</f>
        <v>100</v>
      </c>
      <c r="DY21" s="130">
        <f>SUM($AM21:BJ21)</f>
        <v>100</v>
      </c>
    </row>
    <row r="22" spans="1:129" x14ac:dyDescent="0.25">
      <c r="A22" s="129" t="s">
        <v>252</v>
      </c>
      <c r="B22" s="129">
        <v>30</v>
      </c>
      <c r="C22" s="129" t="s">
        <v>229</v>
      </c>
      <c r="D22" s="129">
        <v>2023</v>
      </c>
      <c r="E22" s="129" t="s">
        <v>253</v>
      </c>
      <c r="F22" s="129" t="s">
        <v>254</v>
      </c>
      <c r="G22" s="129" t="s">
        <v>226</v>
      </c>
      <c r="H22" s="129">
        <v>0</v>
      </c>
      <c r="I22" s="129">
        <v>750</v>
      </c>
      <c r="J22" s="129">
        <v>500</v>
      </c>
      <c r="K22" s="129" t="s">
        <v>55</v>
      </c>
      <c r="L22" s="129" t="s">
        <v>50</v>
      </c>
      <c r="N22" s="129">
        <v>8960000</v>
      </c>
      <c r="O22" s="130"/>
      <c r="P22" s="130">
        <v>100</v>
      </c>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f t="shared" si="0"/>
        <v>0</v>
      </c>
      <c r="AN22" s="130">
        <f t="shared" si="1"/>
        <v>100</v>
      </c>
      <c r="AO22" s="130">
        <f t="shared" si="2"/>
        <v>0</v>
      </c>
      <c r="AP22" s="130">
        <f t="shared" si="3"/>
        <v>0</v>
      </c>
      <c r="AQ22" s="130">
        <f t="shared" si="4"/>
        <v>0</v>
      </c>
      <c r="AR22" s="130">
        <f t="shared" si="5"/>
        <v>0</v>
      </c>
      <c r="AS22" s="130">
        <f t="shared" si="6"/>
        <v>0</v>
      </c>
      <c r="AT22" s="130">
        <f t="shared" si="7"/>
        <v>0</v>
      </c>
      <c r="AU22" s="130">
        <f t="shared" si="8"/>
        <v>0</v>
      </c>
      <c r="AV22" s="130">
        <f t="shared" si="9"/>
        <v>0</v>
      </c>
      <c r="AW22" s="130">
        <f t="shared" si="10"/>
        <v>0</v>
      </c>
      <c r="AX22" s="130">
        <f t="shared" si="11"/>
        <v>0</v>
      </c>
      <c r="AY22" s="130">
        <f t="shared" si="12"/>
        <v>0</v>
      </c>
      <c r="AZ22" s="130">
        <f t="shared" si="13"/>
        <v>0</v>
      </c>
      <c r="BA22" s="130">
        <f t="shared" si="14"/>
        <v>0</v>
      </c>
      <c r="BB22" s="130">
        <f t="shared" si="15"/>
        <v>0</v>
      </c>
      <c r="BC22" s="130">
        <f t="shared" si="16"/>
        <v>0</v>
      </c>
      <c r="BD22" s="130">
        <f t="shared" si="17"/>
        <v>0</v>
      </c>
      <c r="BE22" s="130">
        <f t="shared" si="18"/>
        <v>0</v>
      </c>
      <c r="BF22" s="130">
        <f t="shared" si="19"/>
        <v>0</v>
      </c>
      <c r="BG22" s="130">
        <f t="shared" si="20"/>
        <v>0</v>
      </c>
      <c r="BH22" s="130">
        <f t="shared" si="21"/>
        <v>0</v>
      </c>
      <c r="BI22" s="130">
        <f t="shared" si="22"/>
        <v>0</v>
      </c>
      <c r="BJ22" s="130">
        <f t="shared" si="23"/>
        <v>0</v>
      </c>
      <c r="BK22" s="130">
        <f t="shared" si="24"/>
        <v>-148.0250665296449</v>
      </c>
      <c r="BL22" s="130">
        <f>IF($K22=$L22,$BK22,IF(OR($K22="graphite",$K22="vitreous carbon"),$BK$406+($BM$389+$I22)*$BJ$406,IF($K22="Pyrolytic Boron Nitride","PBN",IF(COUNTIF($BH$396:$BH$416,$K22)&gt;0,VLOOKUP($K22,$BH$396:$BK$416,4,FALSE)+($BM$389+$I22)*VLOOKUP($K22,$BH$396:$BK$416,3,FALSE),IF(COUNTIF($L$2:$L21,$K22)&gt;0,VLOOKUP($K22,$L$2:$BK21,52,FALSE),"idk")))))</f>
        <v>-113.97577374311049</v>
      </c>
      <c r="BM22" s="130">
        <v>20</v>
      </c>
      <c r="BN22" s="130">
        <v>10</v>
      </c>
      <c r="BO22" s="130">
        <v>1.5</v>
      </c>
      <c r="BP22" s="129" t="s">
        <v>245</v>
      </c>
      <c r="BQ22" s="129"/>
      <c r="BR22" s="129" t="s">
        <v>230</v>
      </c>
      <c r="BS22" s="129"/>
      <c r="BT22" s="129">
        <v>0</v>
      </c>
      <c r="BU22" s="129">
        <v>16</v>
      </c>
      <c r="BV22" s="129"/>
      <c r="BZ22" s="129">
        <v>6</v>
      </c>
      <c r="CA22" s="129">
        <v>7</v>
      </c>
      <c r="CE22" s="129">
        <v>1</v>
      </c>
      <c r="CH22" s="129">
        <v>314</v>
      </c>
      <c r="CM22" s="234">
        <v>590</v>
      </c>
      <c r="DJ22" s="129">
        <v>0</v>
      </c>
      <c r="DK22" s="129">
        <v>0</v>
      </c>
      <c r="DL22" s="129"/>
      <c r="DO22" s="129">
        <v>-2.66</v>
      </c>
      <c r="DQ22" s="129">
        <v>7139286</v>
      </c>
      <c r="DS22" s="129">
        <v>1</v>
      </c>
      <c r="DU22" s="129"/>
      <c r="DW22" s="129">
        <f>SUM(_2025_01_07T12_47_export3[[#This Row],[Ni_wt]:[H_wt]])</f>
        <v>100</v>
      </c>
      <c r="DY22" s="130">
        <f>SUM($AM22:BJ22)</f>
        <v>100</v>
      </c>
    </row>
    <row r="23" spans="1:129" x14ac:dyDescent="0.25">
      <c r="A23" s="129" t="s">
        <v>252</v>
      </c>
      <c r="B23" s="129">
        <v>31</v>
      </c>
      <c r="C23" s="129" t="s">
        <v>229</v>
      </c>
      <c r="D23" s="129">
        <v>2023</v>
      </c>
      <c r="E23" s="129" t="s">
        <v>253</v>
      </c>
      <c r="F23" s="129" t="s">
        <v>254</v>
      </c>
      <c r="G23" s="129" t="s">
        <v>226</v>
      </c>
      <c r="H23" s="129">
        <v>0</v>
      </c>
      <c r="I23" s="129">
        <v>750</v>
      </c>
      <c r="J23" s="129">
        <v>1000</v>
      </c>
      <c r="K23" s="129" t="s">
        <v>55</v>
      </c>
      <c r="L23" s="129" t="s">
        <v>50</v>
      </c>
      <c r="N23" s="129">
        <v>8960000</v>
      </c>
      <c r="O23" s="130"/>
      <c r="P23" s="130">
        <v>100</v>
      </c>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f t="shared" si="0"/>
        <v>0</v>
      </c>
      <c r="AN23" s="130">
        <f t="shared" si="1"/>
        <v>100</v>
      </c>
      <c r="AO23" s="130">
        <f t="shared" si="2"/>
        <v>0</v>
      </c>
      <c r="AP23" s="130">
        <f t="shared" si="3"/>
        <v>0</v>
      </c>
      <c r="AQ23" s="130">
        <f t="shared" si="4"/>
        <v>0</v>
      </c>
      <c r="AR23" s="130">
        <f t="shared" si="5"/>
        <v>0</v>
      </c>
      <c r="AS23" s="130">
        <f t="shared" si="6"/>
        <v>0</v>
      </c>
      <c r="AT23" s="130">
        <f t="shared" si="7"/>
        <v>0</v>
      </c>
      <c r="AU23" s="130">
        <f t="shared" si="8"/>
        <v>0</v>
      </c>
      <c r="AV23" s="130">
        <f t="shared" si="9"/>
        <v>0</v>
      </c>
      <c r="AW23" s="130">
        <f t="shared" si="10"/>
        <v>0</v>
      </c>
      <c r="AX23" s="130">
        <f t="shared" si="11"/>
        <v>0</v>
      </c>
      <c r="AY23" s="130">
        <f t="shared" si="12"/>
        <v>0</v>
      </c>
      <c r="AZ23" s="130">
        <f t="shared" si="13"/>
        <v>0</v>
      </c>
      <c r="BA23" s="130">
        <f t="shared" si="14"/>
        <v>0</v>
      </c>
      <c r="BB23" s="130">
        <f t="shared" si="15"/>
        <v>0</v>
      </c>
      <c r="BC23" s="130">
        <f t="shared" si="16"/>
        <v>0</v>
      </c>
      <c r="BD23" s="130">
        <f t="shared" si="17"/>
        <v>0</v>
      </c>
      <c r="BE23" s="130">
        <f t="shared" si="18"/>
        <v>0</v>
      </c>
      <c r="BF23" s="130">
        <f t="shared" si="19"/>
        <v>0</v>
      </c>
      <c r="BG23" s="130">
        <f t="shared" si="20"/>
        <v>0</v>
      </c>
      <c r="BH23" s="130">
        <f t="shared" si="21"/>
        <v>0</v>
      </c>
      <c r="BI23" s="130">
        <f t="shared" si="22"/>
        <v>0</v>
      </c>
      <c r="BJ23" s="130">
        <f t="shared" si="23"/>
        <v>0</v>
      </c>
      <c r="BK23" s="130">
        <f t="shared" si="24"/>
        <v>-148.0250665296449</v>
      </c>
      <c r="BL23" s="130">
        <f>IF($K23=$L23,$BK23,IF(OR($K23="graphite",$K23="vitreous carbon"),$BK$406+($BM$389+$I23)*$BJ$406,IF($K23="Pyrolytic Boron Nitride","PBN",IF(COUNTIF($BH$396:$BH$416,$K23)&gt;0,VLOOKUP($K23,$BH$396:$BK$416,4,FALSE)+($BM$389+$I23)*VLOOKUP($K23,$BH$396:$BK$416,3,FALSE),IF(COUNTIF($L$2:$L22,$K23)&gt;0,VLOOKUP($K23,$L$2:$BK22,52,FALSE),"idk")))))</f>
        <v>-113.97577374311049</v>
      </c>
      <c r="BM23" s="130">
        <v>20</v>
      </c>
      <c r="BN23" s="130">
        <v>10</v>
      </c>
      <c r="BO23" s="130">
        <v>1.5</v>
      </c>
      <c r="BP23" s="129" t="s">
        <v>245</v>
      </c>
      <c r="BQ23" s="129"/>
      <c r="BR23" s="129" t="s">
        <v>230</v>
      </c>
      <c r="BS23" s="129"/>
      <c r="BT23" s="129">
        <v>0</v>
      </c>
      <c r="BU23" s="129">
        <v>16</v>
      </c>
      <c r="BV23" s="129"/>
      <c r="BZ23" s="129">
        <v>6</v>
      </c>
      <c r="CA23" s="129">
        <v>7</v>
      </c>
      <c r="CE23" s="129">
        <v>1</v>
      </c>
      <c r="CH23" s="129">
        <v>314</v>
      </c>
      <c r="CM23" s="234">
        <v>590</v>
      </c>
      <c r="DJ23" s="129">
        <v>0</v>
      </c>
      <c r="DK23" s="129">
        <v>0</v>
      </c>
      <c r="DL23" s="129"/>
      <c r="DO23" s="129">
        <v>-3.06</v>
      </c>
      <c r="DQ23" s="129">
        <v>7139286</v>
      </c>
      <c r="DS23" s="129">
        <v>1</v>
      </c>
      <c r="DU23" s="129"/>
      <c r="DW23" s="129">
        <f>SUM(_2025_01_07T12_47_export3[[#This Row],[Ni_wt]:[H_wt]])</f>
        <v>100</v>
      </c>
      <c r="DY23" s="130">
        <f>SUM($AM23:BJ23)</f>
        <v>100</v>
      </c>
    </row>
    <row r="24" spans="1:129" x14ac:dyDescent="0.25">
      <c r="A24" s="129" t="s">
        <v>252</v>
      </c>
      <c r="B24" s="129">
        <v>32</v>
      </c>
      <c r="C24" s="129" t="s">
        <v>229</v>
      </c>
      <c r="D24" s="129">
        <v>2023</v>
      </c>
      <c r="E24" s="129" t="s">
        <v>253</v>
      </c>
      <c r="F24" s="129" t="s">
        <v>254</v>
      </c>
      <c r="G24" s="129" t="s">
        <v>226</v>
      </c>
      <c r="H24" s="129">
        <v>0</v>
      </c>
      <c r="I24" s="129">
        <v>750</v>
      </c>
      <c r="J24" s="129">
        <v>2000</v>
      </c>
      <c r="K24" s="129" t="s">
        <v>55</v>
      </c>
      <c r="L24" s="129" t="s">
        <v>50</v>
      </c>
      <c r="N24" s="129">
        <v>8960000</v>
      </c>
      <c r="O24" s="130"/>
      <c r="P24" s="130">
        <v>100</v>
      </c>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f t="shared" si="0"/>
        <v>0</v>
      </c>
      <c r="AN24" s="130">
        <f t="shared" si="1"/>
        <v>100</v>
      </c>
      <c r="AO24" s="130">
        <f t="shared" si="2"/>
        <v>0</v>
      </c>
      <c r="AP24" s="130">
        <f t="shared" si="3"/>
        <v>0</v>
      </c>
      <c r="AQ24" s="130">
        <f t="shared" si="4"/>
        <v>0</v>
      </c>
      <c r="AR24" s="130">
        <f t="shared" si="5"/>
        <v>0</v>
      </c>
      <c r="AS24" s="130">
        <f t="shared" si="6"/>
        <v>0</v>
      </c>
      <c r="AT24" s="130">
        <f t="shared" si="7"/>
        <v>0</v>
      </c>
      <c r="AU24" s="130">
        <f t="shared" si="8"/>
        <v>0</v>
      </c>
      <c r="AV24" s="130">
        <f t="shared" si="9"/>
        <v>0</v>
      </c>
      <c r="AW24" s="130">
        <f t="shared" si="10"/>
        <v>0</v>
      </c>
      <c r="AX24" s="130">
        <f t="shared" si="11"/>
        <v>0</v>
      </c>
      <c r="AY24" s="130">
        <f t="shared" si="12"/>
        <v>0</v>
      </c>
      <c r="AZ24" s="130">
        <f t="shared" si="13"/>
        <v>0</v>
      </c>
      <c r="BA24" s="130">
        <f t="shared" si="14"/>
        <v>0</v>
      </c>
      <c r="BB24" s="130">
        <f t="shared" si="15"/>
        <v>0</v>
      </c>
      <c r="BC24" s="130">
        <f t="shared" si="16"/>
        <v>0</v>
      </c>
      <c r="BD24" s="130">
        <f t="shared" si="17"/>
        <v>0</v>
      </c>
      <c r="BE24" s="130">
        <f t="shared" si="18"/>
        <v>0</v>
      </c>
      <c r="BF24" s="130">
        <f t="shared" si="19"/>
        <v>0</v>
      </c>
      <c r="BG24" s="130">
        <f t="shared" si="20"/>
        <v>0</v>
      </c>
      <c r="BH24" s="130">
        <f t="shared" si="21"/>
        <v>0</v>
      </c>
      <c r="BI24" s="130">
        <f t="shared" si="22"/>
        <v>0</v>
      </c>
      <c r="BJ24" s="130">
        <f t="shared" si="23"/>
        <v>0</v>
      </c>
      <c r="BK24" s="130">
        <f t="shared" si="24"/>
        <v>-148.0250665296449</v>
      </c>
      <c r="BL24" s="130">
        <f>IF($K24=$L24,$BK24,IF(OR($K24="graphite",$K24="vitreous carbon"),$BK$406+($BM$389+$I24)*$BJ$406,IF($K24="Pyrolytic Boron Nitride","PBN",IF(COUNTIF($BH$396:$BH$416,$K24)&gt;0,VLOOKUP($K24,$BH$396:$BK$416,4,FALSE)+($BM$389+$I24)*VLOOKUP($K24,$BH$396:$BK$416,3,FALSE),IF(COUNTIF($L$2:$L23,$K24)&gt;0,VLOOKUP($K24,$L$2:$BK23,52,FALSE),"idk")))))</f>
        <v>-113.97577374311049</v>
      </c>
      <c r="BM24" s="130">
        <v>20</v>
      </c>
      <c r="BN24" s="130">
        <v>10</v>
      </c>
      <c r="BO24" s="130">
        <v>1.5</v>
      </c>
      <c r="BP24" s="129" t="s">
        <v>245</v>
      </c>
      <c r="BQ24" s="129"/>
      <c r="BR24" s="129" t="s">
        <v>230</v>
      </c>
      <c r="BS24" s="129"/>
      <c r="BT24" s="129">
        <v>0</v>
      </c>
      <c r="BU24" s="129">
        <v>16</v>
      </c>
      <c r="BV24" s="129"/>
      <c r="BZ24" s="129">
        <v>6</v>
      </c>
      <c r="CA24" s="129">
        <v>7</v>
      </c>
      <c r="CE24" s="129">
        <v>1</v>
      </c>
      <c r="CH24" s="129">
        <v>314</v>
      </c>
      <c r="CM24" s="234">
        <v>590</v>
      </c>
      <c r="DJ24" s="129">
        <v>0</v>
      </c>
      <c r="DK24" s="129">
        <v>0</v>
      </c>
      <c r="DL24" s="129"/>
      <c r="DO24" s="129">
        <v>-2.36</v>
      </c>
      <c r="DQ24" s="129">
        <v>7139286</v>
      </c>
      <c r="DS24" s="129">
        <v>1</v>
      </c>
      <c r="DU24" s="129"/>
      <c r="DW24" s="129">
        <f>SUM(_2025_01_07T12_47_export3[[#This Row],[Ni_wt]:[H_wt]])</f>
        <v>100</v>
      </c>
      <c r="DY24" s="130">
        <f>SUM($AM24:BJ24)</f>
        <v>100</v>
      </c>
    </row>
    <row r="25" spans="1:129" x14ac:dyDescent="0.25">
      <c r="A25" s="129" t="s">
        <v>252</v>
      </c>
      <c r="B25" s="129">
        <v>33</v>
      </c>
      <c r="C25" s="129" t="s">
        <v>229</v>
      </c>
      <c r="D25" s="129">
        <v>2023</v>
      </c>
      <c r="E25" s="129" t="s">
        <v>253</v>
      </c>
      <c r="F25" s="129" t="s">
        <v>254</v>
      </c>
      <c r="G25" s="129" t="s">
        <v>226</v>
      </c>
      <c r="H25" s="129">
        <v>0</v>
      </c>
      <c r="I25" s="129">
        <v>850</v>
      </c>
      <c r="J25" s="129">
        <v>100</v>
      </c>
      <c r="K25" s="129" t="s">
        <v>55</v>
      </c>
      <c r="L25" s="129" t="s">
        <v>50</v>
      </c>
      <c r="N25" s="129">
        <v>8960000</v>
      </c>
      <c r="O25" s="130"/>
      <c r="P25" s="130">
        <v>100</v>
      </c>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f t="shared" si="0"/>
        <v>0</v>
      </c>
      <c r="AN25" s="130">
        <f t="shared" si="1"/>
        <v>100</v>
      </c>
      <c r="AO25" s="130">
        <f t="shared" si="2"/>
        <v>0</v>
      </c>
      <c r="AP25" s="130">
        <f t="shared" si="3"/>
        <v>0</v>
      </c>
      <c r="AQ25" s="130">
        <f t="shared" si="4"/>
        <v>0</v>
      </c>
      <c r="AR25" s="130">
        <f t="shared" si="5"/>
        <v>0</v>
      </c>
      <c r="AS25" s="130">
        <f t="shared" si="6"/>
        <v>0</v>
      </c>
      <c r="AT25" s="130">
        <f t="shared" si="7"/>
        <v>0</v>
      </c>
      <c r="AU25" s="130">
        <f t="shared" si="8"/>
        <v>0</v>
      </c>
      <c r="AV25" s="130">
        <f t="shared" si="9"/>
        <v>0</v>
      </c>
      <c r="AW25" s="130">
        <f t="shared" si="10"/>
        <v>0</v>
      </c>
      <c r="AX25" s="130">
        <f t="shared" si="11"/>
        <v>0</v>
      </c>
      <c r="AY25" s="130">
        <f t="shared" si="12"/>
        <v>0</v>
      </c>
      <c r="AZ25" s="130">
        <f t="shared" si="13"/>
        <v>0</v>
      </c>
      <c r="BA25" s="130">
        <f t="shared" si="14"/>
        <v>0</v>
      </c>
      <c r="BB25" s="130">
        <f t="shared" si="15"/>
        <v>0</v>
      </c>
      <c r="BC25" s="130">
        <f t="shared" si="16"/>
        <v>0</v>
      </c>
      <c r="BD25" s="130">
        <f t="shared" si="17"/>
        <v>0</v>
      </c>
      <c r="BE25" s="130">
        <f t="shared" si="18"/>
        <v>0</v>
      </c>
      <c r="BF25" s="130">
        <f t="shared" si="19"/>
        <v>0</v>
      </c>
      <c r="BG25" s="130">
        <f t="shared" si="20"/>
        <v>0</v>
      </c>
      <c r="BH25" s="130">
        <f t="shared" si="21"/>
        <v>0</v>
      </c>
      <c r="BI25" s="130">
        <f t="shared" si="22"/>
        <v>0</v>
      </c>
      <c r="BJ25" s="130">
        <f t="shared" si="23"/>
        <v>0</v>
      </c>
      <c r="BK25" s="130">
        <f t="shared" si="24"/>
        <v>-144.59476121179804</v>
      </c>
      <c r="BL25" s="130">
        <f>IF($K25=$L25,$BK25,IF(OR($K25="graphite",$K25="vitreous carbon"),$BK$406+($BM$389+$I25)*$BJ$406,IF($K25="Pyrolytic Boron Nitride","PBN",IF(COUNTIF($BH$396:$BH$416,$K25)&gt;0,VLOOKUP($K25,$BH$396:$BK$416,4,FALSE)+($BM$389+$I25)*VLOOKUP($K25,$BH$396:$BK$416,3,FALSE),IF(COUNTIF($L$2:$L24,$K25)&gt;0,VLOOKUP($K25,$L$2:$BK24,52,FALSE),"idk")))))</f>
        <v>-112.01341460271253</v>
      </c>
      <c r="BM25" s="130">
        <v>20</v>
      </c>
      <c r="BN25" s="130">
        <v>10</v>
      </c>
      <c r="BO25" s="130">
        <v>2</v>
      </c>
      <c r="BP25" s="129" t="s">
        <v>245</v>
      </c>
      <c r="BQ25" s="129"/>
      <c r="BR25" s="129" t="s">
        <v>230</v>
      </c>
      <c r="BS25" s="129"/>
      <c r="BT25" s="129">
        <v>0</v>
      </c>
      <c r="BU25" s="129">
        <v>16</v>
      </c>
      <c r="BV25" s="129"/>
      <c r="BZ25" s="129">
        <v>6</v>
      </c>
      <c r="CA25" s="129">
        <v>7</v>
      </c>
      <c r="CE25" s="129">
        <v>1</v>
      </c>
      <c r="CH25" s="129">
        <v>314</v>
      </c>
      <c r="CM25" s="234">
        <v>590</v>
      </c>
      <c r="DJ25" s="129">
        <v>0</v>
      </c>
      <c r="DK25" s="129">
        <v>0</v>
      </c>
      <c r="DL25" s="129"/>
      <c r="DO25" s="129">
        <v>-0.74</v>
      </c>
      <c r="DQ25" s="129">
        <v>7139286</v>
      </c>
      <c r="DS25" s="129">
        <v>1</v>
      </c>
      <c r="DU25" s="129"/>
      <c r="DW25" s="129">
        <f>SUM(_2025_01_07T12_47_export3[[#This Row],[Ni_wt]:[H_wt]])</f>
        <v>100</v>
      </c>
      <c r="DY25" s="130">
        <f>SUM($AM25:BJ25)</f>
        <v>100</v>
      </c>
    </row>
    <row r="26" spans="1:129" x14ac:dyDescent="0.25">
      <c r="A26" s="129" t="s">
        <v>252</v>
      </c>
      <c r="B26" s="129">
        <v>34</v>
      </c>
      <c r="C26" s="129" t="s">
        <v>229</v>
      </c>
      <c r="D26" s="129">
        <v>2023</v>
      </c>
      <c r="E26" s="129" t="s">
        <v>253</v>
      </c>
      <c r="F26" s="129" t="s">
        <v>254</v>
      </c>
      <c r="G26" s="129" t="s">
        <v>226</v>
      </c>
      <c r="H26" s="129">
        <v>0</v>
      </c>
      <c r="I26" s="129">
        <v>850</v>
      </c>
      <c r="J26" s="129">
        <v>500</v>
      </c>
      <c r="K26" s="129" t="s">
        <v>55</v>
      </c>
      <c r="L26" s="129" t="s">
        <v>50</v>
      </c>
      <c r="N26" s="129">
        <v>8960000</v>
      </c>
      <c r="O26" s="130"/>
      <c r="P26" s="130">
        <v>100</v>
      </c>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f t="shared" si="0"/>
        <v>0</v>
      </c>
      <c r="AN26" s="130">
        <f t="shared" si="1"/>
        <v>100</v>
      </c>
      <c r="AO26" s="130">
        <f t="shared" si="2"/>
        <v>0</v>
      </c>
      <c r="AP26" s="130">
        <f t="shared" si="3"/>
        <v>0</v>
      </c>
      <c r="AQ26" s="130">
        <f t="shared" si="4"/>
        <v>0</v>
      </c>
      <c r="AR26" s="130">
        <f t="shared" si="5"/>
        <v>0</v>
      </c>
      <c r="AS26" s="130">
        <f t="shared" si="6"/>
        <v>0</v>
      </c>
      <c r="AT26" s="130">
        <f t="shared" si="7"/>
        <v>0</v>
      </c>
      <c r="AU26" s="130">
        <f t="shared" si="8"/>
        <v>0</v>
      </c>
      <c r="AV26" s="130">
        <f t="shared" si="9"/>
        <v>0</v>
      </c>
      <c r="AW26" s="130">
        <f t="shared" si="10"/>
        <v>0</v>
      </c>
      <c r="AX26" s="130">
        <f t="shared" si="11"/>
        <v>0</v>
      </c>
      <c r="AY26" s="130">
        <f t="shared" si="12"/>
        <v>0</v>
      </c>
      <c r="AZ26" s="130">
        <f t="shared" si="13"/>
        <v>0</v>
      </c>
      <c r="BA26" s="130">
        <f t="shared" si="14"/>
        <v>0</v>
      </c>
      <c r="BB26" s="130">
        <f t="shared" si="15"/>
        <v>0</v>
      </c>
      <c r="BC26" s="130">
        <f t="shared" si="16"/>
        <v>0</v>
      </c>
      <c r="BD26" s="130">
        <f t="shared" si="17"/>
        <v>0</v>
      </c>
      <c r="BE26" s="130">
        <f t="shared" si="18"/>
        <v>0</v>
      </c>
      <c r="BF26" s="130">
        <f t="shared" si="19"/>
        <v>0</v>
      </c>
      <c r="BG26" s="130">
        <f t="shared" si="20"/>
        <v>0</v>
      </c>
      <c r="BH26" s="130">
        <f t="shared" si="21"/>
        <v>0</v>
      </c>
      <c r="BI26" s="130">
        <f t="shared" si="22"/>
        <v>0</v>
      </c>
      <c r="BJ26" s="130">
        <f t="shared" si="23"/>
        <v>0</v>
      </c>
      <c r="BK26" s="130">
        <f t="shared" si="24"/>
        <v>-144.59476121179804</v>
      </c>
      <c r="BL26" s="130">
        <f>IF($K26=$L26,$BK26,IF(OR($K26="graphite",$K26="vitreous carbon"),$BK$406+($BM$389+$I26)*$BJ$406,IF($K26="Pyrolytic Boron Nitride","PBN",IF(COUNTIF($BH$396:$BH$416,$K26)&gt;0,VLOOKUP($K26,$BH$396:$BK$416,4,FALSE)+($BM$389+$I26)*VLOOKUP($K26,$BH$396:$BK$416,3,FALSE),IF(COUNTIF($L$2:$L25,$K26)&gt;0,VLOOKUP($K26,$L$2:$BK25,52,FALSE),"idk")))))</f>
        <v>-112.01341460271253</v>
      </c>
      <c r="BM26" s="130">
        <v>20</v>
      </c>
      <c r="BN26" s="130">
        <v>10</v>
      </c>
      <c r="BO26" s="130">
        <v>2</v>
      </c>
      <c r="BP26" s="129" t="s">
        <v>245</v>
      </c>
      <c r="BQ26" s="129"/>
      <c r="BR26" s="129" t="s">
        <v>230</v>
      </c>
      <c r="BS26" s="129"/>
      <c r="BT26" s="129">
        <v>0</v>
      </c>
      <c r="BU26" s="129">
        <v>16</v>
      </c>
      <c r="BV26" s="129"/>
      <c r="BZ26" s="129">
        <v>6</v>
      </c>
      <c r="CA26" s="129">
        <v>7</v>
      </c>
      <c r="CE26" s="129">
        <v>1</v>
      </c>
      <c r="CH26" s="129">
        <v>314</v>
      </c>
      <c r="CM26" s="234">
        <v>590</v>
      </c>
      <c r="DJ26" s="129">
        <v>0</v>
      </c>
      <c r="DK26" s="129">
        <v>0</v>
      </c>
      <c r="DL26" s="129"/>
      <c r="DO26" s="129">
        <v>-0.96</v>
      </c>
      <c r="DQ26" s="129">
        <v>7139286</v>
      </c>
      <c r="DS26" s="129">
        <v>1</v>
      </c>
      <c r="DU26" s="129"/>
      <c r="DW26" s="129">
        <f>SUM(_2025_01_07T12_47_export3[[#This Row],[Ni_wt]:[H_wt]])</f>
        <v>100</v>
      </c>
      <c r="DY26" s="130">
        <f>SUM($AM26:BJ26)</f>
        <v>100</v>
      </c>
    </row>
    <row r="27" spans="1:129" ht="16.5" thickBot="1" x14ac:dyDescent="0.3">
      <c r="A27" s="136" t="s">
        <v>252</v>
      </c>
      <c r="B27" s="136">
        <v>35</v>
      </c>
      <c r="C27" s="136" t="s">
        <v>229</v>
      </c>
      <c r="D27" s="136">
        <v>2023</v>
      </c>
      <c r="E27" s="136" t="s">
        <v>253</v>
      </c>
      <c r="F27" s="136" t="s">
        <v>254</v>
      </c>
      <c r="G27" s="136" t="s">
        <v>226</v>
      </c>
      <c r="H27" s="136">
        <v>0</v>
      </c>
      <c r="I27" s="136">
        <v>850</v>
      </c>
      <c r="J27" s="136">
        <v>2000</v>
      </c>
      <c r="K27" s="136" t="s">
        <v>55</v>
      </c>
      <c r="L27" s="136" t="s">
        <v>50</v>
      </c>
      <c r="M27" s="136"/>
      <c r="N27" s="136">
        <v>8960000</v>
      </c>
      <c r="O27" s="137"/>
      <c r="P27" s="137">
        <v>100</v>
      </c>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f t="shared" si="0"/>
        <v>0</v>
      </c>
      <c r="AN27" s="137">
        <f t="shared" si="1"/>
        <v>100</v>
      </c>
      <c r="AO27" s="137">
        <f t="shared" si="2"/>
        <v>0</v>
      </c>
      <c r="AP27" s="137">
        <f t="shared" si="3"/>
        <v>0</v>
      </c>
      <c r="AQ27" s="137">
        <f t="shared" si="4"/>
        <v>0</v>
      </c>
      <c r="AR27" s="137">
        <f t="shared" si="5"/>
        <v>0</v>
      </c>
      <c r="AS27" s="137">
        <f t="shared" si="6"/>
        <v>0</v>
      </c>
      <c r="AT27" s="137">
        <f t="shared" si="7"/>
        <v>0</v>
      </c>
      <c r="AU27" s="137">
        <f t="shared" si="8"/>
        <v>0</v>
      </c>
      <c r="AV27" s="137">
        <f t="shared" si="9"/>
        <v>0</v>
      </c>
      <c r="AW27" s="137">
        <f t="shared" si="10"/>
        <v>0</v>
      </c>
      <c r="AX27" s="137">
        <f t="shared" si="11"/>
        <v>0</v>
      </c>
      <c r="AY27" s="137">
        <f t="shared" si="12"/>
        <v>0</v>
      </c>
      <c r="AZ27" s="137">
        <f t="shared" si="13"/>
        <v>0</v>
      </c>
      <c r="BA27" s="137">
        <f t="shared" si="14"/>
        <v>0</v>
      </c>
      <c r="BB27" s="137">
        <f t="shared" si="15"/>
        <v>0</v>
      </c>
      <c r="BC27" s="137">
        <f t="shared" si="16"/>
        <v>0</v>
      </c>
      <c r="BD27" s="137">
        <f t="shared" si="17"/>
        <v>0</v>
      </c>
      <c r="BE27" s="137">
        <f t="shared" si="18"/>
        <v>0</v>
      </c>
      <c r="BF27" s="137">
        <f t="shared" si="19"/>
        <v>0</v>
      </c>
      <c r="BG27" s="137">
        <f t="shared" si="20"/>
        <v>0</v>
      </c>
      <c r="BH27" s="137">
        <f t="shared" si="21"/>
        <v>0</v>
      </c>
      <c r="BI27" s="137">
        <f t="shared" si="22"/>
        <v>0</v>
      </c>
      <c r="BJ27" s="137">
        <f t="shared" si="23"/>
        <v>0</v>
      </c>
      <c r="BK27" s="137">
        <f t="shared" si="24"/>
        <v>-144.59476121179804</v>
      </c>
      <c r="BL27" s="137">
        <f>IF($K27=$L27,$BK27,IF(OR($K27="graphite",$K27="vitreous carbon"),$BK$406+($BM$389+$I27)*$BJ$406,IF($K27="Pyrolytic Boron Nitride","PBN",IF(COUNTIF($BH$396:$BH$416,$K27)&gt;0,VLOOKUP($K27,$BH$396:$BK$416,4,FALSE)+($BM$389+$I27)*VLOOKUP($K27,$BH$396:$BK$416,3,FALSE),IF(COUNTIF($L$2:$L26,$K27)&gt;0,VLOOKUP($K27,$L$2:$BK26,52,FALSE),"idk")))))</f>
        <v>-112.01341460271253</v>
      </c>
      <c r="BM27" s="137">
        <v>20</v>
      </c>
      <c r="BN27" s="137">
        <v>10</v>
      </c>
      <c r="BO27" s="137">
        <v>2</v>
      </c>
      <c r="BP27" s="136" t="s">
        <v>245</v>
      </c>
      <c r="BQ27" s="136"/>
      <c r="BR27" s="136" t="s">
        <v>230</v>
      </c>
      <c r="BS27" s="136"/>
      <c r="BT27" s="136">
        <v>0</v>
      </c>
      <c r="BU27" s="136">
        <v>16</v>
      </c>
      <c r="BV27" s="136"/>
      <c r="BW27" s="136"/>
      <c r="BX27" s="136"/>
      <c r="BY27" s="136"/>
      <c r="BZ27" s="136">
        <v>6</v>
      </c>
      <c r="CA27" s="136">
        <v>7</v>
      </c>
      <c r="CB27" s="136"/>
      <c r="CC27" s="136"/>
      <c r="CD27" s="136"/>
      <c r="CE27" s="136">
        <v>1</v>
      </c>
      <c r="CF27" s="136"/>
      <c r="CG27" s="136"/>
      <c r="CH27" s="136">
        <v>314</v>
      </c>
      <c r="CI27" s="136"/>
      <c r="CJ27" s="136"/>
      <c r="CK27" s="136"/>
      <c r="CL27" s="136"/>
      <c r="CM27" s="235">
        <v>590</v>
      </c>
      <c r="CN27" s="136"/>
      <c r="CO27" s="136"/>
      <c r="CP27" s="136"/>
      <c r="CQ27" s="136"/>
      <c r="CR27" s="136"/>
      <c r="CS27" s="136"/>
      <c r="CT27" s="136"/>
      <c r="CU27" s="136"/>
      <c r="CV27" s="136"/>
      <c r="CW27" s="136"/>
      <c r="CX27" s="136"/>
      <c r="CY27" s="136"/>
      <c r="CZ27" s="136"/>
      <c r="DA27" s="136"/>
      <c r="DB27" s="136"/>
      <c r="DC27" s="136"/>
      <c r="DD27" s="136"/>
      <c r="DE27" s="136"/>
      <c r="DF27" s="136"/>
      <c r="DG27" s="136"/>
      <c r="DH27" s="136"/>
      <c r="DI27" s="136"/>
      <c r="DJ27" s="136">
        <v>0</v>
      </c>
      <c r="DK27" s="136">
        <v>0</v>
      </c>
      <c r="DL27" s="136"/>
      <c r="DM27" s="136"/>
      <c r="DN27" s="136"/>
      <c r="DO27" s="136">
        <v>-1.5</v>
      </c>
      <c r="DP27" s="136"/>
      <c r="DQ27" s="136">
        <v>7139286</v>
      </c>
      <c r="DR27" s="136"/>
      <c r="DS27" s="136">
        <v>1</v>
      </c>
      <c r="DT27" s="136"/>
      <c r="DU27" s="136"/>
      <c r="DW27" s="129">
        <f>SUM(_2025_01_07T12_47_export3[[#This Row],[Ni_wt]:[H_wt]])</f>
        <v>100</v>
      </c>
      <c r="DY27" s="130">
        <f>SUM($AM27:BJ27)</f>
        <v>100</v>
      </c>
    </row>
    <row r="28" spans="1:129" x14ac:dyDescent="0.25">
      <c r="A28" s="238" t="s">
        <v>258</v>
      </c>
      <c r="B28" s="238">
        <v>36</v>
      </c>
      <c r="C28" s="238" t="s">
        <v>229</v>
      </c>
      <c r="D28" s="238">
        <v>2023</v>
      </c>
      <c r="E28" s="238" t="s">
        <v>253</v>
      </c>
      <c r="F28" s="238" t="s">
        <v>259</v>
      </c>
      <c r="G28" s="238" t="s">
        <v>226</v>
      </c>
      <c r="H28" s="238">
        <v>0</v>
      </c>
      <c r="I28" s="238">
        <v>550</v>
      </c>
      <c r="J28" s="238">
        <v>100</v>
      </c>
      <c r="K28" s="238" t="s">
        <v>55</v>
      </c>
      <c r="L28" s="238" t="s">
        <v>50</v>
      </c>
      <c r="M28" s="238"/>
      <c r="N28" s="238">
        <v>8960000</v>
      </c>
      <c r="O28" s="239"/>
      <c r="P28" s="239">
        <v>100</v>
      </c>
      <c r="Q28" s="239"/>
      <c r="R28" s="239">
        <v>0</v>
      </c>
      <c r="S28" s="239"/>
      <c r="T28" s="239"/>
      <c r="U28" s="239"/>
      <c r="V28" s="239"/>
      <c r="W28" s="239"/>
      <c r="X28" s="239"/>
      <c r="Y28" s="239"/>
      <c r="Z28" s="239"/>
      <c r="AA28" s="239"/>
      <c r="AB28" s="239"/>
      <c r="AC28" s="239"/>
      <c r="AD28" s="239"/>
      <c r="AE28" s="239"/>
      <c r="AF28" s="239"/>
      <c r="AG28" s="239"/>
      <c r="AH28" s="239"/>
      <c r="AI28" s="239"/>
      <c r="AJ28" s="239"/>
      <c r="AK28" s="239"/>
      <c r="AL28" s="239"/>
      <c r="AM28" s="239">
        <f t="shared" si="0"/>
        <v>0</v>
      </c>
      <c r="AN28" s="239">
        <f t="shared" si="1"/>
        <v>100</v>
      </c>
      <c r="AO28" s="239">
        <f t="shared" si="2"/>
        <v>0</v>
      </c>
      <c r="AP28" s="239">
        <f t="shared" si="3"/>
        <v>0</v>
      </c>
      <c r="AQ28" s="239">
        <f t="shared" si="4"/>
        <v>0</v>
      </c>
      <c r="AR28" s="239">
        <f t="shared" si="5"/>
        <v>0</v>
      </c>
      <c r="AS28" s="239">
        <f t="shared" si="6"/>
        <v>0</v>
      </c>
      <c r="AT28" s="239">
        <f t="shared" si="7"/>
        <v>0</v>
      </c>
      <c r="AU28" s="239">
        <f t="shared" si="8"/>
        <v>0</v>
      </c>
      <c r="AV28" s="239">
        <f t="shared" si="9"/>
        <v>0</v>
      </c>
      <c r="AW28" s="239">
        <f t="shared" si="10"/>
        <v>0</v>
      </c>
      <c r="AX28" s="239">
        <f t="shared" si="11"/>
        <v>0</v>
      </c>
      <c r="AY28" s="239">
        <f t="shared" si="12"/>
        <v>0</v>
      </c>
      <c r="AZ28" s="239">
        <f t="shared" si="13"/>
        <v>0</v>
      </c>
      <c r="BA28" s="239">
        <f t="shared" si="14"/>
        <v>0</v>
      </c>
      <c r="BB28" s="239">
        <f t="shared" si="15"/>
        <v>0</v>
      </c>
      <c r="BC28" s="239">
        <f t="shared" si="16"/>
        <v>0</v>
      </c>
      <c r="BD28" s="239">
        <f t="shared" si="17"/>
        <v>0</v>
      </c>
      <c r="BE28" s="239">
        <f t="shared" si="18"/>
        <v>0</v>
      </c>
      <c r="BF28" s="239">
        <f t="shared" si="19"/>
        <v>0</v>
      </c>
      <c r="BG28" s="239">
        <f t="shared" si="20"/>
        <v>0</v>
      </c>
      <c r="BH28" s="239">
        <f t="shared" si="21"/>
        <v>0</v>
      </c>
      <c r="BI28" s="239">
        <f t="shared" si="22"/>
        <v>0</v>
      </c>
      <c r="BJ28" s="239">
        <f t="shared" si="23"/>
        <v>0</v>
      </c>
      <c r="BK28" s="239">
        <f t="shared" si="24"/>
        <v>-154.88567716533856</v>
      </c>
      <c r="BL28" s="239">
        <f>IF($K28=$L28,$BK28,IF(OR($K28="graphite",$K28="vitreous carbon"),$BK$406+($BM$389+$I28)*$BJ$406,IF($K28="Pyrolytic Boron Nitride","PBN",IF(COUNTIF($BH$396:$BH$416,$K28)&gt;0,VLOOKUP($K28,$BH$396:$BK$416,4,FALSE)+($BM$389+$I28)*VLOOKUP($K28,$BH$396:$BK$416,3,FALSE),IF(COUNTIF($L$2:$L27,$K28)&gt;0,VLOOKUP($K28,$L$2:$BK27,52,FALSE),"idk")))))</f>
        <v>-117.90049202390642</v>
      </c>
      <c r="BM28" s="239">
        <v>20</v>
      </c>
      <c r="BN28" s="239">
        <v>10</v>
      </c>
      <c r="BO28" s="239">
        <v>1.5</v>
      </c>
      <c r="BP28" s="238" t="s">
        <v>228</v>
      </c>
      <c r="BQ28" s="238"/>
      <c r="BR28" s="238" t="s">
        <v>230</v>
      </c>
      <c r="BS28" s="238"/>
      <c r="BT28" s="238">
        <v>0</v>
      </c>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c r="CU28" s="238"/>
      <c r="CV28" s="238"/>
      <c r="CW28" s="238"/>
      <c r="CX28" s="238"/>
      <c r="CY28" s="238"/>
      <c r="CZ28" s="238"/>
      <c r="DA28" s="238"/>
      <c r="DB28" s="238"/>
      <c r="DC28" s="238"/>
      <c r="DD28" s="238"/>
      <c r="DE28" s="238"/>
      <c r="DF28" s="238"/>
      <c r="DG28" s="238"/>
      <c r="DH28" s="238"/>
      <c r="DI28" s="238"/>
      <c r="DJ28" s="238">
        <v>0</v>
      </c>
      <c r="DK28" s="238">
        <v>0</v>
      </c>
      <c r="DL28" s="238"/>
      <c r="DM28" s="238"/>
      <c r="DN28" s="238"/>
      <c r="DO28" s="238">
        <v>-0.48</v>
      </c>
      <c r="DP28" s="238"/>
      <c r="DQ28" s="238"/>
      <c r="DR28" s="238"/>
      <c r="DS28" s="238"/>
      <c r="DT28" s="135" t="s">
        <v>255</v>
      </c>
      <c r="DU28" s="238"/>
      <c r="DW28" s="129">
        <f>SUM(_2025_01_07T12_47_export3[[#This Row],[Ni_wt]:[H_wt]])</f>
        <v>100</v>
      </c>
      <c r="DY28" s="130">
        <f>SUM($AM28:BJ28)</f>
        <v>100</v>
      </c>
    </row>
    <row r="29" spans="1:129" x14ac:dyDescent="0.25">
      <c r="A29" s="129" t="s">
        <v>258</v>
      </c>
      <c r="B29" s="129">
        <v>37</v>
      </c>
      <c r="C29" s="129" t="s">
        <v>229</v>
      </c>
      <c r="D29" s="129">
        <v>2023</v>
      </c>
      <c r="E29" s="129" t="s">
        <v>253</v>
      </c>
      <c r="F29" s="129" t="s">
        <v>259</v>
      </c>
      <c r="G29" s="129" t="s">
        <v>226</v>
      </c>
      <c r="H29" s="129">
        <v>0</v>
      </c>
      <c r="I29" s="129">
        <v>550</v>
      </c>
      <c r="J29" s="129">
        <v>500</v>
      </c>
      <c r="K29" s="129" t="s">
        <v>55</v>
      </c>
      <c r="L29" s="129" t="s">
        <v>50</v>
      </c>
      <c r="N29" s="129">
        <v>8960000</v>
      </c>
      <c r="O29" s="130"/>
      <c r="P29" s="130">
        <v>100</v>
      </c>
      <c r="Q29" s="130"/>
      <c r="R29" s="130">
        <v>0</v>
      </c>
      <c r="S29" s="130"/>
      <c r="T29" s="130"/>
      <c r="U29" s="130"/>
      <c r="V29" s="130"/>
      <c r="W29" s="130"/>
      <c r="X29" s="130"/>
      <c r="Y29" s="130"/>
      <c r="Z29" s="130"/>
      <c r="AA29" s="130"/>
      <c r="AB29" s="130"/>
      <c r="AC29" s="130"/>
      <c r="AD29" s="130"/>
      <c r="AE29" s="130"/>
      <c r="AF29" s="130"/>
      <c r="AG29" s="130"/>
      <c r="AH29" s="130"/>
      <c r="AI29" s="130"/>
      <c r="AJ29" s="130"/>
      <c r="AK29" s="130"/>
      <c r="AL29" s="130"/>
      <c r="AM29" s="130">
        <f t="shared" si="0"/>
        <v>0</v>
      </c>
      <c r="AN29" s="130">
        <f t="shared" si="1"/>
        <v>100</v>
      </c>
      <c r="AO29" s="130">
        <f t="shared" si="2"/>
        <v>0</v>
      </c>
      <c r="AP29" s="130">
        <f t="shared" si="3"/>
        <v>0</v>
      </c>
      <c r="AQ29" s="130">
        <f t="shared" si="4"/>
        <v>0</v>
      </c>
      <c r="AR29" s="130">
        <f t="shared" si="5"/>
        <v>0</v>
      </c>
      <c r="AS29" s="130">
        <f t="shared" si="6"/>
        <v>0</v>
      </c>
      <c r="AT29" s="130">
        <f t="shared" si="7"/>
        <v>0</v>
      </c>
      <c r="AU29" s="130">
        <f t="shared" si="8"/>
        <v>0</v>
      </c>
      <c r="AV29" s="130">
        <f t="shared" si="9"/>
        <v>0</v>
      </c>
      <c r="AW29" s="130">
        <f t="shared" si="10"/>
        <v>0</v>
      </c>
      <c r="AX29" s="130">
        <f t="shared" si="11"/>
        <v>0</v>
      </c>
      <c r="AY29" s="130">
        <f t="shared" si="12"/>
        <v>0</v>
      </c>
      <c r="AZ29" s="130">
        <f t="shared" si="13"/>
        <v>0</v>
      </c>
      <c r="BA29" s="130">
        <f t="shared" si="14"/>
        <v>0</v>
      </c>
      <c r="BB29" s="130">
        <f t="shared" si="15"/>
        <v>0</v>
      </c>
      <c r="BC29" s="130">
        <f t="shared" si="16"/>
        <v>0</v>
      </c>
      <c r="BD29" s="130">
        <f t="shared" si="17"/>
        <v>0</v>
      </c>
      <c r="BE29" s="130">
        <f t="shared" si="18"/>
        <v>0</v>
      </c>
      <c r="BF29" s="130">
        <f t="shared" si="19"/>
        <v>0</v>
      </c>
      <c r="BG29" s="130">
        <f t="shared" si="20"/>
        <v>0</v>
      </c>
      <c r="BH29" s="130">
        <f t="shared" si="21"/>
        <v>0</v>
      </c>
      <c r="BI29" s="130">
        <f t="shared" si="22"/>
        <v>0</v>
      </c>
      <c r="BJ29" s="130">
        <f t="shared" si="23"/>
        <v>0</v>
      </c>
      <c r="BK29" s="130">
        <f t="shared" si="24"/>
        <v>-154.88567716533856</v>
      </c>
      <c r="BL29" s="130">
        <f>IF($K29=$L29,$BK29,IF(OR($K29="graphite",$K29="vitreous carbon"),$BK$406+($BM$389+$I29)*$BJ$406,IF($K29="Pyrolytic Boron Nitride","PBN",IF(COUNTIF($BH$396:$BH$416,$K29)&gt;0,VLOOKUP($K29,$BH$396:$BK$416,4,FALSE)+($BM$389+$I29)*VLOOKUP($K29,$BH$396:$BK$416,3,FALSE),IF(COUNTIF($L$2:$L28,$K29)&gt;0,VLOOKUP($K29,$L$2:$BK28,52,FALSE),"idk")))))</f>
        <v>-117.90049202390642</v>
      </c>
      <c r="BM29" s="130">
        <v>20</v>
      </c>
      <c r="BN29" s="130">
        <v>10</v>
      </c>
      <c r="BO29" s="130">
        <v>1.5</v>
      </c>
      <c r="BP29" s="129" t="s">
        <v>228</v>
      </c>
      <c r="BQ29" s="129"/>
      <c r="BR29" s="129" t="s">
        <v>230</v>
      </c>
      <c r="BS29" s="129"/>
      <c r="BT29" s="129">
        <v>0</v>
      </c>
      <c r="BV29" s="129"/>
      <c r="BZ29" s="129"/>
      <c r="DJ29" s="129">
        <v>0</v>
      </c>
      <c r="DK29" s="129">
        <v>0</v>
      </c>
      <c r="DL29" s="129"/>
      <c r="DO29" s="129">
        <v>-0.84</v>
      </c>
      <c r="DS29" s="129"/>
      <c r="DT29" s="132" t="s">
        <v>256</v>
      </c>
      <c r="DU29" s="129"/>
      <c r="DW29" s="129">
        <f>SUM(_2025_01_07T12_47_export3[[#This Row],[Ni_wt]:[H_wt]])</f>
        <v>100</v>
      </c>
      <c r="DY29" s="130">
        <f>SUM($AM29:BJ29)</f>
        <v>100</v>
      </c>
    </row>
    <row r="30" spans="1:129" x14ac:dyDescent="0.25">
      <c r="A30" s="129" t="s">
        <v>258</v>
      </c>
      <c r="B30" s="129">
        <v>38</v>
      </c>
      <c r="C30" s="129" t="s">
        <v>229</v>
      </c>
      <c r="D30" s="129">
        <v>2023</v>
      </c>
      <c r="E30" s="129" t="s">
        <v>253</v>
      </c>
      <c r="F30" s="129" t="s">
        <v>259</v>
      </c>
      <c r="G30" s="129" t="s">
        <v>226</v>
      </c>
      <c r="H30" s="129">
        <v>0</v>
      </c>
      <c r="I30" s="129">
        <v>550</v>
      </c>
      <c r="J30" s="129">
        <v>2000</v>
      </c>
      <c r="K30" s="129" t="s">
        <v>55</v>
      </c>
      <c r="L30" s="129" t="s">
        <v>50</v>
      </c>
      <c r="N30" s="129">
        <v>8960000</v>
      </c>
      <c r="O30" s="130"/>
      <c r="P30" s="130">
        <v>100</v>
      </c>
      <c r="Q30" s="130"/>
      <c r="R30" s="130">
        <v>0</v>
      </c>
      <c r="S30" s="130"/>
      <c r="T30" s="130"/>
      <c r="U30" s="130"/>
      <c r="V30" s="130"/>
      <c r="W30" s="130"/>
      <c r="X30" s="130"/>
      <c r="Y30" s="130"/>
      <c r="Z30" s="130"/>
      <c r="AA30" s="130"/>
      <c r="AB30" s="130"/>
      <c r="AC30" s="130"/>
      <c r="AD30" s="130"/>
      <c r="AE30" s="130"/>
      <c r="AF30" s="130"/>
      <c r="AG30" s="130"/>
      <c r="AH30" s="130"/>
      <c r="AI30" s="130"/>
      <c r="AJ30" s="130"/>
      <c r="AK30" s="130"/>
      <c r="AL30" s="130"/>
      <c r="AM30" s="130">
        <f t="shared" si="0"/>
        <v>0</v>
      </c>
      <c r="AN30" s="130">
        <f t="shared" si="1"/>
        <v>100</v>
      </c>
      <c r="AO30" s="130">
        <f t="shared" si="2"/>
        <v>0</v>
      </c>
      <c r="AP30" s="130">
        <f t="shared" si="3"/>
        <v>0</v>
      </c>
      <c r="AQ30" s="130">
        <f t="shared" si="4"/>
        <v>0</v>
      </c>
      <c r="AR30" s="130">
        <f t="shared" si="5"/>
        <v>0</v>
      </c>
      <c r="AS30" s="130">
        <f t="shared" si="6"/>
        <v>0</v>
      </c>
      <c r="AT30" s="130">
        <f t="shared" si="7"/>
        <v>0</v>
      </c>
      <c r="AU30" s="130">
        <f t="shared" si="8"/>
        <v>0</v>
      </c>
      <c r="AV30" s="130">
        <f t="shared" si="9"/>
        <v>0</v>
      </c>
      <c r="AW30" s="130">
        <f t="shared" si="10"/>
        <v>0</v>
      </c>
      <c r="AX30" s="130">
        <f t="shared" si="11"/>
        <v>0</v>
      </c>
      <c r="AY30" s="130">
        <f t="shared" si="12"/>
        <v>0</v>
      </c>
      <c r="AZ30" s="130">
        <f t="shared" si="13"/>
        <v>0</v>
      </c>
      <c r="BA30" s="130">
        <f t="shared" si="14"/>
        <v>0</v>
      </c>
      <c r="BB30" s="130">
        <f t="shared" si="15"/>
        <v>0</v>
      </c>
      <c r="BC30" s="130">
        <f t="shared" si="16"/>
        <v>0</v>
      </c>
      <c r="BD30" s="130">
        <f t="shared" si="17"/>
        <v>0</v>
      </c>
      <c r="BE30" s="130">
        <f t="shared" si="18"/>
        <v>0</v>
      </c>
      <c r="BF30" s="130">
        <f t="shared" si="19"/>
        <v>0</v>
      </c>
      <c r="BG30" s="130">
        <f t="shared" si="20"/>
        <v>0</v>
      </c>
      <c r="BH30" s="130">
        <f t="shared" si="21"/>
        <v>0</v>
      </c>
      <c r="BI30" s="130">
        <f t="shared" si="22"/>
        <v>0</v>
      </c>
      <c r="BJ30" s="130">
        <f t="shared" si="23"/>
        <v>0</v>
      </c>
      <c r="BK30" s="130">
        <f t="shared" si="24"/>
        <v>-154.88567716533856</v>
      </c>
      <c r="BL30" s="130">
        <f>IF($K30=$L30,$BK30,IF(OR($K30="graphite",$K30="vitreous carbon"),$BK$406+($BM$389+$I30)*$BJ$406,IF($K30="Pyrolytic Boron Nitride","PBN",IF(COUNTIF($BH$396:$BH$416,$K30)&gt;0,VLOOKUP($K30,$BH$396:$BK$416,4,FALSE)+($BM$389+$I30)*VLOOKUP($K30,$BH$396:$BK$416,3,FALSE),IF(COUNTIF($L$2:$L29,$K30)&gt;0,VLOOKUP($K30,$L$2:$BK29,52,FALSE),"idk")))))</f>
        <v>-117.90049202390642</v>
      </c>
      <c r="BM30" s="130">
        <v>20</v>
      </c>
      <c r="BN30" s="130">
        <v>10</v>
      </c>
      <c r="BO30" s="130">
        <v>1.5</v>
      </c>
      <c r="BP30" s="129" t="s">
        <v>228</v>
      </c>
      <c r="BQ30" s="129"/>
      <c r="BR30" s="129" t="s">
        <v>230</v>
      </c>
      <c r="BS30" s="129"/>
      <c r="BT30" s="129">
        <v>0</v>
      </c>
      <c r="BV30" s="129"/>
      <c r="BZ30" s="129"/>
      <c r="DJ30" s="129">
        <v>0</v>
      </c>
      <c r="DK30" s="129">
        <v>0</v>
      </c>
      <c r="DL30" s="129"/>
      <c r="DO30" s="129">
        <v>-0.81</v>
      </c>
      <c r="DS30" s="129"/>
      <c r="DT30" s="4" t="s">
        <v>257</v>
      </c>
      <c r="DU30" s="129"/>
      <c r="DW30" s="129">
        <f>SUM(_2025_01_07T12_47_export3[[#This Row],[Ni_wt]:[H_wt]])</f>
        <v>100</v>
      </c>
      <c r="DY30" s="130">
        <f>SUM($AM30:BJ30)</f>
        <v>100</v>
      </c>
    </row>
    <row r="31" spans="1:129" x14ac:dyDescent="0.25">
      <c r="A31" s="238" t="s">
        <v>258</v>
      </c>
      <c r="B31" s="238">
        <v>39</v>
      </c>
      <c r="C31" s="238" t="s">
        <v>229</v>
      </c>
      <c r="D31" s="238">
        <v>2023</v>
      </c>
      <c r="E31" s="238" t="s">
        <v>253</v>
      </c>
      <c r="F31" s="238" t="s">
        <v>259</v>
      </c>
      <c r="G31" s="238" t="s">
        <v>226</v>
      </c>
      <c r="H31" s="238">
        <v>0</v>
      </c>
      <c r="I31" s="238">
        <v>650</v>
      </c>
      <c r="J31" s="238">
        <v>100</v>
      </c>
      <c r="K31" s="238" t="s">
        <v>55</v>
      </c>
      <c r="L31" s="238" t="s">
        <v>50</v>
      </c>
      <c r="M31" s="238"/>
      <c r="N31" s="238">
        <v>8960000</v>
      </c>
      <c r="O31" s="239"/>
      <c r="P31" s="239">
        <v>100</v>
      </c>
      <c r="Q31" s="239"/>
      <c r="R31" s="239">
        <v>0</v>
      </c>
      <c r="S31" s="239"/>
      <c r="T31" s="239"/>
      <c r="U31" s="239"/>
      <c r="V31" s="239"/>
      <c r="W31" s="239"/>
      <c r="X31" s="239"/>
      <c r="Y31" s="239"/>
      <c r="Z31" s="239"/>
      <c r="AA31" s="239"/>
      <c r="AB31" s="239"/>
      <c r="AC31" s="239"/>
      <c r="AD31" s="239"/>
      <c r="AE31" s="239"/>
      <c r="AF31" s="239"/>
      <c r="AG31" s="239"/>
      <c r="AH31" s="239"/>
      <c r="AI31" s="239"/>
      <c r="AJ31" s="239"/>
      <c r="AK31" s="239"/>
      <c r="AL31" s="239"/>
      <c r="AM31" s="239">
        <f t="shared" si="0"/>
        <v>0</v>
      </c>
      <c r="AN31" s="239">
        <f t="shared" si="1"/>
        <v>100</v>
      </c>
      <c r="AO31" s="239">
        <f t="shared" si="2"/>
        <v>0</v>
      </c>
      <c r="AP31" s="239">
        <f t="shared" si="3"/>
        <v>0</v>
      </c>
      <c r="AQ31" s="239">
        <f t="shared" si="4"/>
        <v>0</v>
      </c>
      <c r="AR31" s="239">
        <f t="shared" si="5"/>
        <v>0</v>
      </c>
      <c r="AS31" s="239">
        <f t="shared" si="6"/>
        <v>0</v>
      </c>
      <c r="AT31" s="239">
        <f t="shared" si="7"/>
        <v>0</v>
      </c>
      <c r="AU31" s="239">
        <f t="shared" si="8"/>
        <v>0</v>
      </c>
      <c r="AV31" s="239">
        <f t="shared" si="9"/>
        <v>0</v>
      </c>
      <c r="AW31" s="239">
        <f t="shared" si="10"/>
        <v>0</v>
      </c>
      <c r="AX31" s="239">
        <f t="shared" si="11"/>
        <v>0</v>
      </c>
      <c r="AY31" s="239">
        <f t="shared" si="12"/>
        <v>0</v>
      </c>
      <c r="AZ31" s="239">
        <f t="shared" si="13"/>
        <v>0</v>
      </c>
      <c r="BA31" s="239">
        <f t="shared" si="14"/>
        <v>0</v>
      </c>
      <c r="BB31" s="239">
        <f t="shared" si="15"/>
        <v>0</v>
      </c>
      <c r="BC31" s="239">
        <f t="shared" si="16"/>
        <v>0</v>
      </c>
      <c r="BD31" s="239">
        <f t="shared" si="17"/>
        <v>0</v>
      </c>
      <c r="BE31" s="239">
        <f t="shared" si="18"/>
        <v>0</v>
      </c>
      <c r="BF31" s="239">
        <f t="shared" si="19"/>
        <v>0</v>
      </c>
      <c r="BG31" s="239">
        <f t="shared" si="20"/>
        <v>0</v>
      </c>
      <c r="BH31" s="239">
        <f t="shared" si="21"/>
        <v>0</v>
      </c>
      <c r="BI31" s="239">
        <f t="shared" si="22"/>
        <v>0</v>
      </c>
      <c r="BJ31" s="239">
        <f t="shared" si="23"/>
        <v>0</v>
      </c>
      <c r="BK31" s="239">
        <f t="shared" si="24"/>
        <v>-151.45537184749173</v>
      </c>
      <c r="BL31" s="239">
        <f>IF($K31=$L31,$BK31,IF(OR($K31="graphite",$K31="vitreous carbon"),$BK$406+($BM$389+$I31)*$BJ$406,IF($K31="Pyrolytic Boron Nitride","PBN",IF(COUNTIF($BH$396:$BH$416,$K31)&gt;0,VLOOKUP($K31,$BH$396:$BK$416,4,FALSE)+($BM$389+$I31)*VLOOKUP($K31,$BH$396:$BK$416,3,FALSE),IF(COUNTIF($L$2:$L30,$K31)&gt;0,VLOOKUP($K31,$L$2:$BK30,52,FALSE),"idk")))))</f>
        <v>-115.93813288350846</v>
      </c>
      <c r="BM31" s="239">
        <v>20</v>
      </c>
      <c r="BN31" s="239">
        <v>10</v>
      </c>
      <c r="BO31" s="239">
        <v>1.5</v>
      </c>
      <c r="BP31" s="238" t="s">
        <v>228</v>
      </c>
      <c r="BQ31" s="238"/>
      <c r="BR31" s="238" t="s">
        <v>230</v>
      </c>
      <c r="BS31" s="238"/>
      <c r="BT31" s="238">
        <v>0</v>
      </c>
      <c r="BU31" s="238"/>
      <c r="BV31" s="238"/>
      <c r="BW31" s="238"/>
      <c r="BX31" s="238"/>
      <c r="BY31" s="238"/>
      <c r="BZ31" s="238"/>
      <c r="CA31" s="238"/>
      <c r="CB31" s="238"/>
      <c r="CC31" s="238"/>
      <c r="CD31" s="238"/>
      <c r="CE31" s="238"/>
      <c r="CF31" s="238"/>
      <c r="CG31" s="238"/>
      <c r="CH31" s="238"/>
      <c r="CI31" s="238"/>
      <c r="CJ31" s="238"/>
      <c r="CK31" s="238"/>
      <c r="CL31" s="238"/>
      <c r="CM31" s="238"/>
      <c r="CN31" s="238"/>
      <c r="CO31" s="238"/>
      <c r="CP31" s="238"/>
      <c r="CQ31" s="238"/>
      <c r="CR31" s="238"/>
      <c r="CS31" s="238"/>
      <c r="CT31" s="238"/>
      <c r="CU31" s="238"/>
      <c r="CV31" s="238"/>
      <c r="CW31" s="238"/>
      <c r="CX31" s="238"/>
      <c r="CY31" s="238"/>
      <c r="CZ31" s="238"/>
      <c r="DA31" s="238"/>
      <c r="DB31" s="238"/>
      <c r="DC31" s="238"/>
      <c r="DD31" s="238"/>
      <c r="DE31" s="238"/>
      <c r="DF31" s="238"/>
      <c r="DG31" s="238"/>
      <c r="DH31" s="238"/>
      <c r="DI31" s="238"/>
      <c r="DJ31" s="238">
        <v>0</v>
      </c>
      <c r="DK31" s="238">
        <v>0</v>
      </c>
      <c r="DL31" s="238"/>
      <c r="DM31" s="238"/>
      <c r="DN31" s="238"/>
      <c r="DO31" s="238">
        <v>-0.95</v>
      </c>
      <c r="DP31" s="238"/>
      <c r="DQ31" s="238"/>
      <c r="DR31" s="238"/>
      <c r="DS31" s="238"/>
      <c r="DT31" s="238"/>
      <c r="DU31" s="238"/>
      <c r="DW31" s="129">
        <f>SUM(_2025_01_07T12_47_export3[[#This Row],[Ni_wt]:[H_wt]])</f>
        <v>100</v>
      </c>
      <c r="DY31" s="130">
        <f>SUM($AM31:BJ31)</f>
        <v>100</v>
      </c>
    </row>
    <row r="32" spans="1:129" x14ac:dyDescent="0.25">
      <c r="A32" s="129" t="s">
        <v>258</v>
      </c>
      <c r="B32" s="129">
        <v>40</v>
      </c>
      <c r="C32" s="129" t="s">
        <v>229</v>
      </c>
      <c r="D32" s="129">
        <v>2023</v>
      </c>
      <c r="E32" s="129" t="s">
        <v>253</v>
      </c>
      <c r="F32" s="129" t="s">
        <v>259</v>
      </c>
      <c r="G32" s="129" t="s">
        <v>226</v>
      </c>
      <c r="H32" s="129">
        <v>0</v>
      </c>
      <c r="I32" s="129">
        <v>650</v>
      </c>
      <c r="J32" s="129">
        <v>500</v>
      </c>
      <c r="K32" s="129" t="s">
        <v>55</v>
      </c>
      <c r="L32" s="129" t="s">
        <v>50</v>
      </c>
      <c r="N32" s="129">
        <v>8960000</v>
      </c>
      <c r="O32" s="130"/>
      <c r="P32" s="130">
        <v>100</v>
      </c>
      <c r="Q32" s="130"/>
      <c r="R32" s="130">
        <v>0</v>
      </c>
      <c r="S32" s="130"/>
      <c r="T32" s="130"/>
      <c r="U32" s="130"/>
      <c r="V32" s="130"/>
      <c r="W32" s="130"/>
      <c r="X32" s="130"/>
      <c r="Y32" s="130"/>
      <c r="Z32" s="130"/>
      <c r="AA32" s="130"/>
      <c r="AB32" s="130"/>
      <c r="AC32" s="130"/>
      <c r="AD32" s="130"/>
      <c r="AE32" s="130"/>
      <c r="AF32" s="130"/>
      <c r="AG32" s="130"/>
      <c r="AH32" s="130"/>
      <c r="AI32" s="130"/>
      <c r="AJ32" s="130"/>
      <c r="AK32" s="130"/>
      <c r="AL32" s="130"/>
      <c r="AM32" s="130">
        <f t="shared" si="0"/>
        <v>0</v>
      </c>
      <c r="AN32" s="130">
        <f t="shared" si="1"/>
        <v>100</v>
      </c>
      <c r="AO32" s="130">
        <f t="shared" si="2"/>
        <v>0</v>
      </c>
      <c r="AP32" s="130">
        <f t="shared" si="3"/>
        <v>0</v>
      </c>
      <c r="AQ32" s="130">
        <f t="shared" si="4"/>
        <v>0</v>
      </c>
      <c r="AR32" s="130">
        <f t="shared" si="5"/>
        <v>0</v>
      </c>
      <c r="AS32" s="130">
        <f t="shared" si="6"/>
        <v>0</v>
      </c>
      <c r="AT32" s="130">
        <f t="shared" si="7"/>
        <v>0</v>
      </c>
      <c r="AU32" s="130">
        <f t="shared" si="8"/>
        <v>0</v>
      </c>
      <c r="AV32" s="130">
        <f t="shared" si="9"/>
        <v>0</v>
      </c>
      <c r="AW32" s="130">
        <f t="shared" si="10"/>
        <v>0</v>
      </c>
      <c r="AX32" s="130">
        <f t="shared" si="11"/>
        <v>0</v>
      </c>
      <c r="AY32" s="130">
        <f t="shared" si="12"/>
        <v>0</v>
      </c>
      <c r="AZ32" s="130">
        <f t="shared" si="13"/>
        <v>0</v>
      </c>
      <c r="BA32" s="130">
        <f t="shared" si="14"/>
        <v>0</v>
      </c>
      <c r="BB32" s="130">
        <f t="shared" si="15"/>
        <v>0</v>
      </c>
      <c r="BC32" s="130">
        <f t="shared" si="16"/>
        <v>0</v>
      </c>
      <c r="BD32" s="130">
        <f t="shared" si="17"/>
        <v>0</v>
      </c>
      <c r="BE32" s="130">
        <f t="shared" si="18"/>
        <v>0</v>
      </c>
      <c r="BF32" s="130">
        <f t="shared" si="19"/>
        <v>0</v>
      </c>
      <c r="BG32" s="130">
        <f t="shared" si="20"/>
        <v>0</v>
      </c>
      <c r="BH32" s="130">
        <f t="shared" si="21"/>
        <v>0</v>
      </c>
      <c r="BI32" s="130">
        <f t="shared" si="22"/>
        <v>0</v>
      </c>
      <c r="BJ32" s="130">
        <f t="shared" si="23"/>
        <v>0</v>
      </c>
      <c r="BK32" s="130">
        <f t="shared" si="24"/>
        <v>-151.45537184749173</v>
      </c>
      <c r="BL32" s="130">
        <f>IF($K32=$L32,$BK32,IF(OR($K32="graphite",$K32="vitreous carbon"),$BK$406+($BM$389+$I32)*$BJ$406,IF($K32="Pyrolytic Boron Nitride","PBN",IF(COUNTIF($BH$396:$BH$416,$K32)&gt;0,VLOOKUP($K32,$BH$396:$BK$416,4,FALSE)+($BM$389+$I32)*VLOOKUP($K32,$BH$396:$BK$416,3,FALSE),IF(COUNTIF($L$2:$L31,$K32)&gt;0,VLOOKUP($K32,$L$2:$BK31,52,FALSE),"idk")))))</f>
        <v>-115.93813288350846</v>
      </c>
      <c r="BM32" s="130">
        <v>20</v>
      </c>
      <c r="BN32" s="130">
        <v>10</v>
      </c>
      <c r="BO32" s="130">
        <v>1.5</v>
      </c>
      <c r="BP32" s="129" t="s">
        <v>228</v>
      </c>
      <c r="BQ32" s="129"/>
      <c r="BR32" s="129" t="s">
        <v>230</v>
      </c>
      <c r="BS32" s="129"/>
      <c r="BT32" s="129">
        <v>0</v>
      </c>
      <c r="BV32" s="129"/>
      <c r="BZ32" s="129"/>
      <c r="DJ32" s="129">
        <v>0</v>
      </c>
      <c r="DK32" s="129">
        <v>0</v>
      </c>
      <c r="DL32" s="129"/>
      <c r="DO32" s="129">
        <v>-1.88</v>
      </c>
      <c r="DS32" s="129"/>
      <c r="DU32" s="129"/>
      <c r="DW32" s="129">
        <f>SUM(_2025_01_07T12_47_export3[[#This Row],[Ni_wt]:[H_wt]])</f>
        <v>100</v>
      </c>
      <c r="DY32" s="130">
        <f>SUM($AM32:BJ32)</f>
        <v>100</v>
      </c>
    </row>
    <row r="33" spans="1:129" x14ac:dyDescent="0.25">
      <c r="A33" s="129" t="s">
        <v>258</v>
      </c>
      <c r="B33" s="129">
        <v>41</v>
      </c>
      <c r="C33" s="129" t="s">
        <v>229</v>
      </c>
      <c r="D33" s="129">
        <v>2023</v>
      </c>
      <c r="E33" s="129" t="s">
        <v>253</v>
      </c>
      <c r="F33" s="129" t="s">
        <v>259</v>
      </c>
      <c r="G33" s="129" t="s">
        <v>226</v>
      </c>
      <c r="H33" s="129">
        <v>0</v>
      </c>
      <c r="I33" s="129">
        <v>650</v>
      </c>
      <c r="J33" s="129">
        <v>2000</v>
      </c>
      <c r="K33" s="129" t="s">
        <v>55</v>
      </c>
      <c r="L33" s="129" t="s">
        <v>50</v>
      </c>
      <c r="N33" s="129">
        <v>8960000</v>
      </c>
      <c r="O33" s="130"/>
      <c r="P33" s="130">
        <v>100</v>
      </c>
      <c r="Q33" s="130"/>
      <c r="R33" s="130">
        <v>0</v>
      </c>
      <c r="S33" s="130"/>
      <c r="T33" s="130"/>
      <c r="U33" s="130"/>
      <c r="V33" s="130"/>
      <c r="W33" s="130"/>
      <c r="X33" s="130"/>
      <c r="Y33" s="130"/>
      <c r="Z33" s="130"/>
      <c r="AA33" s="130"/>
      <c r="AB33" s="130"/>
      <c r="AC33" s="130"/>
      <c r="AD33" s="130"/>
      <c r="AE33" s="130"/>
      <c r="AF33" s="130"/>
      <c r="AG33" s="130"/>
      <c r="AH33" s="130"/>
      <c r="AI33" s="130"/>
      <c r="AJ33" s="130"/>
      <c r="AK33" s="130"/>
      <c r="AL33" s="130"/>
      <c r="AM33" s="130">
        <f t="shared" si="0"/>
        <v>0</v>
      </c>
      <c r="AN33" s="130">
        <f t="shared" si="1"/>
        <v>100</v>
      </c>
      <c r="AO33" s="130">
        <f t="shared" si="2"/>
        <v>0</v>
      </c>
      <c r="AP33" s="130">
        <f t="shared" si="3"/>
        <v>0</v>
      </c>
      <c r="AQ33" s="130">
        <f t="shared" si="4"/>
        <v>0</v>
      </c>
      <c r="AR33" s="130">
        <f t="shared" si="5"/>
        <v>0</v>
      </c>
      <c r="AS33" s="130">
        <f t="shared" si="6"/>
        <v>0</v>
      </c>
      <c r="AT33" s="130">
        <f t="shared" si="7"/>
        <v>0</v>
      </c>
      <c r="AU33" s="130">
        <f t="shared" si="8"/>
        <v>0</v>
      </c>
      <c r="AV33" s="130">
        <f t="shared" si="9"/>
        <v>0</v>
      </c>
      <c r="AW33" s="130">
        <f t="shared" si="10"/>
        <v>0</v>
      </c>
      <c r="AX33" s="130">
        <f t="shared" si="11"/>
        <v>0</v>
      </c>
      <c r="AY33" s="130">
        <f t="shared" si="12"/>
        <v>0</v>
      </c>
      <c r="AZ33" s="130">
        <f t="shared" si="13"/>
        <v>0</v>
      </c>
      <c r="BA33" s="130">
        <f t="shared" si="14"/>
        <v>0</v>
      </c>
      <c r="BB33" s="130">
        <f t="shared" si="15"/>
        <v>0</v>
      </c>
      <c r="BC33" s="130">
        <f t="shared" si="16"/>
        <v>0</v>
      </c>
      <c r="BD33" s="130">
        <f t="shared" si="17"/>
        <v>0</v>
      </c>
      <c r="BE33" s="130">
        <f t="shared" si="18"/>
        <v>0</v>
      </c>
      <c r="BF33" s="130">
        <f t="shared" si="19"/>
        <v>0</v>
      </c>
      <c r="BG33" s="130">
        <f t="shared" si="20"/>
        <v>0</v>
      </c>
      <c r="BH33" s="130">
        <f t="shared" si="21"/>
        <v>0</v>
      </c>
      <c r="BI33" s="130">
        <f t="shared" si="22"/>
        <v>0</v>
      </c>
      <c r="BJ33" s="130">
        <f t="shared" si="23"/>
        <v>0</v>
      </c>
      <c r="BK33" s="130">
        <f t="shared" si="24"/>
        <v>-151.45537184749173</v>
      </c>
      <c r="BL33" s="130">
        <f>IF($K33=$L33,$BK33,IF(OR($K33="graphite",$K33="vitreous carbon"),$BK$406+($BM$389+$I33)*$BJ$406,IF($K33="Pyrolytic Boron Nitride","PBN",IF(COUNTIF($BH$396:$BH$416,$K33)&gt;0,VLOOKUP($K33,$BH$396:$BK$416,4,FALSE)+($BM$389+$I33)*VLOOKUP($K33,$BH$396:$BK$416,3,FALSE),IF(COUNTIF($L$2:$L32,$K33)&gt;0,VLOOKUP($K33,$L$2:$BK32,52,FALSE),"idk")))))</f>
        <v>-115.93813288350846</v>
      </c>
      <c r="BM33" s="130">
        <v>20</v>
      </c>
      <c r="BN33" s="130">
        <v>10</v>
      </c>
      <c r="BO33" s="130">
        <v>1.5</v>
      </c>
      <c r="BP33" s="129" t="s">
        <v>228</v>
      </c>
      <c r="BQ33" s="129"/>
      <c r="BR33" s="129" t="s">
        <v>230</v>
      </c>
      <c r="BS33" s="129"/>
      <c r="BT33" s="129">
        <v>0</v>
      </c>
      <c r="BV33" s="129"/>
      <c r="BZ33" s="129"/>
      <c r="DJ33" s="129">
        <v>0</v>
      </c>
      <c r="DK33" s="129">
        <v>0</v>
      </c>
      <c r="DL33" s="129"/>
      <c r="DO33" s="129">
        <v>-0.96</v>
      </c>
      <c r="DS33" s="129"/>
      <c r="DU33" s="129"/>
      <c r="DW33" s="129">
        <f>SUM(_2025_01_07T12_47_export3[[#This Row],[Ni_wt]:[H_wt]])</f>
        <v>100</v>
      </c>
      <c r="DY33" s="130">
        <f>SUM($AM33:BJ33)</f>
        <v>100</v>
      </c>
    </row>
    <row r="34" spans="1:129" x14ac:dyDescent="0.25">
      <c r="A34" s="238" t="s">
        <v>258</v>
      </c>
      <c r="B34" s="238">
        <v>42</v>
      </c>
      <c r="C34" s="238" t="s">
        <v>229</v>
      </c>
      <c r="D34" s="238">
        <v>2023</v>
      </c>
      <c r="E34" s="238" t="s">
        <v>253</v>
      </c>
      <c r="F34" s="238" t="s">
        <v>259</v>
      </c>
      <c r="G34" s="238" t="s">
        <v>226</v>
      </c>
      <c r="H34" s="238">
        <v>0</v>
      </c>
      <c r="I34" s="238">
        <v>750</v>
      </c>
      <c r="J34" s="238">
        <v>100</v>
      </c>
      <c r="K34" s="238" t="s">
        <v>55</v>
      </c>
      <c r="L34" s="238" t="s">
        <v>50</v>
      </c>
      <c r="M34" s="238"/>
      <c r="N34" s="238">
        <v>8960000</v>
      </c>
      <c r="O34" s="239"/>
      <c r="P34" s="239">
        <v>100</v>
      </c>
      <c r="Q34" s="239"/>
      <c r="R34" s="239">
        <v>0</v>
      </c>
      <c r="S34" s="239"/>
      <c r="T34" s="239"/>
      <c r="U34" s="239"/>
      <c r="V34" s="239"/>
      <c r="W34" s="239"/>
      <c r="X34" s="239"/>
      <c r="Y34" s="239"/>
      <c r="Z34" s="239"/>
      <c r="AA34" s="239"/>
      <c r="AB34" s="239"/>
      <c r="AC34" s="239"/>
      <c r="AD34" s="239"/>
      <c r="AE34" s="239"/>
      <c r="AF34" s="239"/>
      <c r="AG34" s="239"/>
      <c r="AH34" s="239"/>
      <c r="AI34" s="239"/>
      <c r="AJ34" s="239"/>
      <c r="AK34" s="239"/>
      <c r="AL34" s="239"/>
      <c r="AM34" s="239">
        <f t="shared" si="0"/>
        <v>0</v>
      </c>
      <c r="AN34" s="239">
        <f t="shared" si="1"/>
        <v>100</v>
      </c>
      <c r="AO34" s="239">
        <f t="shared" si="2"/>
        <v>0</v>
      </c>
      <c r="AP34" s="239">
        <f t="shared" si="3"/>
        <v>0</v>
      </c>
      <c r="AQ34" s="239">
        <f t="shared" si="4"/>
        <v>0</v>
      </c>
      <c r="AR34" s="239">
        <f t="shared" si="5"/>
        <v>0</v>
      </c>
      <c r="AS34" s="239">
        <f t="shared" si="6"/>
        <v>0</v>
      </c>
      <c r="AT34" s="239">
        <f t="shared" si="7"/>
        <v>0</v>
      </c>
      <c r="AU34" s="239">
        <f t="shared" si="8"/>
        <v>0</v>
      </c>
      <c r="AV34" s="239">
        <f t="shared" si="9"/>
        <v>0</v>
      </c>
      <c r="AW34" s="239">
        <f t="shared" si="10"/>
        <v>0</v>
      </c>
      <c r="AX34" s="239">
        <f t="shared" si="11"/>
        <v>0</v>
      </c>
      <c r="AY34" s="239">
        <f t="shared" si="12"/>
        <v>0</v>
      </c>
      <c r="AZ34" s="239">
        <f t="shared" si="13"/>
        <v>0</v>
      </c>
      <c r="BA34" s="239">
        <f t="shared" si="14"/>
        <v>0</v>
      </c>
      <c r="BB34" s="239">
        <f t="shared" si="15"/>
        <v>0</v>
      </c>
      <c r="BC34" s="239">
        <f t="shared" si="16"/>
        <v>0</v>
      </c>
      <c r="BD34" s="239">
        <f t="shared" si="17"/>
        <v>0</v>
      </c>
      <c r="BE34" s="239">
        <f t="shared" si="18"/>
        <v>0</v>
      </c>
      <c r="BF34" s="239">
        <f t="shared" si="19"/>
        <v>0</v>
      </c>
      <c r="BG34" s="239">
        <f t="shared" si="20"/>
        <v>0</v>
      </c>
      <c r="BH34" s="239">
        <f t="shared" si="21"/>
        <v>0</v>
      </c>
      <c r="BI34" s="239">
        <f t="shared" si="22"/>
        <v>0</v>
      </c>
      <c r="BJ34" s="239">
        <f t="shared" si="23"/>
        <v>0</v>
      </c>
      <c r="BK34" s="239">
        <f t="shared" si="24"/>
        <v>-148.0250665296449</v>
      </c>
      <c r="BL34" s="239">
        <f>IF($K34=$L34,$BK34,IF(OR($K34="graphite",$K34="vitreous carbon"),$BK$406+($BM$389+$I34)*$BJ$406,IF($K34="Pyrolytic Boron Nitride","PBN",IF(COUNTIF($BH$396:$BH$416,$K34)&gt;0,VLOOKUP($K34,$BH$396:$BK$416,4,FALSE)+($BM$389+$I34)*VLOOKUP($K34,$BH$396:$BK$416,3,FALSE),IF(COUNTIF($L$2:$L33,$K34)&gt;0,VLOOKUP($K34,$L$2:$BK33,52,FALSE),"idk")))))</f>
        <v>-113.97577374311049</v>
      </c>
      <c r="BM34" s="239">
        <v>20</v>
      </c>
      <c r="BN34" s="239">
        <v>10</v>
      </c>
      <c r="BO34" s="239">
        <v>1.5</v>
      </c>
      <c r="BP34" s="238" t="s">
        <v>228</v>
      </c>
      <c r="BQ34" s="238"/>
      <c r="BR34" s="238" t="s">
        <v>230</v>
      </c>
      <c r="BS34" s="238"/>
      <c r="BT34" s="238">
        <v>0</v>
      </c>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c r="CU34" s="238"/>
      <c r="CV34" s="238"/>
      <c r="CW34" s="238"/>
      <c r="CX34" s="238"/>
      <c r="CY34" s="238"/>
      <c r="CZ34" s="238"/>
      <c r="DA34" s="238"/>
      <c r="DB34" s="238"/>
      <c r="DC34" s="238"/>
      <c r="DD34" s="238"/>
      <c r="DE34" s="238"/>
      <c r="DF34" s="238"/>
      <c r="DG34" s="238"/>
      <c r="DH34" s="238"/>
      <c r="DI34" s="238"/>
      <c r="DJ34" s="238">
        <v>0</v>
      </c>
      <c r="DK34" s="238">
        <v>0</v>
      </c>
      <c r="DL34" s="238"/>
      <c r="DM34" s="238"/>
      <c r="DN34" s="238"/>
      <c r="DO34" s="238">
        <v>-1.65</v>
      </c>
      <c r="DP34" s="238"/>
      <c r="DQ34" s="238"/>
      <c r="DR34" s="238"/>
      <c r="DS34" s="238"/>
      <c r="DT34" s="238"/>
      <c r="DU34" s="238"/>
      <c r="DW34" s="129">
        <f>SUM(_2025_01_07T12_47_export3[[#This Row],[Ni_wt]:[H_wt]])</f>
        <v>100</v>
      </c>
      <c r="DY34" s="130">
        <f>SUM($AM34:BJ34)</f>
        <v>100</v>
      </c>
    </row>
    <row r="35" spans="1:129" x14ac:dyDescent="0.25">
      <c r="A35" s="129" t="s">
        <v>258</v>
      </c>
      <c r="B35" s="129">
        <v>43</v>
      </c>
      <c r="C35" s="129" t="s">
        <v>229</v>
      </c>
      <c r="D35" s="129">
        <v>2023</v>
      </c>
      <c r="E35" s="129" t="s">
        <v>253</v>
      </c>
      <c r="F35" s="129" t="s">
        <v>259</v>
      </c>
      <c r="G35" s="129" t="s">
        <v>226</v>
      </c>
      <c r="H35" s="129">
        <v>0</v>
      </c>
      <c r="I35" s="129">
        <v>750</v>
      </c>
      <c r="J35" s="129">
        <v>500</v>
      </c>
      <c r="K35" s="129" t="s">
        <v>55</v>
      </c>
      <c r="L35" s="129" t="s">
        <v>50</v>
      </c>
      <c r="N35" s="129">
        <v>8960000</v>
      </c>
      <c r="O35" s="130"/>
      <c r="P35" s="130">
        <v>100</v>
      </c>
      <c r="Q35" s="130"/>
      <c r="R35" s="130">
        <v>0</v>
      </c>
      <c r="S35" s="130"/>
      <c r="T35" s="130"/>
      <c r="U35" s="130"/>
      <c r="V35" s="130"/>
      <c r="W35" s="130"/>
      <c r="X35" s="130"/>
      <c r="Y35" s="130"/>
      <c r="Z35" s="130"/>
      <c r="AA35" s="130"/>
      <c r="AB35" s="130"/>
      <c r="AC35" s="130"/>
      <c r="AD35" s="130"/>
      <c r="AE35" s="130"/>
      <c r="AF35" s="130"/>
      <c r="AG35" s="130"/>
      <c r="AH35" s="130"/>
      <c r="AI35" s="130"/>
      <c r="AJ35" s="130"/>
      <c r="AK35" s="130"/>
      <c r="AL35" s="130"/>
      <c r="AM35" s="130">
        <f t="shared" si="0"/>
        <v>0</v>
      </c>
      <c r="AN35" s="130">
        <f t="shared" si="1"/>
        <v>100</v>
      </c>
      <c r="AO35" s="130">
        <f t="shared" si="2"/>
        <v>0</v>
      </c>
      <c r="AP35" s="130">
        <f t="shared" si="3"/>
        <v>0</v>
      </c>
      <c r="AQ35" s="130">
        <f t="shared" si="4"/>
        <v>0</v>
      </c>
      <c r="AR35" s="130">
        <f t="shared" si="5"/>
        <v>0</v>
      </c>
      <c r="AS35" s="130">
        <f t="shared" si="6"/>
        <v>0</v>
      </c>
      <c r="AT35" s="130">
        <f t="shared" si="7"/>
        <v>0</v>
      </c>
      <c r="AU35" s="130">
        <f t="shared" si="8"/>
        <v>0</v>
      </c>
      <c r="AV35" s="130">
        <f t="shared" si="9"/>
        <v>0</v>
      </c>
      <c r="AW35" s="130">
        <f t="shared" si="10"/>
        <v>0</v>
      </c>
      <c r="AX35" s="130">
        <f t="shared" si="11"/>
        <v>0</v>
      </c>
      <c r="AY35" s="130">
        <f t="shared" si="12"/>
        <v>0</v>
      </c>
      <c r="AZ35" s="130">
        <f t="shared" si="13"/>
        <v>0</v>
      </c>
      <c r="BA35" s="130">
        <f t="shared" si="14"/>
        <v>0</v>
      </c>
      <c r="BB35" s="130">
        <f t="shared" si="15"/>
        <v>0</v>
      </c>
      <c r="BC35" s="130">
        <f t="shared" si="16"/>
        <v>0</v>
      </c>
      <c r="BD35" s="130">
        <f t="shared" si="17"/>
        <v>0</v>
      </c>
      <c r="BE35" s="130">
        <f t="shared" si="18"/>
        <v>0</v>
      </c>
      <c r="BF35" s="130">
        <f t="shared" si="19"/>
        <v>0</v>
      </c>
      <c r="BG35" s="130">
        <f t="shared" si="20"/>
        <v>0</v>
      </c>
      <c r="BH35" s="130">
        <f t="shared" si="21"/>
        <v>0</v>
      </c>
      <c r="BI35" s="130">
        <f t="shared" si="22"/>
        <v>0</v>
      </c>
      <c r="BJ35" s="130">
        <f t="shared" si="23"/>
        <v>0</v>
      </c>
      <c r="BK35" s="130">
        <f t="shared" si="24"/>
        <v>-148.0250665296449</v>
      </c>
      <c r="BL35" s="130">
        <f>IF($K35=$L35,$BK35,IF(OR($K35="graphite",$K35="vitreous carbon"),$BK$406+($BM$389+$I35)*$BJ$406,IF($K35="Pyrolytic Boron Nitride","PBN",IF(COUNTIF($BH$396:$BH$416,$K35)&gt;0,VLOOKUP($K35,$BH$396:$BK$416,4,FALSE)+($BM$389+$I35)*VLOOKUP($K35,$BH$396:$BK$416,3,FALSE),IF(COUNTIF($L$2:$L34,$K35)&gt;0,VLOOKUP($K35,$L$2:$BK34,52,FALSE),"idk")))))</f>
        <v>-113.97577374311049</v>
      </c>
      <c r="BM35" s="130">
        <v>20</v>
      </c>
      <c r="BN35" s="130">
        <v>10</v>
      </c>
      <c r="BO35" s="130">
        <v>1.5</v>
      </c>
      <c r="BP35" s="129" t="s">
        <v>228</v>
      </c>
      <c r="BQ35" s="129"/>
      <c r="BR35" s="129" t="s">
        <v>230</v>
      </c>
      <c r="BS35" s="129"/>
      <c r="BT35" s="129">
        <v>0</v>
      </c>
      <c r="BV35" s="129"/>
      <c r="BZ35" s="129"/>
      <c r="DJ35" s="129">
        <v>0</v>
      </c>
      <c r="DK35" s="129">
        <v>0</v>
      </c>
      <c r="DL35" s="129"/>
      <c r="DO35" s="129">
        <v>-1.97</v>
      </c>
      <c r="DS35" s="129"/>
      <c r="DU35" s="129"/>
      <c r="DW35" s="129">
        <f>SUM(_2025_01_07T12_47_export3[[#This Row],[Ni_wt]:[H_wt]])</f>
        <v>100</v>
      </c>
      <c r="DY35" s="130">
        <f>SUM($AM35:BJ35)</f>
        <v>100</v>
      </c>
    </row>
    <row r="36" spans="1:129" x14ac:dyDescent="0.25">
      <c r="A36" s="129" t="s">
        <v>258</v>
      </c>
      <c r="B36" s="129">
        <v>44</v>
      </c>
      <c r="C36" s="129" t="s">
        <v>229</v>
      </c>
      <c r="D36" s="129">
        <v>2023</v>
      </c>
      <c r="E36" s="129" t="s">
        <v>253</v>
      </c>
      <c r="F36" s="129" t="s">
        <v>259</v>
      </c>
      <c r="G36" s="129" t="s">
        <v>226</v>
      </c>
      <c r="H36" s="129">
        <v>0</v>
      </c>
      <c r="I36" s="129">
        <v>750</v>
      </c>
      <c r="J36" s="129">
        <v>2000</v>
      </c>
      <c r="K36" s="129" t="s">
        <v>55</v>
      </c>
      <c r="L36" s="129" t="s">
        <v>50</v>
      </c>
      <c r="N36" s="129">
        <v>8960000</v>
      </c>
      <c r="O36" s="130"/>
      <c r="P36" s="130">
        <v>100</v>
      </c>
      <c r="Q36" s="130"/>
      <c r="R36" s="130">
        <v>0</v>
      </c>
      <c r="S36" s="130"/>
      <c r="T36" s="130"/>
      <c r="U36" s="130"/>
      <c r="V36" s="130"/>
      <c r="W36" s="130"/>
      <c r="X36" s="130"/>
      <c r="Y36" s="130"/>
      <c r="Z36" s="130"/>
      <c r="AA36" s="130"/>
      <c r="AB36" s="130"/>
      <c r="AC36" s="130"/>
      <c r="AD36" s="130"/>
      <c r="AE36" s="130"/>
      <c r="AF36" s="130"/>
      <c r="AG36" s="130"/>
      <c r="AH36" s="130"/>
      <c r="AI36" s="130"/>
      <c r="AJ36" s="130"/>
      <c r="AK36" s="130"/>
      <c r="AL36" s="130"/>
      <c r="AM36" s="130">
        <f t="shared" si="0"/>
        <v>0</v>
      </c>
      <c r="AN36" s="130">
        <f t="shared" si="1"/>
        <v>100</v>
      </c>
      <c r="AO36" s="130">
        <f t="shared" si="2"/>
        <v>0</v>
      </c>
      <c r="AP36" s="130">
        <f t="shared" si="3"/>
        <v>0</v>
      </c>
      <c r="AQ36" s="130">
        <f t="shared" si="4"/>
        <v>0</v>
      </c>
      <c r="AR36" s="130">
        <f t="shared" si="5"/>
        <v>0</v>
      </c>
      <c r="AS36" s="130">
        <f t="shared" si="6"/>
        <v>0</v>
      </c>
      <c r="AT36" s="130">
        <f t="shared" si="7"/>
        <v>0</v>
      </c>
      <c r="AU36" s="130">
        <f t="shared" si="8"/>
        <v>0</v>
      </c>
      <c r="AV36" s="130">
        <f t="shared" si="9"/>
        <v>0</v>
      </c>
      <c r="AW36" s="130">
        <f t="shared" si="10"/>
        <v>0</v>
      </c>
      <c r="AX36" s="130">
        <f t="shared" si="11"/>
        <v>0</v>
      </c>
      <c r="AY36" s="130">
        <f t="shared" si="12"/>
        <v>0</v>
      </c>
      <c r="AZ36" s="130">
        <f t="shared" si="13"/>
        <v>0</v>
      </c>
      <c r="BA36" s="130">
        <f t="shared" si="14"/>
        <v>0</v>
      </c>
      <c r="BB36" s="130">
        <f t="shared" si="15"/>
        <v>0</v>
      </c>
      <c r="BC36" s="130">
        <f t="shared" si="16"/>
        <v>0</v>
      </c>
      <c r="BD36" s="130">
        <f t="shared" si="17"/>
        <v>0</v>
      </c>
      <c r="BE36" s="130">
        <f t="shared" si="18"/>
        <v>0</v>
      </c>
      <c r="BF36" s="130">
        <f t="shared" si="19"/>
        <v>0</v>
      </c>
      <c r="BG36" s="130">
        <f t="shared" si="20"/>
        <v>0</v>
      </c>
      <c r="BH36" s="130">
        <f t="shared" si="21"/>
        <v>0</v>
      </c>
      <c r="BI36" s="130">
        <f t="shared" si="22"/>
        <v>0</v>
      </c>
      <c r="BJ36" s="130">
        <f t="shared" si="23"/>
        <v>0</v>
      </c>
      <c r="BK36" s="130">
        <f t="shared" si="24"/>
        <v>-148.0250665296449</v>
      </c>
      <c r="BL36" s="130">
        <f>IF($K36=$L36,$BK36,IF(OR($K36="graphite",$K36="vitreous carbon"),$BK$406+($BM$389+$I36)*$BJ$406,IF($K36="Pyrolytic Boron Nitride","PBN",IF(COUNTIF($BH$396:$BH$416,$K36)&gt;0,VLOOKUP($K36,$BH$396:$BK$416,4,FALSE)+($BM$389+$I36)*VLOOKUP($K36,$BH$396:$BK$416,3,FALSE),IF(COUNTIF($L$2:$L35,$K36)&gt;0,VLOOKUP($K36,$L$2:$BK35,52,FALSE),"idk")))))</f>
        <v>-113.97577374311049</v>
      </c>
      <c r="BM36" s="130">
        <v>20</v>
      </c>
      <c r="BN36" s="130">
        <v>10</v>
      </c>
      <c r="BO36" s="130">
        <v>1.5</v>
      </c>
      <c r="BP36" s="129" t="s">
        <v>228</v>
      </c>
      <c r="BQ36" s="129"/>
      <c r="BR36" s="129" t="s">
        <v>230</v>
      </c>
      <c r="BS36" s="129"/>
      <c r="BT36" s="129">
        <v>0</v>
      </c>
      <c r="BV36" s="129"/>
      <c r="BZ36" s="129"/>
      <c r="DJ36" s="129">
        <v>0</v>
      </c>
      <c r="DK36" s="129">
        <v>0</v>
      </c>
      <c r="DL36" s="129"/>
      <c r="DO36" s="129">
        <v>-1.8</v>
      </c>
      <c r="DS36" s="129"/>
      <c r="DU36" s="129"/>
      <c r="DW36" s="129">
        <f>SUM(_2025_01_07T12_47_export3[[#This Row],[Ni_wt]:[H_wt]])</f>
        <v>100</v>
      </c>
      <c r="DY36" s="130">
        <f>SUM($AM36:BJ36)</f>
        <v>100</v>
      </c>
    </row>
    <row r="37" spans="1:129" x14ac:dyDescent="0.25">
      <c r="A37" s="129" t="s">
        <v>258</v>
      </c>
      <c r="B37" s="129">
        <v>45</v>
      </c>
      <c r="C37" s="129" t="s">
        <v>229</v>
      </c>
      <c r="D37" s="129">
        <v>2023</v>
      </c>
      <c r="E37" s="129" t="s">
        <v>253</v>
      </c>
      <c r="F37" s="129" t="s">
        <v>259</v>
      </c>
      <c r="G37" s="129" t="s">
        <v>226</v>
      </c>
      <c r="H37" s="129">
        <v>0</v>
      </c>
      <c r="I37" s="129">
        <v>850</v>
      </c>
      <c r="J37" s="129">
        <v>100</v>
      </c>
      <c r="K37" s="129" t="s">
        <v>55</v>
      </c>
      <c r="L37" s="129" t="s">
        <v>50</v>
      </c>
      <c r="N37" s="129">
        <v>8960000</v>
      </c>
      <c r="O37" s="130"/>
      <c r="P37" s="130">
        <v>100</v>
      </c>
      <c r="Q37" s="130"/>
      <c r="R37" s="130">
        <v>0</v>
      </c>
      <c r="S37" s="130"/>
      <c r="T37" s="130"/>
      <c r="U37" s="130"/>
      <c r="V37" s="130"/>
      <c r="W37" s="130"/>
      <c r="X37" s="130"/>
      <c r="Y37" s="130"/>
      <c r="Z37" s="130"/>
      <c r="AA37" s="130"/>
      <c r="AB37" s="130"/>
      <c r="AC37" s="130"/>
      <c r="AD37" s="130"/>
      <c r="AE37" s="130"/>
      <c r="AF37" s="130"/>
      <c r="AG37" s="130"/>
      <c r="AH37" s="130"/>
      <c r="AI37" s="130"/>
      <c r="AJ37" s="130"/>
      <c r="AK37" s="130"/>
      <c r="AL37" s="130"/>
      <c r="AM37" s="130">
        <f t="shared" si="0"/>
        <v>0</v>
      </c>
      <c r="AN37" s="130">
        <f t="shared" si="1"/>
        <v>100</v>
      </c>
      <c r="AO37" s="130">
        <f t="shared" si="2"/>
        <v>0</v>
      </c>
      <c r="AP37" s="130">
        <f t="shared" si="3"/>
        <v>0</v>
      </c>
      <c r="AQ37" s="130">
        <f t="shared" si="4"/>
        <v>0</v>
      </c>
      <c r="AR37" s="130">
        <f t="shared" si="5"/>
        <v>0</v>
      </c>
      <c r="AS37" s="130">
        <f t="shared" si="6"/>
        <v>0</v>
      </c>
      <c r="AT37" s="130">
        <f t="shared" si="7"/>
        <v>0</v>
      </c>
      <c r="AU37" s="130">
        <f t="shared" si="8"/>
        <v>0</v>
      </c>
      <c r="AV37" s="130">
        <f t="shared" si="9"/>
        <v>0</v>
      </c>
      <c r="AW37" s="130">
        <f t="shared" si="10"/>
        <v>0</v>
      </c>
      <c r="AX37" s="130">
        <f t="shared" si="11"/>
        <v>0</v>
      </c>
      <c r="AY37" s="130">
        <f t="shared" si="12"/>
        <v>0</v>
      </c>
      <c r="AZ37" s="130">
        <f t="shared" si="13"/>
        <v>0</v>
      </c>
      <c r="BA37" s="130">
        <f t="shared" si="14"/>
        <v>0</v>
      </c>
      <c r="BB37" s="130">
        <f t="shared" si="15"/>
        <v>0</v>
      </c>
      <c r="BC37" s="130">
        <f t="shared" si="16"/>
        <v>0</v>
      </c>
      <c r="BD37" s="130">
        <f t="shared" si="17"/>
        <v>0</v>
      </c>
      <c r="BE37" s="130">
        <f t="shared" si="18"/>
        <v>0</v>
      </c>
      <c r="BF37" s="130">
        <f t="shared" si="19"/>
        <v>0</v>
      </c>
      <c r="BG37" s="130">
        <f t="shared" si="20"/>
        <v>0</v>
      </c>
      <c r="BH37" s="130">
        <f t="shared" si="21"/>
        <v>0</v>
      </c>
      <c r="BI37" s="130">
        <f t="shared" si="22"/>
        <v>0</v>
      </c>
      <c r="BJ37" s="130">
        <f t="shared" si="23"/>
        <v>0</v>
      </c>
      <c r="BK37" s="130">
        <f t="shared" si="24"/>
        <v>-144.59476121179804</v>
      </c>
      <c r="BL37" s="130">
        <f>IF($K37=$L37,$BK37,IF(OR($K37="graphite",$K37="vitreous carbon"),$BK$406+($BM$389+$I37)*$BJ$406,IF($K37="Pyrolytic Boron Nitride","PBN",IF(COUNTIF($BH$396:$BH$416,$K37)&gt;0,VLOOKUP($K37,$BH$396:$BK$416,4,FALSE)+($BM$389+$I37)*VLOOKUP($K37,$BH$396:$BK$416,3,FALSE),IF(COUNTIF($L$2:$L36,$K37)&gt;0,VLOOKUP($K37,$L$2:$BK36,52,FALSE),"idk")))))</f>
        <v>-112.01341460271253</v>
      </c>
      <c r="BM37" s="130">
        <v>20</v>
      </c>
      <c r="BN37" s="130">
        <v>10</v>
      </c>
      <c r="BO37" s="130">
        <v>2</v>
      </c>
      <c r="BP37" s="129" t="s">
        <v>228</v>
      </c>
      <c r="BQ37" s="129"/>
      <c r="BR37" s="129" t="s">
        <v>230</v>
      </c>
      <c r="BS37" s="129"/>
      <c r="BT37" s="129">
        <v>0</v>
      </c>
      <c r="BV37" s="129"/>
      <c r="BZ37" s="129"/>
      <c r="DJ37" s="129">
        <v>0</v>
      </c>
      <c r="DK37" s="129">
        <v>0</v>
      </c>
      <c r="DL37" s="129"/>
      <c r="DO37" s="129">
        <v>-2.2400000000000002</v>
      </c>
      <c r="DS37" s="129"/>
      <c r="DU37" s="129"/>
      <c r="DW37" s="129">
        <f>SUM(_2025_01_07T12_47_export3[[#This Row],[Ni_wt]:[H_wt]])</f>
        <v>100</v>
      </c>
      <c r="DY37" s="130">
        <f>SUM($AM37:BJ37)</f>
        <v>100</v>
      </c>
    </row>
    <row r="38" spans="1:129" x14ac:dyDescent="0.25">
      <c r="A38" s="129" t="s">
        <v>258</v>
      </c>
      <c r="B38" s="129">
        <v>46</v>
      </c>
      <c r="C38" s="129" t="s">
        <v>229</v>
      </c>
      <c r="D38" s="129">
        <v>2023</v>
      </c>
      <c r="E38" s="129" t="s">
        <v>253</v>
      </c>
      <c r="F38" s="129" t="s">
        <v>259</v>
      </c>
      <c r="G38" s="129" t="s">
        <v>226</v>
      </c>
      <c r="H38" s="129">
        <v>0</v>
      </c>
      <c r="I38" s="129">
        <v>850</v>
      </c>
      <c r="J38" s="129">
        <v>500</v>
      </c>
      <c r="K38" s="129" t="s">
        <v>55</v>
      </c>
      <c r="L38" s="129" t="s">
        <v>50</v>
      </c>
      <c r="N38" s="129">
        <v>8960000</v>
      </c>
      <c r="O38" s="130"/>
      <c r="P38" s="130">
        <v>100</v>
      </c>
      <c r="Q38" s="130"/>
      <c r="R38" s="130">
        <v>0</v>
      </c>
      <c r="S38" s="130"/>
      <c r="T38" s="130"/>
      <c r="U38" s="130"/>
      <c r="V38" s="130"/>
      <c r="W38" s="130"/>
      <c r="X38" s="130"/>
      <c r="Y38" s="130"/>
      <c r="Z38" s="130"/>
      <c r="AA38" s="130"/>
      <c r="AB38" s="130"/>
      <c r="AC38" s="130"/>
      <c r="AD38" s="130"/>
      <c r="AE38" s="130"/>
      <c r="AF38" s="130"/>
      <c r="AG38" s="130"/>
      <c r="AH38" s="130"/>
      <c r="AI38" s="130"/>
      <c r="AJ38" s="130"/>
      <c r="AK38" s="130"/>
      <c r="AL38" s="130"/>
      <c r="AM38" s="130">
        <f t="shared" si="0"/>
        <v>0</v>
      </c>
      <c r="AN38" s="130">
        <f t="shared" si="1"/>
        <v>100</v>
      </c>
      <c r="AO38" s="130">
        <f t="shared" si="2"/>
        <v>0</v>
      </c>
      <c r="AP38" s="130">
        <f t="shared" si="3"/>
        <v>0</v>
      </c>
      <c r="AQ38" s="130">
        <f t="shared" si="4"/>
        <v>0</v>
      </c>
      <c r="AR38" s="130">
        <f t="shared" si="5"/>
        <v>0</v>
      </c>
      <c r="AS38" s="130">
        <f t="shared" si="6"/>
        <v>0</v>
      </c>
      <c r="AT38" s="130">
        <f t="shared" si="7"/>
        <v>0</v>
      </c>
      <c r="AU38" s="130">
        <f t="shared" si="8"/>
        <v>0</v>
      </c>
      <c r="AV38" s="130">
        <f t="shared" si="9"/>
        <v>0</v>
      </c>
      <c r="AW38" s="130">
        <f t="shared" si="10"/>
        <v>0</v>
      </c>
      <c r="AX38" s="130">
        <f t="shared" si="11"/>
        <v>0</v>
      </c>
      <c r="AY38" s="130">
        <f t="shared" si="12"/>
        <v>0</v>
      </c>
      <c r="AZ38" s="130">
        <f t="shared" si="13"/>
        <v>0</v>
      </c>
      <c r="BA38" s="130">
        <f t="shared" si="14"/>
        <v>0</v>
      </c>
      <c r="BB38" s="130">
        <f t="shared" si="15"/>
        <v>0</v>
      </c>
      <c r="BC38" s="130">
        <f t="shared" si="16"/>
        <v>0</v>
      </c>
      <c r="BD38" s="130">
        <f t="shared" si="17"/>
        <v>0</v>
      </c>
      <c r="BE38" s="130">
        <f t="shared" si="18"/>
        <v>0</v>
      </c>
      <c r="BF38" s="130">
        <f t="shared" si="19"/>
        <v>0</v>
      </c>
      <c r="BG38" s="130">
        <f t="shared" si="20"/>
        <v>0</v>
      </c>
      <c r="BH38" s="130">
        <f t="shared" si="21"/>
        <v>0</v>
      </c>
      <c r="BI38" s="130">
        <f t="shared" si="22"/>
        <v>0</v>
      </c>
      <c r="BJ38" s="130">
        <f t="shared" si="23"/>
        <v>0</v>
      </c>
      <c r="BK38" s="130">
        <f t="shared" si="24"/>
        <v>-144.59476121179804</v>
      </c>
      <c r="BL38" s="130">
        <f>IF($K38=$L38,$BK38,IF(OR($K38="graphite",$K38="vitreous carbon"),$BK$406+($BM$389+$I38)*$BJ$406,IF($K38="Pyrolytic Boron Nitride","PBN",IF(COUNTIF($BH$396:$BH$416,$K38)&gt;0,VLOOKUP($K38,$BH$396:$BK$416,4,FALSE)+($BM$389+$I38)*VLOOKUP($K38,$BH$396:$BK$416,3,FALSE),IF(COUNTIF($L$2:$L37,$K38)&gt;0,VLOOKUP($K38,$L$2:$BK37,52,FALSE),"idk")))))</f>
        <v>-112.01341460271253</v>
      </c>
      <c r="BM38" s="130">
        <v>20</v>
      </c>
      <c r="BN38" s="130">
        <v>10</v>
      </c>
      <c r="BO38" s="130">
        <v>2</v>
      </c>
      <c r="BP38" s="129" t="s">
        <v>228</v>
      </c>
      <c r="BQ38" s="129"/>
      <c r="BR38" s="129" t="s">
        <v>230</v>
      </c>
      <c r="BS38" s="129"/>
      <c r="BT38" s="129">
        <v>0</v>
      </c>
      <c r="BV38" s="129"/>
      <c r="BZ38" s="129"/>
      <c r="DJ38" s="129">
        <v>0</v>
      </c>
      <c r="DK38" s="129">
        <v>0</v>
      </c>
      <c r="DL38" s="129"/>
      <c r="DO38" s="129">
        <v>-5.77</v>
      </c>
      <c r="DS38" s="129"/>
      <c r="DU38" s="129"/>
      <c r="DW38" s="129">
        <f>SUM(_2025_01_07T12_47_export3[[#This Row],[Ni_wt]:[H_wt]])</f>
        <v>100</v>
      </c>
      <c r="DY38" s="130">
        <f>SUM($AM38:BJ38)</f>
        <v>100</v>
      </c>
    </row>
    <row r="39" spans="1:129" x14ac:dyDescent="0.25">
      <c r="A39" s="238" t="s">
        <v>258</v>
      </c>
      <c r="B39" s="238">
        <v>47</v>
      </c>
      <c r="C39" s="238" t="s">
        <v>229</v>
      </c>
      <c r="D39" s="238">
        <v>2023</v>
      </c>
      <c r="E39" s="238" t="s">
        <v>253</v>
      </c>
      <c r="F39" s="238" t="s">
        <v>259</v>
      </c>
      <c r="G39" s="238" t="s">
        <v>226</v>
      </c>
      <c r="H39" s="238">
        <v>0</v>
      </c>
      <c r="I39" s="238">
        <v>850</v>
      </c>
      <c r="J39" s="238">
        <v>2000</v>
      </c>
      <c r="K39" s="238" t="s">
        <v>55</v>
      </c>
      <c r="L39" s="238" t="s">
        <v>50</v>
      </c>
      <c r="M39" s="238"/>
      <c r="N39" s="238">
        <v>8960000</v>
      </c>
      <c r="O39" s="239"/>
      <c r="P39" s="239">
        <v>100</v>
      </c>
      <c r="Q39" s="239"/>
      <c r="R39" s="239">
        <v>0</v>
      </c>
      <c r="S39" s="239"/>
      <c r="T39" s="239"/>
      <c r="U39" s="239"/>
      <c r="V39" s="239"/>
      <c r="W39" s="239"/>
      <c r="X39" s="239"/>
      <c r="Y39" s="239"/>
      <c r="Z39" s="239"/>
      <c r="AA39" s="239"/>
      <c r="AB39" s="239"/>
      <c r="AC39" s="239"/>
      <c r="AD39" s="239"/>
      <c r="AE39" s="239"/>
      <c r="AF39" s="239"/>
      <c r="AG39" s="239"/>
      <c r="AH39" s="239"/>
      <c r="AI39" s="239"/>
      <c r="AJ39" s="239"/>
      <c r="AK39" s="239"/>
      <c r="AL39" s="239"/>
      <c r="AM39" s="239">
        <f t="shared" si="0"/>
        <v>0</v>
      </c>
      <c r="AN39" s="239">
        <f t="shared" si="1"/>
        <v>100</v>
      </c>
      <c r="AO39" s="239">
        <f t="shared" si="2"/>
        <v>0</v>
      </c>
      <c r="AP39" s="239">
        <f t="shared" si="3"/>
        <v>0</v>
      </c>
      <c r="AQ39" s="239">
        <f t="shared" si="4"/>
        <v>0</v>
      </c>
      <c r="AR39" s="239">
        <f t="shared" si="5"/>
        <v>0</v>
      </c>
      <c r="AS39" s="239">
        <f t="shared" si="6"/>
        <v>0</v>
      </c>
      <c r="AT39" s="239">
        <f t="shared" si="7"/>
        <v>0</v>
      </c>
      <c r="AU39" s="239">
        <f t="shared" si="8"/>
        <v>0</v>
      </c>
      <c r="AV39" s="239">
        <f t="shared" si="9"/>
        <v>0</v>
      </c>
      <c r="AW39" s="239">
        <f t="shared" si="10"/>
        <v>0</v>
      </c>
      <c r="AX39" s="239">
        <f t="shared" si="11"/>
        <v>0</v>
      </c>
      <c r="AY39" s="239">
        <f t="shared" si="12"/>
        <v>0</v>
      </c>
      <c r="AZ39" s="239">
        <f t="shared" si="13"/>
        <v>0</v>
      </c>
      <c r="BA39" s="239">
        <f t="shared" si="14"/>
        <v>0</v>
      </c>
      <c r="BB39" s="239">
        <f t="shared" si="15"/>
        <v>0</v>
      </c>
      <c r="BC39" s="239">
        <f t="shared" si="16"/>
        <v>0</v>
      </c>
      <c r="BD39" s="239">
        <f t="shared" si="17"/>
        <v>0</v>
      </c>
      <c r="BE39" s="239">
        <f t="shared" si="18"/>
        <v>0</v>
      </c>
      <c r="BF39" s="239">
        <f t="shared" si="19"/>
        <v>0</v>
      </c>
      <c r="BG39" s="239">
        <f t="shared" si="20"/>
        <v>0</v>
      </c>
      <c r="BH39" s="239">
        <f t="shared" si="21"/>
        <v>0</v>
      </c>
      <c r="BI39" s="239">
        <f t="shared" si="22"/>
        <v>0</v>
      </c>
      <c r="BJ39" s="239">
        <f t="shared" si="23"/>
        <v>0</v>
      </c>
      <c r="BK39" s="239">
        <f t="shared" si="24"/>
        <v>-144.59476121179804</v>
      </c>
      <c r="BL39" s="239">
        <f>IF($K39=$L39,$BK39,IF(OR($K39="graphite",$K39="vitreous carbon"),$BK$406+($BM$389+$I39)*$BJ$406,IF($K39="Pyrolytic Boron Nitride","PBN",IF(COUNTIF($BH$396:$BH$416,$K39)&gt;0,VLOOKUP($K39,$BH$396:$BK$416,4,FALSE)+($BM$389+$I39)*VLOOKUP($K39,$BH$396:$BK$416,3,FALSE),IF(COUNTIF($L$2:$L38,$K39)&gt;0,VLOOKUP($K39,$L$2:$BK38,52,FALSE),"idk")))))</f>
        <v>-112.01341460271253</v>
      </c>
      <c r="BM39" s="239">
        <v>20</v>
      </c>
      <c r="BN39" s="239">
        <v>10</v>
      </c>
      <c r="BO39" s="239">
        <v>2</v>
      </c>
      <c r="BP39" s="238" t="s">
        <v>228</v>
      </c>
      <c r="BQ39" s="238"/>
      <c r="BR39" s="238" t="s">
        <v>230</v>
      </c>
      <c r="BS39" s="238"/>
      <c r="BT39" s="238">
        <v>0</v>
      </c>
      <c r="BU39" s="238"/>
      <c r="BV39" s="238"/>
      <c r="BW39" s="238"/>
      <c r="BX39" s="238"/>
      <c r="BY39" s="238"/>
      <c r="BZ39" s="238"/>
      <c r="CA39" s="238"/>
      <c r="CB39" s="238"/>
      <c r="CC39" s="238"/>
      <c r="CD39" s="238"/>
      <c r="CE39" s="238"/>
      <c r="CF39" s="238"/>
      <c r="CG39" s="238"/>
      <c r="CH39" s="238"/>
      <c r="CI39" s="238"/>
      <c r="CJ39" s="238"/>
      <c r="CK39" s="238"/>
      <c r="CL39" s="238"/>
      <c r="CM39" s="238"/>
      <c r="CN39" s="238"/>
      <c r="CO39" s="238"/>
      <c r="CP39" s="238"/>
      <c r="CQ39" s="238"/>
      <c r="CR39" s="238"/>
      <c r="CS39" s="238"/>
      <c r="CT39" s="238"/>
      <c r="CU39" s="238"/>
      <c r="CV39" s="238"/>
      <c r="CW39" s="238"/>
      <c r="CX39" s="238"/>
      <c r="CY39" s="238"/>
      <c r="CZ39" s="238"/>
      <c r="DA39" s="238"/>
      <c r="DB39" s="238"/>
      <c r="DC39" s="238"/>
      <c r="DD39" s="238"/>
      <c r="DE39" s="238"/>
      <c r="DF39" s="238"/>
      <c r="DG39" s="238"/>
      <c r="DH39" s="238"/>
      <c r="DI39" s="238"/>
      <c r="DJ39" s="238">
        <v>0</v>
      </c>
      <c r="DK39" s="238">
        <v>0</v>
      </c>
      <c r="DL39" s="238"/>
      <c r="DM39" s="238"/>
      <c r="DN39" s="238"/>
      <c r="DO39" s="238">
        <v>-9.1</v>
      </c>
      <c r="DP39" s="238"/>
      <c r="DQ39" s="238"/>
      <c r="DR39" s="238"/>
      <c r="DS39" s="238"/>
      <c r="DT39" s="238"/>
      <c r="DU39" s="238"/>
      <c r="DW39" s="129">
        <f>SUM(_2025_01_07T12_47_export3[[#This Row],[Ni_wt]:[H_wt]])</f>
        <v>100</v>
      </c>
      <c r="DY39" s="130">
        <f>SUM($AM39:BJ39)</f>
        <v>100</v>
      </c>
    </row>
    <row r="40" spans="1:129" x14ac:dyDescent="0.25">
      <c r="A40" s="129" t="s">
        <v>260</v>
      </c>
      <c r="B40" s="129">
        <v>48</v>
      </c>
      <c r="C40" s="129" t="s">
        <v>229</v>
      </c>
      <c r="D40" s="129">
        <v>2023</v>
      </c>
      <c r="E40" s="129" t="s">
        <v>253</v>
      </c>
      <c r="F40" s="129" t="s">
        <v>259</v>
      </c>
      <c r="G40" s="129" t="s">
        <v>226</v>
      </c>
      <c r="H40" s="129">
        <v>0</v>
      </c>
      <c r="I40" s="129">
        <v>550</v>
      </c>
      <c r="J40" s="129">
        <v>100</v>
      </c>
      <c r="K40" s="129" t="s">
        <v>58</v>
      </c>
      <c r="L40" s="129" t="s">
        <v>58</v>
      </c>
      <c r="N40" s="129">
        <v>7874000</v>
      </c>
      <c r="O40" s="130"/>
      <c r="P40" s="130"/>
      <c r="Q40" s="130"/>
      <c r="R40" s="130">
        <v>100</v>
      </c>
      <c r="S40" s="130"/>
      <c r="T40" s="130"/>
      <c r="U40" s="130"/>
      <c r="V40" s="130"/>
      <c r="W40" s="130"/>
      <c r="X40" s="130"/>
      <c r="Y40" s="130"/>
      <c r="Z40" s="130"/>
      <c r="AA40" s="130"/>
      <c r="AB40" s="130"/>
      <c r="AC40" s="130"/>
      <c r="AD40" s="130"/>
      <c r="AE40" s="130"/>
      <c r="AF40" s="130"/>
      <c r="AG40" s="130"/>
      <c r="AH40" s="130"/>
      <c r="AI40" s="130"/>
      <c r="AJ40" s="130"/>
      <c r="AK40" s="130"/>
      <c r="AL40" s="130"/>
      <c r="AM40" s="130">
        <f t="shared" si="0"/>
        <v>0</v>
      </c>
      <c r="AN40" s="130">
        <f t="shared" si="1"/>
        <v>0</v>
      </c>
      <c r="AO40" s="130">
        <f t="shared" si="2"/>
        <v>0</v>
      </c>
      <c r="AP40" s="130">
        <f t="shared" si="3"/>
        <v>100</v>
      </c>
      <c r="AQ40" s="130">
        <f t="shared" si="4"/>
        <v>0</v>
      </c>
      <c r="AR40" s="130">
        <f t="shared" si="5"/>
        <v>0</v>
      </c>
      <c r="AS40" s="130">
        <f t="shared" si="6"/>
        <v>0</v>
      </c>
      <c r="AT40" s="130">
        <f t="shared" si="7"/>
        <v>0</v>
      </c>
      <c r="AU40" s="130">
        <f t="shared" si="8"/>
        <v>0</v>
      </c>
      <c r="AV40" s="130">
        <f t="shared" si="9"/>
        <v>0</v>
      </c>
      <c r="AW40" s="130">
        <f t="shared" si="10"/>
        <v>0</v>
      </c>
      <c r="AX40" s="130">
        <f t="shared" si="11"/>
        <v>0</v>
      </c>
      <c r="AY40" s="130">
        <f t="shared" si="12"/>
        <v>0</v>
      </c>
      <c r="AZ40" s="130">
        <f t="shared" si="13"/>
        <v>0</v>
      </c>
      <c r="BA40" s="130">
        <f t="shared" si="14"/>
        <v>0</v>
      </c>
      <c r="BB40" s="130">
        <f t="shared" si="15"/>
        <v>0</v>
      </c>
      <c r="BC40" s="130">
        <f t="shared" si="16"/>
        <v>0</v>
      </c>
      <c r="BD40" s="130">
        <f t="shared" si="17"/>
        <v>0</v>
      </c>
      <c r="BE40" s="130">
        <f t="shared" si="18"/>
        <v>0</v>
      </c>
      <c r="BF40" s="130">
        <f t="shared" si="19"/>
        <v>0</v>
      </c>
      <c r="BG40" s="130">
        <f t="shared" si="20"/>
        <v>0</v>
      </c>
      <c r="BH40" s="130">
        <f t="shared" si="21"/>
        <v>0</v>
      </c>
      <c r="BI40" s="130">
        <f t="shared" si="22"/>
        <v>0</v>
      </c>
      <c r="BJ40" s="130">
        <f t="shared" si="23"/>
        <v>0</v>
      </c>
      <c r="BK40" s="130">
        <f t="shared" si="24"/>
        <v>-140.81908506289301</v>
      </c>
      <c r="BL40" s="130">
        <f>IF($K40=$L40,$BK40,IF(OR($K40="graphite",$K40="vitreous carbon"),$BK$406+($BM$389+$I40)*$BJ$406,IF($K40="Pyrolytic Boron Nitride","PBN",IF(COUNTIF($BH$396:$BH$416,$K40)&gt;0,VLOOKUP($K40,$BH$396:$BK$416,4,FALSE)+($BM$389+$I40)*VLOOKUP($K40,$BH$396:$BK$416,3,FALSE),IF(COUNTIF($L$2:$L39,$K40)&gt;0,VLOOKUP($K40,$L$2:$BK39,52,FALSE),"idk")))))</f>
        <v>-140.81908506289301</v>
      </c>
      <c r="BM40" s="130">
        <v>20</v>
      </c>
      <c r="BN40" s="130">
        <v>10</v>
      </c>
      <c r="BO40" s="130">
        <v>1.5</v>
      </c>
      <c r="BP40" s="129" t="s">
        <v>228</v>
      </c>
      <c r="BQ40" s="129"/>
      <c r="BR40" s="129" t="s">
        <v>230</v>
      </c>
      <c r="BS40" s="129"/>
      <c r="BT40" s="129">
        <v>0</v>
      </c>
      <c r="BV40" s="129"/>
      <c r="BZ40" s="129"/>
      <c r="DJ40" s="129">
        <v>0</v>
      </c>
      <c r="DK40" s="129">
        <v>0</v>
      </c>
      <c r="DL40" s="129"/>
      <c r="DO40" s="129">
        <v>-0.38</v>
      </c>
      <c r="DS40" s="129"/>
      <c r="DU40" s="129"/>
      <c r="DW40" s="129">
        <f>SUM(_2025_01_07T12_47_export3[[#This Row],[Ni_wt]:[H_wt]])</f>
        <v>100</v>
      </c>
      <c r="DY40" s="130">
        <f>SUM($AM40:BJ40)</f>
        <v>100</v>
      </c>
    </row>
    <row r="41" spans="1:129" x14ac:dyDescent="0.25">
      <c r="A41" s="238" t="s">
        <v>260</v>
      </c>
      <c r="B41" s="238">
        <v>49</v>
      </c>
      <c r="C41" s="238" t="s">
        <v>229</v>
      </c>
      <c r="D41" s="238">
        <v>2023</v>
      </c>
      <c r="E41" s="238" t="s">
        <v>253</v>
      </c>
      <c r="F41" s="238" t="s">
        <v>259</v>
      </c>
      <c r="G41" s="238" t="s">
        <v>226</v>
      </c>
      <c r="H41" s="238">
        <v>0</v>
      </c>
      <c r="I41" s="238">
        <v>550</v>
      </c>
      <c r="J41" s="238">
        <v>500</v>
      </c>
      <c r="K41" s="238" t="s">
        <v>58</v>
      </c>
      <c r="L41" s="238" t="s">
        <v>58</v>
      </c>
      <c r="M41" s="238"/>
      <c r="N41" s="238">
        <v>7874000</v>
      </c>
      <c r="O41" s="239"/>
      <c r="P41" s="239"/>
      <c r="Q41" s="239"/>
      <c r="R41" s="239">
        <v>100</v>
      </c>
      <c r="S41" s="239"/>
      <c r="T41" s="239"/>
      <c r="U41" s="239"/>
      <c r="V41" s="239"/>
      <c r="W41" s="239"/>
      <c r="X41" s="239"/>
      <c r="Y41" s="239"/>
      <c r="Z41" s="239"/>
      <c r="AA41" s="239"/>
      <c r="AB41" s="239"/>
      <c r="AC41" s="239"/>
      <c r="AD41" s="239"/>
      <c r="AE41" s="239"/>
      <c r="AF41" s="239"/>
      <c r="AG41" s="239"/>
      <c r="AH41" s="239"/>
      <c r="AI41" s="239"/>
      <c r="AJ41" s="239"/>
      <c r="AK41" s="239"/>
      <c r="AL41" s="239"/>
      <c r="AM41" s="239">
        <f t="shared" si="0"/>
        <v>0</v>
      </c>
      <c r="AN41" s="239">
        <f t="shared" si="1"/>
        <v>0</v>
      </c>
      <c r="AO41" s="239">
        <f t="shared" si="2"/>
        <v>0</v>
      </c>
      <c r="AP41" s="239">
        <f t="shared" si="3"/>
        <v>100</v>
      </c>
      <c r="AQ41" s="239">
        <f t="shared" si="4"/>
        <v>0</v>
      </c>
      <c r="AR41" s="239">
        <f t="shared" si="5"/>
        <v>0</v>
      </c>
      <c r="AS41" s="239">
        <f t="shared" si="6"/>
        <v>0</v>
      </c>
      <c r="AT41" s="239">
        <f t="shared" si="7"/>
        <v>0</v>
      </c>
      <c r="AU41" s="239">
        <f t="shared" si="8"/>
        <v>0</v>
      </c>
      <c r="AV41" s="239">
        <f t="shared" si="9"/>
        <v>0</v>
      </c>
      <c r="AW41" s="239">
        <f t="shared" si="10"/>
        <v>0</v>
      </c>
      <c r="AX41" s="239">
        <f t="shared" si="11"/>
        <v>0</v>
      </c>
      <c r="AY41" s="239">
        <f t="shared" si="12"/>
        <v>0</v>
      </c>
      <c r="AZ41" s="239">
        <f t="shared" si="13"/>
        <v>0</v>
      </c>
      <c r="BA41" s="239">
        <f t="shared" si="14"/>
        <v>0</v>
      </c>
      <c r="BB41" s="239">
        <f t="shared" si="15"/>
        <v>0</v>
      </c>
      <c r="BC41" s="239">
        <f t="shared" si="16"/>
        <v>0</v>
      </c>
      <c r="BD41" s="239">
        <f t="shared" si="17"/>
        <v>0</v>
      </c>
      <c r="BE41" s="239">
        <f t="shared" si="18"/>
        <v>0</v>
      </c>
      <c r="BF41" s="239">
        <f t="shared" si="19"/>
        <v>0</v>
      </c>
      <c r="BG41" s="239">
        <f t="shared" si="20"/>
        <v>0</v>
      </c>
      <c r="BH41" s="239">
        <f t="shared" si="21"/>
        <v>0</v>
      </c>
      <c r="BI41" s="239">
        <f t="shared" si="22"/>
        <v>0</v>
      </c>
      <c r="BJ41" s="239">
        <f t="shared" si="23"/>
        <v>0</v>
      </c>
      <c r="BK41" s="239">
        <f t="shared" si="24"/>
        <v>-140.81908506289301</v>
      </c>
      <c r="BL41" s="239">
        <f>IF($K41=$L41,$BK41,IF(OR($K41="graphite",$K41="vitreous carbon"),$BK$406+($BM$389+$I41)*$BJ$406,IF($K41="Pyrolytic Boron Nitride","PBN",IF(COUNTIF($BH$396:$BH$416,$K41)&gt;0,VLOOKUP($K41,$BH$396:$BK$416,4,FALSE)+($BM$389+$I41)*VLOOKUP($K41,$BH$396:$BK$416,3,FALSE),IF(COUNTIF($L$2:$L40,$K41)&gt;0,VLOOKUP($K41,$L$2:$BK40,52,FALSE),"idk")))))</f>
        <v>-140.81908506289301</v>
      </c>
      <c r="BM41" s="239">
        <v>20</v>
      </c>
      <c r="BN41" s="239">
        <v>10</v>
      </c>
      <c r="BO41" s="239">
        <v>1.5</v>
      </c>
      <c r="BP41" s="238" t="s">
        <v>228</v>
      </c>
      <c r="BQ41" s="238"/>
      <c r="BR41" s="238" t="s">
        <v>230</v>
      </c>
      <c r="BS41" s="238"/>
      <c r="BT41" s="238">
        <v>0</v>
      </c>
      <c r="BU41" s="238"/>
      <c r="BV41" s="238"/>
      <c r="BW41" s="238"/>
      <c r="BX41" s="238"/>
      <c r="BY41" s="238"/>
      <c r="BZ41" s="238"/>
      <c r="CA41" s="238"/>
      <c r="CB41" s="238"/>
      <c r="CC41" s="238"/>
      <c r="CD41" s="238"/>
      <c r="CE41" s="238"/>
      <c r="CF41" s="238"/>
      <c r="CG41" s="238"/>
      <c r="CH41" s="238"/>
      <c r="CI41" s="238"/>
      <c r="CJ41" s="238"/>
      <c r="CK41" s="238"/>
      <c r="CL41" s="238"/>
      <c r="CM41" s="238"/>
      <c r="CN41" s="238"/>
      <c r="CO41" s="238"/>
      <c r="CP41" s="238"/>
      <c r="CQ41" s="238"/>
      <c r="CR41" s="238"/>
      <c r="CS41" s="238"/>
      <c r="CT41" s="238"/>
      <c r="CU41" s="238"/>
      <c r="CV41" s="238"/>
      <c r="CW41" s="238"/>
      <c r="CX41" s="238"/>
      <c r="CY41" s="238"/>
      <c r="CZ41" s="238"/>
      <c r="DA41" s="238"/>
      <c r="DB41" s="238"/>
      <c r="DC41" s="238"/>
      <c r="DD41" s="238"/>
      <c r="DE41" s="238"/>
      <c r="DF41" s="238"/>
      <c r="DG41" s="238"/>
      <c r="DH41" s="238"/>
      <c r="DI41" s="238"/>
      <c r="DJ41" s="238">
        <v>0</v>
      </c>
      <c r="DK41" s="238">
        <v>0</v>
      </c>
      <c r="DL41" s="238"/>
      <c r="DM41" s="238"/>
      <c r="DN41" s="238"/>
      <c r="DO41" s="238">
        <v>-0.37</v>
      </c>
      <c r="DP41" s="238"/>
      <c r="DQ41" s="238"/>
      <c r="DR41" s="238"/>
      <c r="DS41" s="238"/>
      <c r="DT41" s="238"/>
      <c r="DU41" s="238"/>
      <c r="DW41" s="129">
        <f>SUM(_2025_01_07T12_47_export3[[#This Row],[Ni_wt]:[H_wt]])</f>
        <v>100</v>
      </c>
      <c r="DY41" s="130">
        <f>SUM($AM41:BJ41)</f>
        <v>100</v>
      </c>
    </row>
    <row r="42" spans="1:129" x14ac:dyDescent="0.25">
      <c r="A42" s="238" t="s">
        <v>260</v>
      </c>
      <c r="B42" s="238">
        <v>50</v>
      </c>
      <c r="C42" s="238" t="s">
        <v>229</v>
      </c>
      <c r="D42" s="238">
        <v>2023</v>
      </c>
      <c r="E42" s="238" t="s">
        <v>253</v>
      </c>
      <c r="F42" s="238" t="s">
        <v>259</v>
      </c>
      <c r="G42" s="238" t="s">
        <v>226</v>
      </c>
      <c r="H42" s="238">
        <v>0</v>
      </c>
      <c r="I42" s="238">
        <v>550</v>
      </c>
      <c r="J42" s="238">
        <v>2000</v>
      </c>
      <c r="K42" s="238" t="s">
        <v>58</v>
      </c>
      <c r="L42" s="238" t="s">
        <v>58</v>
      </c>
      <c r="M42" s="238"/>
      <c r="N42" s="238">
        <v>7874000</v>
      </c>
      <c r="O42" s="239"/>
      <c r="P42" s="239"/>
      <c r="Q42" s="239"/>
      <c r="R42" s="239">
        <v>100</v>
      </c>
      <c r="S42" s="239"/>
      <c r="T42" s="239"/>
      <c r="U42" s="239"/>
      <c r="V42" s="239"/>
      <c r="W42" s="239"/>
      <c r="X42" s="239"/>
      <c r="Y42" s="239"/>
      <c r="Z42" s="239"/>
      <c r="AA42" s="239"/>
      <c r="AB42" s="239"/>
      <c r="AC42" s="239"/>
      <c r="AD42" s="239"/>
      <c r="AE42" s="239"/>
      <c r="AF42" s="239"/>
      <c r="AG42" s="239"/>
      <c r="AH42" s="239"/>
      <c r="AI42" s="239"/>
      <c r="AJ42" s="239"/>
      <c r="AK42" s="239"/>
      <c r="AL42" s="239"/>
      <c r="AM42" s="239">
        <f t="shared" si="0"/>
        <v>0</v>
      </c>
      <c r="AN42" s="239">
        <f t="shared" si="1"/>
        <v>0</v>
      </c>
      <c r="AO42" s="239">
        <f t="shared" si="2"/>
        <v>0</v>
      </c>
      <c r="AP42" s="239">
        <f t="shared" si="3"/>
        <v>100</v>
      </c>
      <c r="AQ42" s="239">
        <f t="shared" si="4"/>
        <v>0</v>
      </c>
      <c r="AR42" s="239">
        <f t="shared" si="5"/>
        <v>0</v>
      </c>
      <c r="AS42" s="239">
        <f t="shared" si="6"/>
        <v>0</v>
      </c>
      <c r="AT42" s="239">
        <f t="shared" si="7"/>
        <v>0</v>
      </c>
      <c r="AU42" s="239">
        <f t="shared" si="8"/>
        <v>0</v>
      </c>
      <c r="AV42" s="239">
        <f t="shared" si="9"/>
        <v>0</v>
      </c>
      <c r="AW42" s="239">
        <f t="shared" si="10"/>
        <v>0</v>
      </c>
      <c r="AX42" s="239">
        <f t="shared" si="11"/>
        <v>0</v>
      </c>
      <c r="AY42" s="239">
        <f t="shared" si="12"/>
        <v>0</v>
      </c>
      <c r="AZ42" s="239">
        <f t="shared" si="13"/>
        <v>0</v>
      </c>
      <c r="BA42" s="239">
        <f t="shared" si="14"/>
        <v>0</v>
      </c>
      <c r="BB42" s="239">
        <f t="shared" si="15"/>
        <v>0</v>
      </c>
      <c r="BC42" s="239">
        <f t="shared" si="16"/>
        <v>0</v>
      </c>
      <c r="BD42" s="239">
        <f t="shared" si="17"/>
        <v>0</v>
      </c>
      <c r="BE42" s="239">
        <f t="shared" si="18"/>
        <v>0</v>
      </c>
      <c r="BF42" s="239">
        <f t="shared" si="19"/>
        <v>0</v>
      </c>
      <c r="BG42" s="239">
        <f t="shared" si="20"/>
        <v>0</v>
      </c>
      <c r="BH42" s="239">
        <f t="shared" si="21"/>
        <v>0</v>
      </c>
      <c r="BI42" s="239">
        <f t="shared" si="22"/>
        <v>0</v>
      </c>
      <c r="BJ42" s="239">
        <f t="shared" si="23"/>
        <v>0</v>
      </c>
      <c r="BK42" s="239">
        <f t="shared" si="24"/>
        <v>-140.81908506289301</v>
      </c>
      <c r="BL42" s="239">
        <f>IF($K42=$L42,$BK42,IF(OR($K42="graphite",$K42="vitreous carbon"),$BK$406+($BM$389+$I42)*$BJ$406,IF($K42="Pyrolytic Boron Nitride","PBN",IF(COUNTIF($BH$396:$BH$416,$K42)&gt;0,VLOOKUP($K42,$BH$396:$BK$416,4,FALSE)+($BM$389+$I42)*VLOOKUP($K42,$BH$396:$BK$416,3,FALSE),IF(COUNTIF($L$2:$L41,$K42)&gt;0,VLOOKUP($K42,$L$2:$BK41,52,FALSE),"idk")))))</f>
        <v>-140.81908506289301</v>
      </c>
      <c r="BM42" s="239">
        <v>20</v>
      </c>
      <c r="BN42" s="239">
        <v>10</v>
      </c>
      <c r="BO42" s="239">
        <v>1.5</v>
      </c>
      <c r="BP42" s="238" t="s">
        <v>228</v>
      </c>
      <c r="BQ42" s="238"/>
      <c r="BR42" s="238" t="s">
        <v>230</v>
      </c>
      <c r="BS42" s="238"/>
      <c r="BT42" s="238">
        <v>0</v>
      </c>
      <c r="BU42" s="238"/>
      <c r="BV42" s="238"/>
      <c r="BW42" s="238"/>
      <c r="BX42" s="238"/>
      <c r="BY42" s="238"/>
      <c r="BZ42" s="238"/>
      <c r="CA42" s="238"/>
      <c r="CB42" s="238"/>
      <c r="CC42" s="238"/>
      <c r="CD42" s="238"/>
      <c r="CE42" s="238"/>
      <c r="CF42" s="238"/>
      <c r="CG42" s="238"/>
      <c r="CH42" s="238"/>
      <c r="CI42" s="238"/>
      <c r="CJ42" s="238"/>
      <c r="CK42" s="238"/>
      <c r="CL42" s="238"/>
      <c r="CM42" s="238"/>
      <c r="CN42" s="238"/>
      <c r="CO42" s="238"/>
      <c r="CP42" s="238"/>
      <c r="CQ42" s="238"/>
      <c r="CR42" s="238"/>
      <c r="CS42" s="238"/>
      <c r="CT42" s="238"/>
      <c r="CU42" s="238"/>
      <c r="CV42" s="238"/>
      <c r="CW42" s="238"/>
      <c r="CX42" s="238"/>
      <c r="CY42" s="238"/>
      <c r="CZ42" s="238"/>
      <c r="DA42" s="238"/>
      <c r="DB42" s="238"/>
      <c r="DC42" s="238"/>
      <c r="DD42" s="238"/>
      <c r="DE42" s="238"/>
      <c r="DF42" s="238"/>
      <c r="DG42" s="238"/>
      <c r="DH42" s="238"/>
      <c r="DI42" s="238"/>
      <c r="DJ42" s="238">
        <v>0</v>
      </c>
      <c r="DK42" s="238">
        <v>0</v>
      </c>
      <c r="DL42" s="238"/>
      <c r="DM42" s="238"/>
      <c r="DN42" s="238"/>
      <c r="DO42" s="238">
        <v>-0.38</v>
      </c>
      <c r="DP42" s="238"/>
      <c r="DQ42" s="238"/>
      <c r="DR42" s="238"/>
      <c r="DS42" s="238"/>
      <c r="DT42" s="238"/>
      <c r="DU42" s="238"/>
      <c r="DW42" s="129">
        <f>SUM(_2025_01_07T12_47_export3[[#This Row],[Ni_wt]:[H_wt]])</f>
        <v>100</v>
      </c>
      <c r="DY42" s="130">
        <f>SUM($AM42:BJ42)</f>
        <v>100</v>
      </c>
    </row>
    <row r="43" spans="1:129" x14ac:dyDescent="0.25">
      <c r="A43" s="129" t="s">
        <v>260</v>
      </c>
      <c r="B43" s="129">
        <v>51</v>
      </c>
      <c r="C43" s="129" t="s">
        <v>229</v>
      </c>
      <c r="D43" s="129">
        <v>2023</v>
      </c>
      <c r="E43" s="129" t="s">
        <v>253</v>
      </c>
      <c r="F43" s="129" t="s">
        <v>259</v>
      </c>
      <c r="G43" s="129" t="s">
        <v>226</v>
      </c>
      <c r="H43" s="129">
        <v>0</v>
      </c>
      <c r="I43" s="129">
        <v>650</v>
      </c>
      <c r="J43" s="129">
        <v>100</v>
      </c>
      <c r="K43" s="129" t="s">
        <v>58</v>
      </c>
      <c r="L43" s="129" t="s">
        <v>58</v>
      </c>
      <c r="N43" s="129">
        <v>7874000</v>
      </c>
      <c r="O43" s="130"/>
      <c r="P43" s="130"/>
      <c r="Q43" s="130"/>
      <c r="R43" s="130">
        <v>100</v>
      </c>
      <c r="S43" s="130"/>
      <c r="T43" s="130"/>
      <c r="U43" s="130"/>
      <c r="V43" s="130"/>
      <c r="W43" s="130"/>
      <c r="X43" s="130"/>
      <c r="Y43" s="130"/>
      <c r="Z43" s="130"/>
      <c r="AA43" s="130"/>
      <c r="AB43" s="130"/>
      <c r="AC43" s="130"/>
      <c r="AD43" s="130"/>
      <c r="AE43" s="130"/>
      <c r="AF43" s="130"/>
      <c r="AG43" s="130"/>
      <c r="AH43" s="130"/>
      <c r="AI43" s="130"/>
      <c r="AJ43" s="130"/>
      <c r="AK43" s="130"/>
      <c r="AL43" s="130"/>
      <c r="AM43" s="130">
        <f t="shared" si="0"/>
        <v>0</v>
      </c>
      <c r="AN43" s="130">
        <f t="shared" si="1"/>
        <v>0</v>
      </c>
      <c r="AO43" s="130">
        <f t="shared" si="2"/>
        <v>0</v>
      </c>
      <c r="AP43" s="130">
        <f t="shared" si="3"/>
        <v>100</v>
      </c>
      <c r="AQ43" s="130">
        <f t="shared" si="4"/>
        <v>0</v>
      </c>
      <c r="AR43" s="130">
        <f t="shared" si="5"/>
        <v>0</v>
      </c>
      <c r="AS43" s="130">
        <f t="shared" si="6"/>
        <v>0</v>
      </c>
      <c r="AT43" s="130">
        <f t="shared" si="7"/>
        <v>0</v>
      </c>
      <c r="AU43" s="130">
        <f t="shared" si="8"/>
        <v>0</v>
      </c>
      <c r="AV43" s="130">
        <f t="shared" si="9"/>
        <v>0</v>
      </c>
      <c r="AW43" s="130">
        <f t="shared" si="10"/>
        <v>0</v>
      </c>
      <c r="AX43" s="130">
        <f t="shared" si="11"/>
        <v>0</v>
      </c>
      <c r="AY43" s="130">
        <f t="shared" si="12"/>
        <v>0</v>
      </c>
      <c r="AZ43" s="130">
        <f t="shared" si="13"/>
        <v>0</v>
      </c>
      <c r="BA43" s="130">
        <f t="shared" si="14"/>
        <v>0</v>
      </c>
      <c r="BB43" s="130">
        <f t="shared" si="15"/>
        <v>0</v>
      </c>
      <c r="BC43" s="130">
        <f t="shared" si="16"/>
        <v>0</v>
      </c>
      <c r="BD43" s="130">
        <f t="shared" si="17"/>
        <v>0</v>
      </c>
      <c r="BE43" s="130">
        <f t="shared" si="18"/>
        <v>0</v>
      </c>
      <c r="BF43" s="130">
        <f t="shared" si="19"/>
        <v>0</v>
      </c>
      <c r="BG43" s="130">
        <f t="shared" si="20"/>
        <v>0</v>
      </c>
      <c r="BH43" s="130">
        <f t="shared" si="21"/>
        <v>0</v>
      </c>
      <c r="BI43" s="130">
        <f t="shared" si="22"/>
        <v>0</v>
      </c>
      <c r="BJ43" s="130">
        <f t="shared" si="23"/>
        <v>0</v>
      </c>
      <c r="BK43" s="130">
        <f t="shared" si="24"/>
        <v>-137.62640239466455</v>
      </c>
      <c r="BL43" s="130">
        <f>IF($K43=$L43,$BK43,IF(OR($K43="graphite",$K43="vitreous carbon"),$BK$406+($BM$389+$I43)*$BJ$406,IF($K43="Pyrolytic Boron Nitride","PBN",IF(COUNTIF($BH$396:$BH$416,$K43)&gt;0,VLOOKUP($K43,$BH$396:$BK$416,4,FALSE)+($BM$389+$I43)*VLOOKUP($K43,$BH$396:$BK$416,3,FALSE),IF(COUNTIF($L$2:$L42,$K43)&gt;0,VLOOKUP($K43,$L$2:$BK42,52,FALSE),"idk")))))</f>
        <v>-137.62640239466455</v>
      </c>
      <c r="BM43" s="130">
        <v>20</v>
      </c>
      <c r="BN43" s="130">
        <v>10</v>
      </c>
      <c r="BO43" s="130">
        <v>1.5</v>
      </c>
      <c r="BP43" s="129" t="s">
        <v>228</v>
      </c>
      <c r="BQ43" s="129"/>
      <c r="BR43" s="129" t="s">
        <v>230</v>
      </c>
      <c r="BS43" s="129"/>
      <c r="BT43" s="129">
        <v>0</v>
      </c>
      <c r="BV43" s="129"/>
      <c r="BZ43" s="129"/>
      <c r="DJ43" s="129">
        <v>0</v>
      </c>
      <c r="DK43" s="129">
        <v>0</v>
      </c>
      <c r="DL43" s="129"/>
      <c r="DO43" s="129">
        <v>-0.22</v>
      </c>
      <c r="DS43" s="129"/>
      <c r="DU43" s="129"/>
      <c r="DW43" s="129">
        <f>SUM(_2025_01_07T12_47_export3[[#This Row],[Ni_wt]:[H_wt]])</f>
        <v>100</v>
      </c>
      <c r="DY43" s="130">
        <f>SUM($AM43:BJ43)</f>
        <v>100</v>
      </c>
    </row>
    <row r="44" spans="1:129" x14ac:dyDescent="0.25">
      <c r="A44" s="129" t="s">
        <v>260</v>
      </c>
      <c r="B44" s="129">
        <v>52</v>
      </c>
      <c r="C44" s="129" t="s">
        <v>229</v>
      </c>
      <c r="D44" s="129">
        <v>2023</v>
      </c>
      <c r="E44" s="129" t="s">
        <v>253</v>
      </c>
      <c r="F44" s="129" t="s">
        <v>259</v>
      </c>
      <c r="G44" s="129" t="s">
        <v>226</v>
      </c>
      <c r="H44" s="129">
        <v>0</v>
      </c>
      <c r="I44" s="129">
        <v>650</v>
      </c>
      <c r="J44" s="129">
        <v>500</v>
      </c>
      <c r="K44" s="129" t="s">
        <v>58</v>
      </c>
      <c r="L44" s="129" t="s">
        <v>58</v>
      </c>
      <c r="N44" s="129">
        <v>7874000</v>
      </c>
      <c r="O44" s="130"/>
      <c r="P44" s="130"/>
      <c r="Q44" s="130"/>
      <c r="R44" s="130">
        <v>100</v>
      </c>
      <c r="S44" s="130"/>
      <c r="T44" s="130"/>
      <c r="U44" s="130"/>
      <c r="V44" s="130"/>
      <c r="W44" s="130"/>
      <c r="X44" s="130"/>
      <c r="Y44" s="130"/>
      <c r="Z44" s="130"/>
      <c r="AA44" s="130"/>
      <c r="AB44" s="130"/>
      <c r="AC44" s="130"/>
      <c r="AD44" s="130"/>
      <c r="AE44" s="130"/>
      <c r="AF44" s="130"/>
      <c r="AG44" s="130"/>
      <c r="AH44" s="130"/>
      <c r="AI44" s="130"/>
      <c r="AJ44" s="130"/>
      <c r="AK44" s="130"/>
      <c r="AL44" s="130"/>
      <c r="AM44" s="130">
        <f t="shared" si="0"/>
        <v>0</v>
      </c>
      <c r="AN44" s="130">
        <f t="shared" si="1"/>
        <v>0</v>
      </c>
      <c r="AO44" s="130">
        <f t="shared" si="2"/>
        <v>0</v>
      </c>
      <c r="AP44" s="130">
        <f t="shared" si="3"/>
        <v>100</v>
      </c>
      <c r="AQ44" s="130">
        <f t="shared" si="4"/>
        <v>0</v>
      </c>
      <c r="AR44" s="130">
        <f t="shared" si="5"/>
        <v>0</v>
      </c>
      <c r="AS44" s="130">
        <f t="shared" si="6"/>
        <v>0</v>
      </c>
      <c r="AT44" s="130">
        <f t="shared" si="7"/>
        <v>0</v>
      </c>
      <c r="AU44" s="130">
        <f t="shared" si="8"/>
        <v>0</v>
      </c>
      <c r="AV44" s="130">
        <f t="shared" si="9"/>
        <v>0</v>
      </c>
      <c r="AW44" s="130">
        <f t="shared" si="10"/>
        <v>0</v>
      </c>
      <c r="AX44" s="130">
        <f t="shared" si="11"/>
        <v>0</v>
      </c>
      <c r="AY44" s="130">
        <f t="shared" si="12"/>
        <v>0</v>
      </c>
      <c r="AZ44" s="130">
        <f t="shared" si="13"/>
        <v>0</v>
      </c>
      <c r="BA44" s="130">
        <f t="shared" si="14"/>
        <v>0</v>
      </c>
      <c r="BB44" s="130">
        <f t="shared" si="15"/>
        <v>0</v>
      </c>
      <c r="BC44" s="130">
        <f t="shared" si="16"/>
        <v>0</v>
      </c>
      <c r="BD44" s="130">
        <f t="shared" si="17"/>
        <v>0</v>
      </c>
      <c r="BE44" s="130">
        <f t="shared" si="18"/>
        <v>0</v>
      </c>
      <c r="BF44" s="130">
        <f t="shared" si="19"/>
        <v>0</v>
      </c>
      <c r="BG44" s="130">
        <f t="shared" si="20"/>
        <v>0</v>
      </c>
      <c r="BH44" s="130">
        <f t="shared" si="21"/>
        <v>0</v>
      </c>
      <c r="BI44" s="130">
        <f t="shared" si="22"/>
        <v>0</v>
      </c>
      <c r="BJ44" s="130">
        <f t="shared" si="23"/>
        <v>0</v>
      </c>
      <c r="BK44" s="130">
        <f t="shared" si="24"/>
        <v>-137.62640239466455</v>
      </c>
      <c r="BL44" s="130">
        <f>IF($K44=$L44,$BK44,IF(OR($K44="graphite",$K44="vitreous carbon"),$BK$406+($BM$389+$I44)*$BJ$406,IF($K44="Pyrolytic Boron Nitride","PBN",IF(COUNTIF($BH$396:$BH$416,$K44)&gt;0,VLOOKUP($K44,$BH$396:$BK$416,4,FALSE)+($BM$389+$I44)*VLOOKUP($K44,$BH$396:$BK$416,3,FALSE),IF(COUNTIF($L$2:$L43,$K44)&gt;0,VLOOKUP($K44,$L$2:$BK43,52,FALSE),"idk")))))</f>
        <v>-137.62640239466455</v>
      </c>
      <c r="BM44" s="130">
        <v>20</v>
      </c>
      <c r="BN44" s="130">
        <v>10</v>
      </c>
      <c r="BO44" s="130">
        <v>1.5</v>
      </c>
      <c r="BP44" s="129" t="s">
        <v>228</v>
      </c>
      <c r="BQ44" s="129"/>
      <c r="BR44" s="129" t="s">
        <v>230</v>
      </c>
      <c r="BS44" s="129"/>
      <c r="BT44" s="129">
        <v>0</v>
      </c>
      <c r="BV44" s="129"/>
      <c r="BZ44" s="129"/>
      <c r="DJ44" s="129">
        <v>0</v>
      </c>
      <c r="DK44" s="129">
        <v>0</v>
      </c>
      <c r="DL44" s="129"/>
      <c r="DO44" s="129">
        <v>-0.19</v>
      </c>
      <c r="DS44" s="129"/>
      <c r="DU44" s="129"/>
      <c r="DW44" s="129">
        <f>SUM(_2025_01_07T12_47_export3[[#This Row],[Ni_wt]:[H_wt]])</f>
        <v>100</v>
      </c>
      <c r="DY44" s="130">
        <f>SUM($AM44:BJ44)</f>
        <v>100</v>
      </c>
    </row>
    <row r="45" spans="1:129" x14ac:dyDescent="0.25">
      <c r="A45" s="129" t="s">
        <v>260</v>
      </c>
      <c r="B45" s="129">
        <v>53</v>
      </c>
      <c r="C45" s="129" t="s">
        <v>229</v>
      </c>
      <c r="D45" s="129">
        <v>2023</v>
      </c>
      <c r="E45" s="129" t="s">
        <v>253</v>
      </c>
      <c r="F45" s="129" t="s">
        <v>259</v>
      </c>
      <c r="G45" s="129" t="s">
        <v>226</v>
      </c>
      <c r="H45" s="129">
        <v>0</v>
      </c>
      <c r="I45" s="129">
        <v>650</v>
      </c>
      <c r="J45" s="129">
        <v>2000</v>
      </c>
      <c r="K45" s="129" t="s">
        <v>58</v>
      </c>
      <c r="L45" s="129" t="s">
        <v>58</v>
      </c>
      <c r="N45" s="129">
        <v>7874000</v>
      </c>
      <c r="O45" s="130"/>
      <c r="P45" s="130"/>
      <c r="Q45" s="130"/>
      <c r="R45" s="130">
        <v>100</v>
      </c>
      <c r="S45" s="130"/>
      <c r="T45" s="130"/>
      <c r="U45" s="130"/>
      <c r="V45" s="130"/>
      <c r="W45" s="130"/>
      <c r="X45" s="130"/>
      <c r="Y45" s="130"/>
      <c r="Z45" s="130"/>
      <c r="AA45" s="130"/>
      <c r="AB45" s="130"/>
      <c r="AC45" s="130"/>
      <c r="AD45" s="130"/>
      <c r="AE45" s="130"/>
      <c r="AF45" s="130"/>
      <c r="AG45" s="130"/>
      <c r="AH45" s="130"/>
      <c r="AI45" s="130"/>
      <c r="AJ45" s="130"/>
      <c r="AK45" s="130"/>
      <c r="AL45" s="130"/>
      <c r="AM45" s="130">
        <f t="shared" si="0"/>
        <v>0</v>
      </c>
      <c r="AN45" s="130">
        <f t="shared" si="1"/>
        <v>0</v>
      </c>
      <c r="AO45" s="130">
        <f t="shared" si="2"/>
        <v>0</v>
      </c>
      <c r="AP45" s="130">
        <f t="shared" si="3"/>
        <v>100</v>
      </c>
      <c r="AQ45" s="130">
        <f t="shared" si="4"/>
        <v>0</v>
      </c>
      <c r="AR45" s="130">
        <f t="shared" si="5"/>
        <v>0</v>
      </c>
      <c r="AS45" s="130">
        <f t="shared" si="6"/>
        <v>0</v>
      </c>
      <c r="AT45" s="130">
        <f t="shared" si="7"/>
        <v>0</v>
      </c>
      <c r="AU45" s="130">
        <f t="shared" si="8"/>
        <v>0</v>
      </c>
      <c r="AV45" s="130">
        <f t="shared" si="9"/>
        <v>0</v>
      </c>
      <c r="AW45" s="130">
        <f t="shared" si="10"/>
        <v>0</v>
      </c>
      <c r="AX45" s="130">
        <f t="shared" si="11"/>
        <v>0</v>
      </c>
      <c r="AY45" s="130">
        <f t="shared" si="12"/>
        <v>0</v>
      </c>
      <c r="AZ45" s="130">
        <f t="shared" si="13"/>
        <v>0</v>
      </c>
      <c r="BA45" s="130">
        <f t="shared" si="14"/>
        <v>0</v>
      </c>
      <c r="BB45" s="130">
        <f t="shared" si="15"/>
        <v>0</v>
      </c>
      <c r="BC45" s="130">
        <f t="shared" si="16"/>
        <v>0</v>
      </c>
      <c r="BD45" s="130">
        <f t="shared" si="17"/>
        <v>0</v>
      </c>
      <c r="BE45" s="130">
        <f t="shared" si="18"/>
        <v>0</v>
      </c>
      <c r="BF45" s="130">
        <f t="shared" si="19"/>
        <v>0</v>
      </c>
      <c r="BG45" s="130">
        <f t="shared" si="20"/>
        <v>0</v>
      </c>
      <c r="BH45" s="130">
        <f t="shared" si="21"/>
        <v>0</v>
      </c>
      <c r="BI45" s="130">
        <f t="shared" si="22"/>
        <v>0</v>
      </c>
      <c r="BJ45" s="130">
        <f t="shared" si="23"/>
        <v>0</v>
      </c>
      <c r="BK45" s="130">
        <f t="shared" si="24"/>
        <v>-137.62640239466455</v>
      </c>
      <c r="BL45" s="130">
        <f>IF($K45=$L45,$BK45,IF(OR($K45="graphite",$K45="vitreous carbon"),$BK$406+($BM$389+$I45)*$BJ$406,IF($K45="Pyrolytic Boron Nitride","PBN",IF(COUNTIF($BH$396:$BH$416,$K45)&gt;0,VLOOKUP($K45,$BH$396:$BK$416,4,FALSE)+($BM$389+$I45)*VLOOKUP($K45,$BH$396:$BK$416,3,FALSE),IF(COUNTIF($L$2:$L44,$K45)&gt;0,VLOOKUP($K45,$L$2:$BK44,52,FALSE),"idk")))))</f>
        <v>-137.62640239466455</v>
      </c>
      <c r="BM45" s="130">
        <v>20</v>
      </c>
      <c r="BN45" s="130">
        <v>10</v>
      </c>
      <c r="BO45" s="130">
        <v>1.5</v>
      </c>
      <c r="BP45" s="129" t="s">
        <v>228</v>
      </c>
      <c r="BQ45" s="129"/>
      <c r="BR45" s="129" t="s">
        <v>230</v>
      </c>
      <c r="BS45" s="129"/>
      <c r="BT45" s="129">
        <v>0</v>
      </c>
      <c r="BV45" s="129"/>
      <c r="BZ45" s="129"/>
      <c r="DJ45" s="129">
        <v>0</v>
      </c>
      <c r="DK45" s="129">
        <v>0</v>
      </c>
      <c r="DL45" s="129"/>
      <c r="DO45" s="129">
        <v>-0.25</v>
      </c>
      <c r="DS45" s="129"/>
      <c r="DU45" s="129"/>
      <c r="DW45" s="129">
        <f>SUM(_2025_01_07T12_47_export3[[#This Row],[Ni_wt]:[H_wt]])</f>
        <v>100</v>
      </c>
      <c r="DY45" s="130">
        <f>SUM($AM45:BJ45)</f>
        <v>100</v>
      </c>
    </row>
    <row r="46" spans="1:129" x14ac:dyDescent="0.25">
      <c r="A46" s="129" t="s">
        <v>260</v>
      </c>
      <c r="B46" s="129">
        <v>54</v>
      </c>
      <c r="C46" s="129" t="s">
        <v>229</v>
      </c>
      <c r="D46" s="129">
        <v>2023</v>
      </c>
      <c r="E46" s="129" t="s">
        <v>253</v>
      </c>
      <c r="F46" s="129" t="s">
        <v>259</v>
      </c>
      <c r="G46" s="129" t="s">
        <v>226</v>
      </c>
      <c r="H46" s="129">
        <v>0</v>
      </c>
      <c r="I46" s="129">
        <v>750</v>
      </c>
      <c r="J46" s="129">
        <v>100</v>
      </c>
      <c r="K46" s="129" t="s">
        <v>58</v>
      </c>
      <c r="L46" s="129" t="s">
        <v>58</v>
      </c>
      <c r="N46" s="129">
        <v>7874000</v>
      </c>
      <c r="O46" s="130"/>
      <c r="P46" s="130"/>
      <c r="Q46" s="130"/>
      <c r="R46" s="130">
        <v>100</v>
      </c>
      <c r="S46" s="130"/>
      <c r="T46" s="130"/>
      <c r="U46" s="130"/>
      <c r="V46" s="130"/>
      <c r="W46" s="130"/>
      <c r="X46" s="130"/>
      <c r="Y46" s="130"/>
      <c r="Z46" s="130"/>
      <c r="AA46" s="130"/>
      <c r="AB46" s="130"/>
      <c r="AC46" s="130"/>
      <c r="AD46" s="130"/>
      <c r="AE46" s="130"/>
      <c r="AF46" s="130"/>
      <c r="AG46" s="130"/>
      <c r="AH46" s="130"/>
      <c r="AI46" s="130"/>
      <c r="AJ46" s="130"/>
      <c r="AK46" s="130"/>
      <c r="AL46" s="130"/>
      <c r="AM46" s="130">
        <f t="shared" si="0"/>
        <v>0</v>
      </c>
      <c r="AN46" s="130">
        <f t="shared" si="1"/>
        <v>0</v>
      </c>
      <c r="AO46" s="130">
        <f t="shared" si="2"/>
        <v>0</v>
      </c>
      <c r="AP46" s="130">
        <f t="shared" si="3"/>
        <v>100</v>
      </c>
      <c r="AQ46" s="130">
        <f t="shared" si="4"/>
        <v>0</v>
      </c>
      <c r="AR46" s="130">
        <f t="shared" si="5"/>
        <v>0</v>
      </c>
      <c r="AS46" s="130">
        <f t="shared" si="6"/>
        <v>0</v>
      </c>
      <c r="AT46" s="130">
        <f t="shared" si="7"/>
        <v>0</v>
      </c>
      <c r="AU46" s="130">
        <f t="shared" si="8"/>
        <v>0</v>
      </c>
      <c r="AV46" s="130">
        <f t="shared" si="9"/>
        <v>0</v>
      </c>
      <c r="AW46" s="130">
        <f t="shared" si="10"/>
        <v>0</v>
      </c>
      <c r="AX46" s="130">
        <f t="shared" si="11"/>
        <v>0</v>
      </c>
      <c r="AY46" s="130">
        <f t="shared" si="12"/>
        <v>0</v>
      </c>
      <c r="AZ46" s="130">
        <f t="shared" si="13"/>
        <v>0</v>
      </c>
      <c r="BA46" s="130">
        <f t="shared" si="14"/>
        <v>0</v>
      </c>
      <c r="BB46" s="130">
        <f t="shared" si="15"/>
        <v>0</v>
      </c>
      <c r="BC46" s="130">
        <f t="shared" si="16"/>
        <v>0</v>
      </c>
      <c r="BD46" s="130">
        <f t="shared" si="17"/>
        <v>0</v>
      </c>
      <c r="BE46" s="130">
        <f t="shared" si="18"/>
        <v>0</v>
      </c>
      <c r="BF46" s="130">
        <f t="shared" si="19"/>
        <v>0</v>
      </c>
      <c r="BG46" s="130">
        <f t="shared" si="20"/>
        <v>0</v>
      </c>
      <c r="BH46" s="130">
        <f t="shared" si="21"/>
        <v>0</v>
      </c>
      <c r="BI46" s="130">
        <f t="shared" si="22"/>
        <v>0</v>
      </c>
      <c r="BJ46" s="130">
        <f t="shared" si="23"/>
        <v>0</v>
      </c>
      <c r="BK46" s="130">
        <f t="shared" si="24"/>
        <v>-134.4337197264361</v>
      </c>
      <c r="BL46" s="130">
        <f>IF($K46=$L46,$BK46,IF(OR($K46="graphite",$K46="vitreous carbon"),$BK$406+($BM$389+$I46)*$BJ$406,IF($K46="Pyrolytic Boron Nitride","PBN",IF(COUNTIF($BH$396:$BH$416,$K46)&gt;0,VLOOKUP($K46,$BH$396:$BK$416,4,FALSE)+($BM$389+$I46)*VLOOKUP($K46,$BH$396:$BK$416,3,FALSE),IF(COUNTIF($L$2:$L45,$K46)&gt;0,VLOOKUP($K46,$L$2:$BK45,52,FALSE),"idk")))))</f>
        <v>-134.4337197264361</v>
      </c>
      <c r="BM46" s="130">
        <v>20</v>
      </c>
      <c r="BN46" s="130">
        <v>10</v>
      </c>
      <c r="BO46" s="130">
        <v>1.5</v>
      </c>
      <c r="BP46" s="129" t="s">
        <v>228</v>
      </c>
      <c r="BQ46" s="129"/>
      <c r="BR46" s="129" t="s">
        <v>230</v>
      </c>
      <c r="BS46" s="129"/>
      <c r="BT46" s="129">
        <v>0</v>
      </c>
      <c r="BV46" s="129"/>
      <c r="BZ46" s="129"/>
      <c r="DJ46" s="129">
        <v>0</v>
      </c>
      <c r="DK46" s="129">
        <v>0</v>
      </c>
      <c r="DL46" s="129"/>
      <c r="DO46" s="129">
        <v>-0.19</v>
      </c>
      <c r="DS46" s="129"/>
      <c r="DU46" s="129"/>
      <c r="DW46" s="129">
        <f>SUM(_2025_01_07T12_47_export3[[#This Row],[Ni_wt]:[H_wt]])</f>
        <v>100</v>
      </c>
      <c r="DY46" s="130">
        <f>SUM($AM46:BJ46)</f>
        <v>100</v>
      </c>
    </row>
    <row r="47" spans="1:129" x14ac:dyDescent="0.25">
      <c r="A47" s="129" t="s">
        <v>260</v>
      </c>
      <c r="B47" s="129">
        <v>55</v>
      </c>
      <c r="C47" s="129" t="s">
        <v>229</v>
      </c>
      <c r="D47" s="129">
        <v>2023</v>
      </c>
      <c r="E47" s="129" t="s">
        <v>253</v>
      </c>
      <c r="F47" s="129" t="s">
        <v>259</v>
      </c>
      <c r="G47" s="129" t="s">
        <v>226</v>
      </c>
      <c r="H47" s="129">
        <v>0</v>
      </c>
      <c r="I47" s="129">
        <v>750</v>
      </c>
      <c r="J47" s="129">
        <v>500</v>
      </c>
      <c r="K47" s="129" t="s">
        <v>58</v>
      </c>
      <c r="L47" s="129" t="s">
        <v>58</v>
      </c>
      <c r="N47" s="129">
        <v>7874000</v>
      </c>
      <c r="O47" s="130"/>
      <c r="P47" s="130"/>
      <c r="Q47" s="130"/>
      <c r="R47" s="130">
        <v>100</v>
      </c>
      <c r="S47" s="130"/>
      <c r="T47" s="130"/>
      <c r="U47" s="130"/>
      <c r="V47" s="130"/>
      <c r="W47" s="130"/>
      <c r="X47" s="130"/>
      <c r="Y47" s="130"/>
      <c r="Z47" s="130"/>
      <c r="AA47" s="130"/>
      <c r="AB47" s="130"/>
      <c r="AC47" s="130"/>
      <c r="AD47" s="130"/>
      <c r="AE47" s="130"/>
      <c r="AF47" s="130"/>
      <c r="AG47" s="130"/>
      <c r="AH47" s="130"/>
      <c r="AI47" s="130"/>
      <c r="AJ47" s="130"/>
      <c r="AK47" s="130"/>
      <c r="AL47" s="130"/>
      <c r="AM47" s="130">
        <f t="shared" si="0"/>
        <v>0</v>
      </c>
      <c r="AN47" s="130">
        <f t="shared" si="1"/>
        <v>0</v>
      </c>
      <c r="AO47" s="130">
        <f t="shared" si="2"/>
        <v>0</v>
      </c>
      <c r="AP47" s="130">
        <f t="shared" si="3"/>
        <v>100</v>
      </c>
      <c r="AQ47" s="130">
        <f t="shared" si="4"/>
        <v>0</v>
      </c>
      <c r="AR47" s="130">
        <f t="shared" si="5"/>
        <v>0</v>
      </c>
      <c r="AS47" s="130">
        <f t="shared" si="6"/>
        <v>0</v>
      </c>
      <c r="AT47" s="130">
        <f t="shared" si="7"/>
        <v>0</v>
      </c>
      <c r="AU47" s="130">
        <f t="shared" si="8"/>
        <v>0</v>
      </c>
      <c r="AV47" s="130">
        <f t="shared" si="9"/>
        <v>0</v>
      </c>
      <c r="AW47" s="130">
        <f t="shared" si="10"/>
        <v>0</v>
      </c>
      <c r="AX47" s="130">
        <f t="shared" si="11"/>
        <v>0</v>
      </c>
      <c r="AY47" s="130">
        <f t="shared" si="12"/>
        <v>0</v>
      </c>
      <c r="AZ47" s="130">
        <f t="shared" si="13"/>
        <v>0</v>
      </c>
      <c r="BA47" s="130">
        <f t="shared" si="14"/>
        <v>0</v>
      </c>
      <c r="BB47" s="130">
        <f t="shared" si="15"/>
        <v>0</v>
      </c>
      <c r="BC47" s="130">
        <f t="shared" si="16"/>
        <v>0</v>
      </c>
      <c r="BD47" s="130">
        <f t="shared" si="17"/>
        <v>0</v>
      </c>
      <c r="BE47" s="130">
        <f t="shared" si="18"/>
        <v>0</v>
      </c>
      <c r="BF47" s="130">
        <f t="shared" si="19"/>
        <v>0</v>
      </c>
      <c r="BG47" s="130">
        <f t="shared" si="20"/>
        <v>0</v>
      </c>
      <c r="BH47" s="130">
        <f t="shared" si="21"/>
        <v>0</v>
      </c>
      <c r="BI47" s="130">
        <f t="shared" si="22"/>
        <v>0</v>
      </c>
      <c r="BJ47" s="130">
        <f t="shared" si="23"/>
        <v>0</v>
      </c>
      <c r="BK47" s="130">
        <f t="shared" si="24"/>
        <v>-134.4337197264361</v>
      </c>
      <c r="BL47" s="130">
        <f>IF($K47=$L47,$BK47,IF(OR($K47="graphite",$K47="vitreous carbon"),$BK$406+($BM$389+$I47)*$BJ$406,IF($K47="Pyrolytic Boron Nitride","PBN",IF(COUNTIF($BH$396:$BH$416,$K47)&gt;0,VLOOKUP($K47,$BH$396:$BK$416,4,FALSE)+($BM$389+$I47)*VLOOKUP($K47,$BH$396:$BK$416,3,FALSE),IF(COUNTIF($L$2:$L46,$K47)&gt;0,VLOOKUP($K47,$L$2:$BK46,52,FALSE),"idk")))))</f>
        <v>-134.4337197264361</v>
      </c>
      <c r="BM47" s="130">
        <v>20</v>
      </c>
      <c r="BN47" s="130">
        <v>10</v>
      </c>
      <c r="BO47" s="130">
        <v>1.5</v>
      </c>
      <c r="BP47" s="129" t="s">
        <v>228</v>
      </c>
      <c r="BQ47" s="129"/>
      <c r="BR47" s="129" t="s">
        <v>230</v>
      </c>
      <c r="BS47" s="129"/>
      <c r="BT47" s="129">
        <v>0</v>
      </c>
      <c r="BV47" s="129"/>
      <c r="BZ47" s="129"/>
      <c r="DJ47" s="129">
        <v>0</v>
      </c>
      <c r="DK47" s="129">
        <v>0</v>
      </c>
      <c r="DL47" s="129"/>
      <c r="DO47" s="129">
        <v>-7.0000000000000007E-2</v>
      </c>
      <c r="DS47" s="129"/>
      <c r="DU47" s="129"/>
      <c r="DW47" s="129">
        <f>SUM(_2025_01_07T12_47_export3[[#This Row],[Ni_wt]:[H_wt]])</f>
        <v>100</v>
      </c>
      <c r="DY47" s="130">
        <f>SUM($AM47:BJ47)</f>
        <v>100</v>
      </c>
    </row>
    <row r="48" spans="1:129" x14ac:dyDescent="0.25">
      <c r="A48" s="238" t="s">
        <v>260</v>
      </c>
      <c r="B48" s="238">
        <v>56</v>
      </c>
      <c r="C48" s="238" t="s">
        <v>229</v>
      </c>
      <c r="D48" s="238">
        <v>2023</v>
      </c>
      <c r="E48" s="238" t="s">
        <v>253</v>
      </c>
      <c r="F48" s="238" t="s">
        <v>259</v>
      </c>
      <c r="G48" s="238" t="s">
        <v>226</v>
      </c>
      <c r="H48" s="238">
        <v>0</v>
      </c>
      <c r="I48" s="238">
        <v>750</v>
      </c>
      <c r="J48" s="238">
        <v>2000</v>
      </c>
      <c r="K48" s="238" t="s">
        <v>58</v>
      </c>
      <c r="L48" s="238" t="s">
        <v>58</v>
      </c>
      <c r="M48" s="238"/>
      <c r="N48" s="238">
        <v>7874000</v>
      </c>
      <c r="O48" s="239"/>
      <c r="P48" s="239"/>
      <c r="Q48" s="239"/>
      <c r="R48" s="239">
        <v>100</v>
      </c>
      <c r="S48" s="239"/>
      <c r="T48" s="239"/>
      <c r="U48" s="239"/>
      <c r="V48" s="239"/>
      <c r="W48" s="239"/>
      <c r="X48" s="239"/>
      <c r="Y48" s="239"/>
      <c r="Z48" s="239"/>
      <c r="AA48" s="239"/>
      <c r="AB48" s="239"/>
      <c r="AC48" s="239"/>
      <c r="AD48" s="239"/>
      <c r="AE48" s="239"/>
      <c r="AF48" s="239"/>
      <c r="AG48" s="239"/>
      <c r="AH48" s="239"/>
      <c r="AI48" s="239"/>
      <c r="AJ48" s="239"/>
      <c r="AK48" s="239"/>
      <c r="AL48" s="239"/>
      <c r="AM48" s="239">
        <f t="shared" si="0"/>
        <v>0</v>
      </c>
      <c r="AN48" s="239">
        <f t="shared" si="1"/>
        <v>0</v>
      </c>
      <c r="AO48" s="239">
        <f t="shared" si="2"/>
        <v>0</v>
      </c>
      <c r="AP48" s="239">
        <f t="shared" si="3"/>
        <v>100</v>
      </c>
      <c r="AQ48" s="239">
        <f t="shared" si="4"/>
        <v>0</v>
      </c>
      <c r="AR48" s="239">
        <f t="shared" si="5"/>
        <v>0</v>
      </c>
      <c r="AS48" s="239">
        <f t="shared" si="6"/>
        <v>0</v>
      </c>
      <c r="AT48" s="239">
        <f t="shared" si="7"/>
        <v>0</v>
      </c>
      <c r="AU48" s="239">
        <f t="shared" si="8"/>
        <v>0</v>
      </c>
      <c r="AV48" s="239">
        <f t="shared" si="9"/>
        <v>0</v>
      </c>
      <c r="AW48" s="239">
        <f t="shared" si="10"/>
        <v>0</v>
      </c>
      <c r="AX48" s="239">
        <f t="shared" si="11"/>
        <v>0</v>
      </c>
      <c r="AY48" s="239">
        <f t="shared" si="12"/>
        <v>0</v>
      </c>
      <c r="AZ48" s="239">
        <f t="shared" si="13"/>
        <v>0</v>
      </c>
      <c r="BA48" s="239">
        <f t="shared" si="14"/>
        <v>0</v>
      </c>
      <c r="BB48" s="239">
        <f t="shared" si="15"/>
        <v>0</v>
      </c>
      <c r="BC48" s="239">
        <f t="shared" si="16"/>
        <v>0</v>
      </c>
      <c r="BD48" s="239">
        <f t="shared" si="17"/>
        <v>0</v>
      </c>
      <c r="BE48" s="239">
        <f t="shared" si="18"/>
        <v>0</v>
      </c>
      <c r="BF48" s="239">
        <f t="shared" si="19"/>
        <v>0</v>
      </c>
      <c r="BG48" s="239">
        <f t="shared" si="20"/>
        <v>0</v>
      </c>
      <c r="BH48" s="239">
        <f t="shared" si="21"/>
        <v>0</v>
      </c>
      <c r="BI48" s="239">
        <f t="shared" si="22"/>
        <v>0</v>
      </c>
      <c r="BJ48" s="239">
        <f t="shared" si="23"/>
        <v>0</v>
      </c>
      <c r="BK48" s="239">
        <f t="shared" si="24"/>
        <v>-134.4337197264361</v>
      </c>
      <c r="BL48" s="239">
        <f>IF($K48=$L48,$BK48,IF(OR($K48="graphite",$K48="vitreous carbon"),$BK$406+($BM$389+$I48)*$BJ$406,IF($K48="Pyrolytic Boron Nitride","PBN",IF(COUNTIF($BH$396:$BH$416,$K48)&gt;0,VLOOKUP($K48,$BH$396:$BK$416,4,FALSE)+($BM$389+$I48)*VLOOKUP($K48,$BH$396:$BK$416,3,FALSE),IF(COUNTIF($L$2:$L47,$K48)&gt;0,VLOOKUP($K48,$L$2:$BK47,52,FALSE),"idk")))))</f>
        <v>-134.4337197264361</v>
      </c>
      <c r="BM48" s="239">
        <v>20</v>
      </c>
      <c r="BN48" s="239">
        <v>10</v>
      </c>
      <c r="BO48" s="239">
        <v>1.5</v>
      </c>
      <c r="BP48" s="238" t="s">
        <v>228</v>
      </c>
      <c r="BQ48" s="238"/>
      <c r="BR48" s="238" t="s">
        <v>230</v>
      </c>
      <c r="BS48" s="238"/>
      <c r="BT48" s="238">
        <v>0</v>
      </c>
      <c r="BU48" s="238"/>
      <c r="BV48" s="238"/>
      <c r="BW48" s="238"/>
      <c r="BX48" s="238"/>
      <c r="BY48" s="238"/>
      <c r="BZ48" s="238"/>
      <c r="CA48" s="238"/>
      <c r="CB48" s="238"/>
      <c r="CC48" s="238"/>
      <c r="CD48" s="238"/>
      <c r="CE48" s="238"/>
      <c r="CF48" s="238"/>
      <c r="CG48" s="238"/>
      <c r="CH48" s="238"/>
      <c r="CI48" s="238"/>
      <c r="CJ48" s="238"/>
      <c r="CK48" s="238"/>
      <c r="CL48" s="238"/>
      <c r="CM48" s="238"/>
      <c r="CN48" s="238"/>
      <c r="CO48" s="238"/>
      <c r="CP48" s="238"/>
      <c r="CQ48" s="238"/>
      <c r="CR48" s="238"/>
      <c r="CS48" s="238"/>
      <c r="CT48" s="238"/>
      <c r="CU48" s="238"/>
      <c r="CV48" s="238"/>
      <c r="CW48" s="238"/>
      <c r="CX48" s="238"/>
      <c r="CY48" s="238"/>
      <c r="CZ48" s="238"/>
      <c r="DA48" s="238"/>
      <c r="DB48" s="238"/>
      <c r="DC48" s="238"/>
      <c r="DD48" s="238"/>
      <c r="DE48" s="238"/>
      <c r="DF48" s="238"/>
      <c r="DG48" s="238"/>
      <c r="DH48" s="238"/>
      <c r="DI48" s="238"/>
      <c r="DJ48" s="238">
        <v>0</v>
      </c>
      <c r="DK48" s="238">
        <v>0</v>
      </c>
      <c r="DL48" s="238"/>
      <c r="DM48" s="238"/>
      <c r="DN48" s="238"/>
      <c r="DO48" s="238">
        <v>-0.02</v>
      </c>
      <c r="DP48" s="238"/>
      <c r="DQ48" s="238"/>
      <c r="DR48" s="238"/>
      <c r="DS48" s="238"/>
      <c r="DT48" s="238"/>
      <c r="DU48" s="238"/>
      <c r="DW48" s="129">
        <f>SUM(_2025_01_07T12_47_export3[[#This Row],[Ni_wt]:[H_wt]])</f>
        <v>100</v>
      </c>
      <c r="DY48" s="130">
        <f>SUM($AM48:BJ48)</f>
        <v>100</v>
      </c>
    </row>
    <row r="49" spans="1:129" x14ac:dyDescent="0.25">
      <c r="A49" s="129" t="s">
        <v>260</v>
      </c>
      <c r="B49" s="129">
        <v>57</v>
      </c>
      <c r="C49" s="129" t="s">
        <v>229</v>
      </c>
      <c r="D49" s="129">
        <v>2023</v>
      </c>
      <c r="E49" s="129" t="s">
        <v>253</v>
      </c>
      <c r="F49" s="129" t="s">
        <v>259</v>
      </c>
      <c r="G49" s="129" t="s">
        <v>226</v>
      </c>
      <c r="H49" s="129">
        <v>0</v>
      </c>
      <c r="I49" s="129">
        <v>850</v>
      </c>
      <c r="J49" s="129">
        <v>100</v>
      </c>
      <c r="K49" s="129" t="s">
        <v>58</v>
      </c>
      <c r="L49" s="129" t="s">
        <v>58</v>
      </c>
      <c r="N49" s="129">
        <v>7874000</v>
      </c>
      <c r="O49" s="130"/>
      <c r="P49" s="130"/>
      <c r="Q49" s="130"/>
      <c r="R49" s="130">
        <v>100</v>
      </c>
      <c r="S49" s="130"/>
      <c r="T49" s="130"/>
      <c r="U49" s="130"/>
      <c r="V49" s="130"/>
      <c r="W49" s="130"/>
      <c r="X49" s="130"/>
      <c r="Y49" s="130"/>
      <c r="Z49" s="130"/>
      <c r="AA49" s="130"/>
      <c r="AB49" s="130"/>
      <c r="AC49" s="130"/>
      <c r="AD49" s="130"/>
      <c r="AE49" s="130"/>
      <c r="AF49" s="130"/>
      <c r="AG49" s="130"/>
      <c r="AH49" s="130"/>
      <c r="AI49" s="130"/>
      <c r="AJ49" s="130"/>
      <c r="AK49" s="130"/>
      <c r="AL49" s="130"/>
      <c r="AM49" s="130">
        <f t="shared" si="0"/>
        <v>0</v>
      </c>
      <c r="AN49" s="130">
        <f t="shared" si="1"/>
        <v>0</v>
      </c>
      <c r="AO49" s="130">
        <f t="shared" si="2"/>
        <v>0</v>
      </c>
      <c r="AP49" s="130">
        <f t="shared" si="3"/>
        <v>100</v>
      </c>
      <c r="AQ49" s="130">
        <f t="shared" si="4"/>
        <v>0</v>
      </c>
      <c r="AR49" s="130">
        <f t="shared" si="5"/>
        <v>0</v>
      </c>
      <c r="AS49" s="130">
        <f t="shared" si="6"/>
        <v>0</v>
      </c>
      <c r="AT49" s="130">
        <f t="shared" si="7"/>
        <v>0</v>
      </c>
      <c r="AU49" s="130">
        <f t="shared" si="8"/>
        <v>0</v>
      </c>
      <c r="AV49" s="130">
        <f t="shared" si="9"/>
        <v>0</v>
      </c>
      <c r="AW49" s="130">
        <f t="shared" si="10"/>
        <v>0</v>
      </c>
      <c r="AX49" s="130">
        <f t="shared" si="11"/>
        <v>0</v>
      </c>
      <c r="AY49" s="130">
        <f t="shared" si="12"/>
        <v>0</v>
      </c>
      <c r="AZ49" s="130">
        <f t="shared" si="13"/>
        <v>0</v>
      </c>
      <c r="BA49" s="130">
        <f t="shared" si="14"/>
        <v>0</v>
      </c>
      <c r="BB49" s="130">
        <f t="shared" si="15"/>
        <v>0</v>
      </c>
      <c r="BC49" s="130">
        <f t="shared" si="16"/>
        <v>0</v>
      </c>
      <c r="BD49" s="130">
        <f t="shared" si="17"/>
        <v>0</v>
      </c>
      <c r="BE49" s="130">
        <f t="shared" si="18"/>
        <v>0</v>
      </c>
      <c r="BF49" s="130">
        <f t="shared" si="19"/>
        <v>0</v>
      </c>
      <c r="BG49" s="130">
        <f t="shared" si="20"/>
        <v>0</v>
      </c>
      <c r="BH49" s="130">
        <f t="shared" si="21"/>
        <v>0</v>
      </c>
      <c r="BI49" s="130">
        <f t="shared" si="22"/>
        <v>0</v>
      </c>
      <c r="BJ49" s="130">
        <f t="shared" si="23"/>
        <v>0</v>
      </c>
      <c r="BK49" s="130">
        <f t="shared" si="24"/>
        <v>-131.24103705820767</v>
      </c>
      <c r="BL49" s="130">
        <f>IF($K49=$L49,$BK49,IF(OR($K49="graphite",$K49="vitreous carbon"),$BK$406+($BM$389+$I49)*$BJ$406,IF($K49="Pyrolytic Boron Nitride","PBN",IF(COUNTIF($BH$396:$BH$416,$K49)&gt;0,VLOOKUP($K49,$BH$396:$BK$416,4,FALSE)+($BM$389+$I49)*VLOOKUP($K49,$BH$396:$BK$416,3,FALSE),IF(COUNTIF($L$2:$L48,$K49)&gt;0,VLOOKUP($K49,$L$2:$BK48,52,FALSE),"idk")))))</f>
        <v>-131.24103705820767</v>
      </c>
      <c r="BM49" s="130">
        <v>20</v>
      </c>
      <c r="BN49" s="130">
        <v>10</v>
      </c>
      <c r="BO49" s="130">
        <v>2</v>
      </c>
      <c r="BP49" s="129" t="s">
        <v>228</v>
      </c>
      <c r="BQ49" s="129"/>
      <c r="BR49" s="129" t="s">
        <v>230</v>
      </c>
      <c r="BS49" s="129"/>
      <c r="BT49" s="129">
        <v>0</v>
      </c>
      <c r="BV49" s="129"/>
      <c r="BZ49" s="129"/>
      <c r="DJ49" s="129">
        <v>0</v>
      </c>
      <c r="DK49" s="129">
        <v>0</v>
      </c>
      <c r="DL49" s="129"/>
      <c r="DO49" s="129">
        <v>-0.08</v>
      </c>
      <c r="DS49" s="129"/>
      <c r="DU49" s="129"/>
      <c r="DW49" s="129">
        <f>SUM(_2025_01_07T12_47_export3[[#This Row],[Ni_wt]:[H_wt]])</f>
        <v>100</v>
      </c>
      <c r="DY49" s="130">
        <f>SUM($AM49:BJ49)</f>
        <v>100</v>
      </c>
    </row>
    <row r="50" spans="1:129" x14ac:dyDescent="0.25">
      <c r="A50" s="129" t="s">
        <v>260</v>
      </c>
      <c r="B50" s="129">
        <v>58</v>
      </c>
      <c r="C50" s="129" t="s">
        <v>229</v>
      </c>
      <c r="D50" s="129">
        <v>2023</v>
      </c>
      <c r="E50" s="129" t="s">
        <v>253</v>
      </c>
      <c r="F50" s="129" t="s">
        <v>259</v>
      </c>
      <c r="G50" s="129" t="s">
        <v>226</v>
      </c>
      <c r="H50" s="129">
        <v>0</v>
      </c>
      <c r="I50" s="129">
        <v>850</v>
      </c>
      <c r="J50" s="129">
        <v>500</v>
      </c>
      <c r="K50" s="129" t="s">
        <v>58</v>
      </c>
      <c r="L50" s="129" t="s">
        <v>58</v>
      </c>
      <c r="N50" s="129">
        <v>7874000</v>
      </c>
      <c r="O50" s="130"/>
      <c r="P50" s="130"/>
      <c r="Q50" s="130"/>
      <c r="R50" s="130">
        <v>100</v>
      </c>
      <c r="S50" s="130"/>
      <c r="T50" s="130"/>
      <c r="U50" s="130"/>
      <c r="V50" s="130"/>
      <c r="W50" s="130"/>
      <c r="X50" s="130"/>
      <c r="Y50" s="130"/>
      <c r="Z50" s="130"/>
      <c r="AA50" s="130"/>
      <c r="AB50" s="130"/>
      <c r="AC50" s="130"/>
      <c r="AD50" s="130"/>
      <c r="AE50" s="130"/>
      <c r="AF50" s="130"/>
      <c r="AG50" s="130"/>
      <c r="AH50" s="130"/>
      <c r="AI50" s="130"/>
      <c r="AJ50" s="130"/>
      <c r="AK50" s="130"/>
      <c r="AL50" s="130"/>
      <c r="AM50" s="130">
        <f t="shared" si="0"/>
        <v>0</v>
      </c>
      <c r="AN50" s="130">
        <f t="shared" si="1"/>
        <v>0</v>
      </c>
      <c r="AO50" s="130">
        <f t="shared" si="2"/>
        <v>0</v>
      </c>
      <c r="AP50" s="130">
        <f t="shared" si="3"/>
        <v>100</v>
      </c>
      <c r="AQ50" s="130">
        <f t="shared" si="4"/>
        <v>0</v>
      </c>
      <c r="AR50" s="130">
        <f t="shared" si="5"/>
        <v>0</v>
      </c>
      <c r="AS50" s="130">
        <f t="shared" si="6"/>
        <v>0</v>
      </c>
      <c r="AT50" s="130">
        <f t="shared" si="7"/>
        <v>0</v>
      </c>
      <c r="AU50" s="130">
        <f t="shared" si="8"/>
        <v>0</v>
      </c>
      <c r="AV50" s="130">
        <f t="shared" si="9"/>
        <v>0</v>
      </c>
      <c r="AW50" s="130">
        <f t="shared" si="10"/>
        <v>0</v>
      </c>
      <c r="AX50" s="130">
        <f t="shared" si="11"/>
        <v>0</v>
      </c>
      <c r="AY50" s="130">
        <f t="shared" si="12"/>
        <v>0</v>
      </c>
      <c r="AZ50" s="130">
        <f t="shared" si="13"/>
        <v>0</v>
      </c>
      <c r="BA50" s="130">
        <f t="shared" si="14"/>
        <v>0</v>
      </c>
      <c r="BB50" s="130">
        <f t="shared" si="15"/>
        <v>0</v>
      </c>
      <c r="BC50" s="130">
        <f t="shared" si="16"/>
        <v>0</v>
      </c>
      <c r="BD50" s="130">
        <f t="shared" si="17"/>
        <v>0</v>
      </c>
      <c r="BE50" s="130">
        <f t="shared" si="18"/>
        <v>0</v>
      </c>
      <c r="BF50" s="130">
        <f t="shared" si="19"/>
        <v>0</v>
      </c>
      <c r="BG50" s="130">
        <f t="shared" si="20"/>
        <v>0</v>
      </c>
      <c r="BH50" s="130">
        <f t="shared" si="21"/>
        <v>0</v>
      </c>
      <c r="BI50" s="130">
        <f t="shared" si="22"/>
        <v>0</v>
      </c>
      <c r="BJ50" s="130">
        <f t="shared" si="23"/>
        <v>0</v>
      </c>
      <c r="BK50" s="130">
        <f t="shared" si="24"/>
        <v>-131.24103705820767</v>
      </c>
      <c r="BL50" s="130">
        <f>IF($K50=$L50,$BK50,IF(OR($K50="graphite",$K50="vitreous carbon"),$BK$406+($BM$389+$I50)*$BJ$406,IF($K50="Pyrolytic Boron Nitride","PBN",IF(COUNTIF($BH$396:$BH$416,$K50)&gt;0,VLOOKUP($K50,$BH$396:$BK$416,4,FALSE)+($BM$389+$I50)*VLOOKUP($K50,$BH$396:$BK$416,3,FALSE),IF(COUNTIF($L$2:$L49,$K50)&gt;0,VLOOKUP($K50,$L$2:$BK49,52,FALSE),"idk")))))</f>
        <v>-131.24103705820767</v>
      </c>
      <c r="BM50" s="130">
        <v>20</v>
      </c>
      <c r="BN50" s="130">
        <v>10</v>
      </c>
      <c r="BO50" s="130">
        <v>2</v>
      </c>
      <c r="BP50" s="129" t="s">
        <v>228</v>
      </c>
      <c r="BQ50" s="129"/>
      <c r="BR50" s="129" t="s">
        <v>230</v>
      </c>
      <c r="BS50" s="129"/>
      <c r="BT50" s="129">
        <v>0</v>
      </c>
      <c r="BV50" s="129"/>
      <c r="BZ50" s="129"/>
      <c r="DJ50" s="129">
        <v>0</v>
      </c>
      <c r="DK50" s="129">
        <v>0</v>
      </c>
      <c r="DL50" s="129"/>
      <c r="DO50" s="129">
        <v>0.09</v>
      </c>
      <c r="DS50" s="129"/>
      <c r="DU50" s="129"/>
      <c r="DW50" s="129">
        <f>SUM(_2025_01_07T12_47_export3[[#This Row],[Ni_wt]:[H_wt]])</f>
        <v>100</v>
      </c>
      <c r="DY50" s="130">
        <f>SUM($AM50:BJ50)</f>
        <v>100</v>
      </c>
    </row>
    <row r="51" spans="1:129" ht="16.5" thickBot="1" x14ac:dyDescent="0.3">
      <c r="A51" s="136" t="s">
        <v>260</v>
      </c>
      <c r="B51" s="136">
        <v>59</v>
      </c>
      <c r="C51" s="136" t="s">
        <v>229</v>
      </c>
      <c r="D51" s="136">
        <v>2023</v>
      </c>
      <c r="E51" s="136" t="s">
        <v>253</v>
      </c>
      <c r="F51" s="136" t="s">
        <v>259</v>
      </c>
      <c r="G51" s="136" t="s">
        <v>226</v>
      </c>
      <c r="H51" s="136">
        <v>0</v>
      </c>
      <c r="I51" s="136">
        <v>850</v>
      </c>
      <c r="J51" s="136">
        <v>2000</v>
      </c>
      <c r="K51" s="136" t="s">
        <v>58</v>
      </c>
      <c r="L51" s="136" t="s">
        <v>58</v>
      </c>
      <c r="M51" s="136"/>
      <c r="N51" s="136">
        <v>7874000</v>
      </c>
      <c r="O51" s="137"/>
      <c r="P51" s="137"/>
      <c r="Q51" s="137"/>
      <c r="R51" s="137">
        <v>100</v>
      </c>
      <c r="S51" s="137"/>
      <c r="T51" s="137"/>
      <c r="U51" s="137"/>
      <c r="V51" s="137"/>
      <c r="W51" s="137"/>
      <c r="X51" s="137"/>
      <c r="Y51" s="137"/>
      <c r="Z51" s="137"/>
      <c r="AA51" s="137"/>
      <c r="AB51" s="137"/>
      <c r="AC51" s="137"/>
      <c r="AD51" s="137"/>
      <c r="AE51" s="137"/>
      <c r="AF51" s="137"/>
      <c r="AG51" s="137"/>
      <c r="AH51" s="137"/>
      <c r="AI51" s="137"/>
      <c r="AJ51" s="137"/>
      <c r="AK51" s="137"/>
      <c r="AL51" s="137"/>
      <c r="AM51" s="137">
        <f t="shared" si="0"/>
        <v>0</v>
      </c>
      <c r="AN51" s="137">
        <f t="shared" si="1"/>
        <v>0</v>
      </c>
      <c r="AO51" s="137">
        <f t="shared" si="2"/>
        <v>0</v>
      </c>
      <c r="AP51" s="137">
        <f t="shared" si="3"/>
        <v>100</v>
      </c>
      <c r="AQ51" s="137">
        <f t="shared" si="4"/>
        <v>0</v>
      </c>
      <c r="AR51" s="137">
        <f t="shared" si="5"/>
        <v>0</v>
      </c>
      <c r="AS51" s="137">
        <f t="shared" si="6"/>
        <v>0</v>
      </c>
      <c r="AT51" s="137">
        <f t="shared" si="7"/>
        <v>0</v>
      </c>
      <c r="AU51" s="137">
        <f t="shared" si="8"/>
        <v>0</v>
      </c>
      <c r="AV51" s="137">
        <f t="shared" si="9"/>
        <v>0</v>
      </c>
      <c r="AW51" s="137">
        <f t="shared" si="10"/>
        <v>0</v>
      </c>
      <c r="AX51" s="137">
        <f t="shared" si="11"/>
        <v>0</v>
      </c>
      <c r="AY51" s="137">
        <f t="shared" si="12"/>
        <v>0</v>
      </c>
      <c r="AZ51" s="137">
        <f t="shared" si="13"/>
        <v>0</v>
      </c>
      <c r="BA51" s="137">
        <f t="shared" si="14"/>
        <v>0</v>
      </c>
      <c r="BB51" s="137">
        <f t="shared" si="15"/>
        <v>0</v>
      </c>
      <c r="BC51" s="137">
        <f t="shared" si="16"/>
        <v>0</v>
      </c>
      <c r="BD51" s="137">
        <f t="shared" si="17"/>
        <v>0</v>
      </c>
      <c r="BE51" s="137">
        <f t="shared" si="18"/>
        <v>0</v>
      </c>
      <c r="BF51" s="137">
        <f t="shared" si="19"/>
        <v>0</v>
      </c>
      <c r="BG51" s="137">
        <f t="shared" si="20"/>
        <v>0</v>
      </c>
      <c r="BH51" s="137">
        <f t="shared" si="21"/>
        <v>0</v>
      </c>
      <c r="BI51" s="137">
        <f t="shared" si="22"/>
        <v>0</v>
      </c>
      <c r="BJ51" s="137">
        <f t="shared" si="23"/>
        <v>0</v>
      </c>
      <c r="BK51" s="137">
        <f t="shared" si="24"/>
        <v>-131.24103705820767</v>
      </c>
      <c r="BL51" s="137">
        <f>IF($K51=$L51,$BK51,IF(OR($K51="graphite",$K51="vitreous carbon"),$BK$406+($BM$389+$I51)*$BJ$406,IF($K51="Pyrolytic Boron Nitride","PBN",IF(COUNTIF($BH$396:$BH$416,$K51)&gt;0,VLOOKUP($K51,$BH$396:$BK$416,4,FALSE)+($BM$389+$I51)*VLOOKUP($K51,$BH$396:$BK$416,3,FALSE),IF(COUNTIF($L$2:$L50,$K51)&gt;0,VLOOKUP($K51,$L$2:$BK50,52,FALSE),"idk")))))</f>
        <v>-131.24103705820767</v>
      </c>
      <c r="BM51" s="137">
        <v>20</v>
      </c>
      <c r="BN51" s="137">
        <v>10</v>
      </c>
      <c r="BO51" s="137">
        <v>1.5</v>
      </c>
      <c r="BP51" s="136" t="s">
        <v>228</v>
      </c>
      <c r="BQ51" s="136"/>
      <c r="BR51" s="136" t="s">
        <v>230</v>
      </c>
      <c r="BS51" s="136"/>
      <c r="BT51" s="136">
        <v>0</v>
      </c>
      <c r="BU51" s="136"/>
      <c r="BV51" s="136"/>
      <c r="BW51" s="136"/>
      <c r="BX51" s="136"/>
      <c r="BY51" s="136"/>
      <c r="BZ51" s="136"/>
      <c r="CA51" s="136"/>
      <c r="CB51" s="136"/>
      <c r="CC51" s="136"/>
      <c r="CD51" s="136"/>
      <c r="CE51" s="136"/>
      <c r="CF51" s="136"/>
      <c r="CG51" s="136"/>
      <c r="CH51" s="136"/>
      <c r="CI51" s="136"/>
      <c r="CJ51" s="136"/>
      <c r="CK51" s="136"/>
      <c r="CL51" s="136"/>
      <c r="CM51" s="136"/>
      <c r="CN51" s="136"/>
      <c r="CO51" s="136"/>
      <c r="CP51" s="136"/>
      <c r="CQ51" s="136"/>
      <c r="CR51" s="136"/>
      <c r="CS51" s="136"/>
      <c r="CT51" s="136"/>
      <c r="CU51" s="136"/>
      <c r="CV51" s="136"/>
      <c r="CW51" s="136"/>
      <c r="CX51" s="136"/>
      <c r="CY51" s="136"/>
      <c r="CZ51" s="136"/>
      <c r="DA51" s="136"/>
      <c r="DB51" s="136"/>
      <c r="DC51" s="136"/>
      <c r="DD51" s="136"/>
      <c r="DE51" s="136"/>
      <c r="DF51" s="136"/>
      <c r="DG51" s="136"/>
      <c r="DH51" s="136"/>
      <c r="DI51" s="136"/>
      <c r="DJ51" s="136">
        <v>0</v>
      </c>
      <c r="DK51" s="136">
        <v>0</v>
      </c>
      <c r="DL51" s="136"/>
      <c r="DM51" s="136"/>
      <c r="DN51" s="136"/>
      <c r="DO51" s="136">
        <v>0.32</v>
      </c>
      <c r="DP51" s="136"/>
      <c r="DQ51" s="136"/>
      <c r="DR51" s="136"/>
      <c r="DS51" s="136"/>
      <c r="DT51" s="136"/>
      <c r="DU51" s="136"/>
      <c r="DW51" s="129">
        <f>SUM(_2025_01_07T12_47_export3[[#This Row],[Ni_wt]:[H_wt]])</f>
        <v>100</v>
      </c>
      <c r="DY51" s="130">
        <f>SUM($AM51:BJ51)</f>
        <v>100</v>
      </c>
    </row>
    <row r="52" spans="1:129" x14ac:dyDescent="0.25">
      <c r="A52" s="129" t="s">
        <v>261</v>
      </c>
      <c r="B52" s="129">
        <v>60</v>
      </c>
      <c r="C52" s="129" t="s">
        <v>223</v>
      </c>
      <c r="D52" s="129">
        <v>2023</v>
      </c>
      <c r="E52" s="129" t="s">
        <v>262</v>
      </c>
      <c r="F52" s="129" t="s">
        <v>263</v>
      </c>
      <c r="G52" s="129" t="s">
        <v>226</v>
      </c>
      <c r="H52" s="129">
        <v>0</v>
      </c>
      <c r="I52" s="129">
        <v>700</v>
      </c>
      <c r="J52" s="129">
        <v>500</v>
      </c>
      <c r="K52" s="129" t="s">
        <v>227</v>
      </c>
      <c r="L52" s="129" t="s">
        <v>264</v>
      </c>
      <c r="N52" s="129">
        <v>7980000</v>
      </c>
      <c r="O52" s="130">
        <v>10</v>
      </c>
      <c r="P52" s="130">
        <v>16.77</v>
      </c>
      <c r="Q52" s="130">
        <v>1.97</v>
      </c>
      <c r="R52" s="130">
        <f>100-SUM(,_2025_01_07T12_47_export3[[#This Row],[Ni_wt]:[Mo_wt]],_2025_01_07T12_47_export3[[#This Row],[W_wt]:[H_wt]])</f>
        <v>69.38900000000001</v>
      </c>
      <c r="S52" s="130"/>
      <c r="T52" s="130"/>
      <c r="U52" s="130">
        <v>1.5</v>
      </c>
      <c r="V52" s="130"/>
      <c r="W52" s="130"/>
      <c r="X52" s="130">
        <v>0.3</v>
      </c>
      <c r="Y52" s="130">
        <v>0.04</v>
      </c>
      <c r="Z52" s="130"/>
      <c r="AA52" s="130"/>
      <c r="AB52" s="130"/>
      <c r="AC52" s="130">
        <v>3.1E-2</v>
      </c>
      <c r="AD52" s="130"/>
      <c r="AE52" s="130"/>
      <c r="AF52" s="130"/>
      <c r="AG52" s="130"/>
      <c r="AH52" s="130"/>
      <c r="AI52" s="130"/>
      <c r="AJ52" s="130"/>
      <c r="AK52" s="130"/>
      <c r="AL52" s="130"/>
      <c r="AM52" s="130">
        <f t="shared" si="0"/>
        <v>9.4756849601929485</v>
      </c>
      <c r="AN52" s="130">
        <f t="shared" si="1"/>
        <v>17.935126397617601</v>
      </c>
      <c r="AO52" s="130">
        <f t="shared" si="2"/>
        <v>1.1416966049583539</v>
      </c>
      <c r="AP52" s="130">
        <f t="shared" si="3"/>
        <v>69.094292469684888</v>
      </c>
      <c r="AQ52" s="130">
        <f t="shared" si="4"/>
        <v>0</v>
      </c>
      <c r="AR52" s="130">
        <f t="shared" si="5"/>
        <v>0</v>
      </c>
      <c r="AS52" s="130">
        <f t="shared" si="6"/>
        <v>1.5183689943039427</v>
      </c>
      <c r="AT52" s="130">
        <f t="shared" si="7"/>
        <v>0</v>
      </c>
      <c r="AU52" s="130">
        <f t="shared" si="8"/>
        <v>0</v>
      </c>
      <c r="AV52" s="130">
        <f t="shared" si="9"/>
        <v>0.59394227516595655</v>
      </c>
      <c r="AW52" s="130">
        <f t="shared" si="10"/>
        <v>0.18522163207784317</v>
      </c>
      <c r="AX52" s="130">
        <f t="shared" si="11"/>
        <v>0</v>
      </c>
      <c r="AY52" s="130">
        <f t="shared" si="12"/>
        <v>0</v>
      </c>
      <c r="AZ52" s="130">
        <f t="shared" si="13"/>
        <v>0</v>
      </c>
      <c r="BA52" s="130">
        <f t="shared" si="14"/>
        <v>5.5666665998467701E-2</v>
      </c>
      <c r="BB52" s="130">
        <f t="shared" si="15"/>
        <v>0</v>
      </c>
      <c r="BC52" s="130">
        <f t="shared" si="16"/>
        <v>0</v>
      </c>
      <c r="BD52" s="130">
        <f t="shared" si="17"/>
        <v>0</v>
      </c>
      <c r="BE52" s="130">
        <f t="shared" si="18"/>
        <v>0</v>
      </c>
      <c r="BF52" s="130">
        <f t="shared" si="19"/>
        <v>0</v>
      </c>
      <c r="BG52" s="130">
        <f t="shared" si="20"/>
        <v>0</v>
      </c>
      <c r="BH52" s="130">
        <f t="shared" si="21"/>
        <v>0</v>
      </c>
      <c r="BI52" s="130">
        <f t="shared" si="22"/>
        <v>0</v>
      </c>
      <c r="BJ52" s="130">
        <f t="shared" si="23"/>
        <v>0</v>
      </c>
      <c r="BK52" s="130">
        <f t="shared" si="24"/>
        <v>-137.28961215781271</v>
      </c>
      <c r="BL52" s="130">
        <f>IF($K52=$L52,$BK52,IF(OR($K52="graphite",$K52="vitreous carbon"),$BK$406+($BM$389+$I52)*$BJ$406,IF($K52="Pyrolytic Boron Nitride","PBN",IF(COUNTIF($BH$396:$BH$416,$K52)&gt;0,VLOOKUP($K52,$BH$396:$BK$416,4,FALSE)+($BM$389+$I52)*VLOOKUP($K52,$BH$396:$BK$416,3,FALSE),IF(COUNTIF($L$2:$L51,$K52)&gt;0,VLOOKUP($K52,$L$2:$BK51,52,FALSE),"idk")))))</f>
        <v>-136.54295506071665</v>
      </c>
      <c r="BM52" s="130">
        <v>14</v>
      </c>
      <c r="BN52" s="130">
        <v>11</v>
      </c>
      <c r="BO52" s="130">
        <v>1.5</v>
      </c>
      <c r="BP52" s="129" t="s">
        <v>245</v>
      </c>
      <c r="BQ52" s="129" t="s">
        <v>265</v>
      </c>
      <c r="BR52" s="129" t="s">
        <v>247</v>
      </c>
      <c r="BS52" s="129"/>
      <c r="BT52" s="129">
        <v>0</v>
      </c>
      <c r="BU52" s="129">
        <v>78</v>
      </c>
      <c r="BV52" s="129">
        <v>54</v>
      </c>
      <c r="BW52" s="129">
        <v>10.3</v>
      </c>
      <c r="BX52" s="129">
        <v>10</v>
      </c>
      <c r="BY52" s="129">
        <v>8.6999999999999993</v>
      </c>
      <c r="BZ52" s="129">
        <v>4</v>
      </c>
      <c r="CA52" s="129">
        <v>2.8</v>
      </c>
      <c r="CB52" s="129">
        <v>0.8</v>
      </c>
      <c r="CC52" s="129">
        <v>0.8</v>
      </c>
      <c r="CE52" s="129">
        <v>0.7</v>
      </c>
      <c r="DJ52" s="129">
        <v>0</v>
      </c>
      <c r="DK52" s="129">
        <v>0</v>
      </c>
      <c r="DL52" s="129"/>
      <c r="DM52" s="129">
        <v>-3</v>
      </c>
      <c r="DO52" s="129">
        <v>-0.21</v>
      </c>
      <c r="DQ52" s="129">
        <v>1372560</v>
      </c>
      <c r="DS52" s="129">
        <v>3</v>
      </c>
      <c r="DT52" s="132" t="s">
        <v>267</v>
      </c>
      <c r="DU52" s="129" t="s">
        <v>266</v>
      </c>
      <c r="DW52" s="129">
        <f>SUM(_2025_01_07T12_47_export3[[#This Row],[Ni_wt]:[H_wt]])</f>
        <v>100.00000000000001</v>
      </c>
      <c r="DY52" s="130">
        <f>SUM($AM52:BJ52)</f>
        <v>100.00000000000001</v>
      </c>
    </row>
    <row r="53" spans="1:129" x14ac:dyDescent="0.25">
      <c r="A53" s="129" t="s">
        <v>261</v>
      </c>
      <c r="B53" s="129">
        <v>61</v>
      </c>
      <c r="C53" s="129" t="s">
        <v>223</v>
      </c>
      <c r="D53" s="129">
        <v>2023</v>
      </c>
      <c r="E53" s="129" t="s">
        <v>262</v>
      </c>
      <c r="F53" s="129" t="s">
        <v>263</v>
      </c>
      <c r="G53" s="129" t="s">
        <v>226</v>
      </c>
      <c r="H53" s="129">
        <v>0</v>
      </c>
      <c r="I53" s="129">
        <v>700</v>
      </c>
      <c r="J53" s="129">
        <v>500</v>
      </c>
      <c r="K53" s="129" t="s">
        <v>268</v>
      </c>
      <c r="L53" s="129" t="s">
        <v>264</v>
      </c>
      <c r="N53" s="129">
        <v>7980000</v>
      </c>
      <c r="O53" s="130">
        <v>10</v>
      </c>
      <c r="P53" s="130">
        <v>16.77</v>
      </c>
      <c r="Q53" s="130">
        <v>1.97</v>
      </c>
      <c r="R53" s="130">
        <f>100-SUM(,_2025_01_07T12_47_export3[[#This Row],[Ni_wt]:[Mo_wt]],_2025_01_07T12_47_export3[[#This Row],[W_wt]:[H_wt]])</f>
        <v>69.38900000000001</v>
      </c>
      <c r="S53" s="130"/>
      <c r="T53" s="130"/>
      <c r="U53" s="130">
        <v>1.5</v>
      </c>
      <c r="V53" s="130"/>
      <c r="W53" s="130"/>
      <c r="X53" s="130">
        <v>0.3</v>
      </c>
      <c r="Y53" s="130">
        <v>0.04</v>
      </c>
      <c r="Z53" s="130"/>
      <c r="AA53" s="130"/>
      <c r="AB53" s="130"/>
      <c r="AC53" s="130">
        <v>3.1E-2</v>
      </c>
      <c r="AD53" s="130"/>
      <c r="AE53" s="130"/>
      <c r="AF53" s="130"/>
      <c r="AG53" s="130"/>
      <c r="AH53" s="130"/>
      <c r="AI53" s="130"/>
      <c r="AJ53" s="130"/>
      <c r="AK53" s="130"/>
      <c r="AL53" s="130"/>
      <c r="AM53" s="130">
        <f t="shared" si="0"/>
        <v>9.4756849601929485</v>
      </c>
      <c r="AN53" s="130">
        <f t="shared" si="1"/>
        <v>17.935126397617601</v>
      </c>
      <c r="AO53" s="130">
        <f t="shared" si="2"/>
        <v>1.1416966049583539</v>
      </c>
      <c r="AP53" s="130">
        <f t="shared" si="3"/>
        <v>69.094292469684888</v>
      </c>
      <c r="AQ53" s="130">
        <f t="shared" si="4"/>
        <v>0</v>
      </c>
      <c r="AR53" s="130">
        <f t="shared" si="5"/>
        <v>0</v>
      </c>
      <c r="AS53" s="130">
        <f t="shared" si="6"/>
        <v>1.5183689943039427</v>
      </c>
      <c r="AT53" s="130">
        <f t="shared" si="7"/>
        <v>0</v>
      </c>
      <c r="AU53" s="130">
        <f t="shared" si="8"/>
        <v>0</v>
      </c>
      <c r="AV53" s="130">
        <f t="shared" si="9"/>
        <v>0.59394227516595655</v>
      </c>
      <c r="AW53" s="130">
        <f t="shared" si="10"/>
        <v>0.18522163207784317</v>
      </c>
      <c r="AX53" s="130">
        <f t="shared" si="11"/>
        <v>0</v>
      </c>
      <c r="AY53" s="130">
        <f t="shared" si="12"/>
        <v>0</v>
      </c>
      <c r="AZ53" s="130">
        <f t="shared" si="13"/>
        <v>0</v>
      </c>
      <c r="BA53" s="130">
        <f t="shared" si="14"/>
        <v>5.5666665998467701E-2</v>
      </c>
      <c r="BB53" s="130">
        <f t="shared" si="15"/>
        <v>0</v>
      </c>
      <c r="BC53" s="130">
        <f t="shared" si="16"/>
        <v>0</v>
      </c>
      <c r="BD53" s="130">
        <f t="shared" si="17"/>
        <v>0</v>
      </c>
      <c r="BE53" s="130">
        <f t="shared" si="18"/>
        <v>0</v>
      </c>
      <c r="BF53" s="130">
        <f t="shared" si="19"/>
        <v>0</v>
      </c>
      <c r="BG53" s="130">
        <f t="shared" si="20"/>
        <v>0</v>
      </c>
      <c r="BH53" s="130">
        <f t="shared" si="21"/>
        <v>0</v>
      </c>
      <c r="BI53" s="130">
        <f t="shared" si="22"/>
        <v>0</v>
      </c>
      <c r="BJ53" s="130">
        <f t="shared" si="23"/>
        <v>0</v>
      </c>
      <c r="BK53" s="130">
        <f t="shared" si="24"/>
        <v>-137.28961215781271</v>
      </c>
      <c r="BL53" s="130" t="str">
        <f>IF($K53=$L53,$BK53,IF(OR($K53="graphite",$K53="vitreous carbon"),$BK$406+($BM$389+$I53)*$BJ$406,IF($K53="Pyrolytic Boron Nitride","PBN",IF(COUNTIF($BH$396:$BH$416,$K53)&gt;0,VLOOKUP($K53,$BH$396:$BK$416,4,FALSE)+($BM$389+$I53)*VLOOKUP($K53,$BH$396:$BK$416,3,FALSE),IF(COUNTIF($L$2:$L52,$K53)&gt;0,VLOOKUP($K53,$L$2:$BK52,52,FALSE),"idk")))))</f>
        <v>PBN</v>
      </c>
      <c r="BM53" s="130">
        <v>14</v>
      </c>
      <c r="BN53" s="130">
        <v>11</v>
      </c>
      <c r="BO53" s="130">
        <v>1.5</v>
      </c>
      <c r="BP53" s="129" t="s">
        <v>245</v>
      </c>
      <c r="BQ53" s="129" t="s">
        <v>265</v>
      </c>
      <c r="BR53" s="129" t="s">
        <v>247</v>
      </c>
      <c r="BS53" s="129"/>
      <c r="BT53" s="129">
        <v>0</v>
      </c>
      <c r="BU53" s="129">
        <v>78</v>
      </c>
      <c r="BV53" s="129">
        <v>54</v>
      </c>
      <c r="BW53" s="129">
        <v>10.3</v>
      </c>
      <c r="BX53" s="129">
        <v>10</v>
      </c>
      <c r="BY53" s="129">
        <v>8.6999999999999993</v>
      </c>
      <c r="BZ53" s="129">
        <v>4</v>
      </c>
      <c r="CA53" s="129">
        <v>2.8</v>
      </c>
      <c r="CB53" s="129">
        <v>0.8</v>
      </c>
      <c r="CC53" s="129">
        <v>0.8</v>
      </c>
      <c r="CE53" s="129">
        <v>0.7</v>
      </c>
      <c r="DJ53" s="129">
        <v>0</v>
      </c>
      <c r="DK53" s="129">
        <v>0</v>
      </c>
      <c r="DL53" s="129"/>
      <c r="DM53" s="129">
        <v>-6.3</v>
      </c>
      <c r="DO53" s="129">
        <v>-1.5</v>
      </c>
      <c r="DQ53" s="129">
        <v>1372560</v>
      </c>
      <c r="DS53" s="129">
        <v>3</v>
      </c>
      <c r="DT53" s="135"/>
      <c r="DU53" s="129" t="s">
        <v>266</v>
      </c>
      <c r="DW53" s="129">
        <f>SUM(_2025_01_07T12_47_export3[[#This Row],[Ni_wt]:[H_wt]])</f>
        <v>100.00000000000001</v>
      </c>
      <c r="DY53" s="130">
        <f>SUM($AM53:BJ53)</f>
        <v>100.00000000000001</v>
      </c>
    </row>
    <row r="54" spans="1:129" x14ac:dyDescent="0.25">
      <c r="A54" s="129" t="s">
        <v>261</v>
      </c>
      <c r="B54" s="129">
        <v>62</v>
      </c>
      <c r="C54" s="129" t="s">
        <v>223</v>
      </c>
      <c r="D54" s="129">
        <v>2023</v>
      </c>
      <c r="E54" s="129" t="s">
        <v>262</v>
      </c>
      <c r="F54" s="129" t="s">
        <v>263</v>
      </c>
      <c r="G54" s="129" t="s">
        <v>226</v>
      </c>
      <c r="H54" s="129">
        <v>0</v>
      </c>
      <c r="I54" s="129">
        <v>700</v>
      </c>
      <c r="J54" s="129">
        <v>500</v>
      </c>
      <c r="K54" s="129" t="s">
        <v>269</v>
      </c>
      <c r="L54" s="129" t="s">
        <v>264</v>
      </c>
      <c r="N54" s="129">
        <v>7980000</v>
      </c>
      <c r="O54" s="130">
        <v>10</v>
      </c>
      <c r="P54" s="130">
        <v>16.77</v>
      </c>
      <c r="Q54" s="130">
        <v>1.97</v>
      </c>
      <c r="R54" s="130">
        <f>100-SUM(,_2025_01_07T12_47_export3[[#This Row],[Ni_wt]:[Mo_wt]],_2025_01_07T12_47_export3[[#This Row],[W_wt]:[H_wt]])</f>
        <v>69.38900000000001</v>
      </c>
      <c r="S54" s="130"/>
      <c r="T54" s="130"/>
      <c r="U54" s="130">
        <v>1.5</v>
      </c>
      <c r="V54" s="130"/>
      <c r="W54" s="130"/>
      <c r="X54" s="130">
        <v>0.3</v>
      </c>
      <c r="Y54" s="130">
        <v>0.04</v>
      </c>
      <c r="Z54" s="130"/>
      <c r="AA54" s="130"/>
      <c r="AB54" s="130"/>
      <c r="AC54" s="130">
        <v>3.1E-2</v>
      </c>
      <c r="AD54" s="130"/>
      <c r="AE54" s="130"/>
      <c r="AF54" s="130"/>
      <c r="AG54" s="130"/>
      <c r="AH54" s="130"/>
      <c r="AI54" s="130"/>
      <c r="AJ54" s="130"/>
      <c r="AK54" s="130"/>
      <c r="AL54" s="130"/>
      <c r="AM54" s="130">
        <f t="shared" si="0"/>
        <v>9.4756849601929485</v>
      </c>
      <c r="AN54" s="130">
        <f t="shared" si="1"/>
        <v>17.935126397617601</v>
      </c>
      <c r="AO54" s="130">
        <f t="shared" si="2"/>
        <v>1.1416966049583539</v>
      </c>
      <c r="AP54" s="130">
        <f t="shared" si="3"/>
        <v>69.094292469684888</v>
      </c>
      <c r="AQ54" s="130">
        <f t="shared" si="4"/>
        <v>0</v>
      </c>
      <c r="AR54" s="130">
        <f t="shared" si="5"/>
        <v>0</v>
      </c>
      <c r="AS54" s="130">
        <f t="shared" si="6"/>
        <v>1.5183689943039427</v>
      </c>
      <c r="AT54" s="130">
        <f t="shared" si="7"/>
        <v>0</v>
      </c>
      <c r="AU54" s="130">
        <f t="shared" si="8"/>
        <v>0</v>
      </c>
      <c r="AV54" s="130">
        <f t="shared" si="9"/>
        <v>0.59394227516595655</v>
      </c>
      <c r="AW54" s="130">
        <f t="shared" si="10"/>
        <v>0.18522163207784317</v>
      </c>
      <c r="AX54" s="130">
        <f t="shared" si="11"/>
        <v>0</v>
      </c>
      <c r="AY54" s="130">
        <f t="shared" si="12"/>
        <v>0</v>
      </c>
      <c r="AZ54" s="130">
        <f t="shared" si="13"/>
        <v>0</v>
      </c>
      <c r="BA54" s="130">
        <f t="shared" si="14"/>
        <v>5.5666665998467701E-2</v>
      </c>
      <c r="BB54" s="130">
        <f t="shared" si="15"/>
        <v>0</v>
      </c>
      <c r="BC54" s="130">
        <f t="shared" si="16"/>
        <v>0</v>
      </c>
      <c r="BD54" s="130">
        <f t="shared" si="17"/>
        <v>0</v>
      </c>
      <c r="BE54" s="130">
        <f t="shared" si="18"/>
        <v>0</v>
      </c>
      <c r="BF54" s="130">
        <f t="shared" si="19"/>
        <v>0</v>
      </c>
      <c r="BG54" s="130">
        <f t="shared" si="20"/>
        <v>0</v>
      </c>
      <c r="BH54" s="130">
        <f t="shared" si="21"/>
        <v>0</v>
      </c>
      <c r="BI54" s="130">
        <f t="shared" si="22"/>
        <v>0</v>
      </c>
      <c r="BJ54" s="130">
        <f t="shared" si="23"/>
        <v>0</v>
      </c>
      <c r="BK54" s="130">
        <f t="shared" si="24"/>
        <v>-137.28961215781271</v>
      </c>
      <c r="BL54" s="130">
        <f>IF($K54=$L54,$BK54,IF(OR($K54="graphite",$K54="vitreous carbon"),$BK$406+($BM$389+$I54)*$BJ$406,IF($K54="Pyrolytic Boron Nitride","PBN",IF(COUNTIF($BH$396:$BH$416,$K54)&gt;0,VLOOKUP($K54,$BH$396:$BK$416,4,FALSE)+($BM$389+$I54)*VLOOKUP($K54,$BH$396:$BK$416,3,FALSE),IF(COUNTIF($L$2:$L53,$K54)&gt;0,VLOOKUP($K54,$L$2:$BK53,52,FALSE),"idk")))))</f>
        <v>-63.529671587210359</v>
      </c>
      <c r="BM54" s="130">
        <v>14</v>
      </c>
      <c r="BN54" s="130">
        <v>11</v>
      </c>
      <c r="BO54" s="130">
        <v>1.5</v>
      </c>
      <c r="BP54" s="129" t="s">
        <v>245</v>
      </c>
      <c r="BQ54" s="129" t="s">
        <v>265</v>
      </c>
      <c r="BR54" s="129" t="s">
        <v>247</v>
      </c>
      <c r="BS54" s="129"/>
      <c r="BT54" s="129">
        <v>0</v>
      </c>
      <c r="BU54" s="129">
        <v>78</v>
      </c>
      <c r="BV54" s="129">
        <v>54</v>
      </c>
      <c r="BW54" s="129">
        <v>10.3</v>
      </c>
      <c r="BX54" s="129">
        <v>10</v>
      </c>
      <c r="BY54" s="129">
        <v>8.6999999999999993</v>
      </c>
      <c r="BZ54" s="129">
        <v>4</v>
      </c>
      <c r="CA54" s="129">
        <v>2.8</v>
      </c>
      <c r="CB54" s="129">
        <v>0.8</v>
      </c>
      <c r="CC54" s="129">
        <v>0.8</v>
      </c>
      <c r="CE54" s="129">
        <v>0.7</v>
      </c>
      <c r="DJ54" s="129">
        <v>0</v>
      </c>
      <c r="DK54" s="129">
        <v>0</v>
      </c>
      <c r="DL54" s="129"/>
      <c r="DM54" s="129">
        <v>-7.7</v>
      </c>
      <c r="DO54" s="129">
        <v>-1.7</v>
      </c>
      <c r="DQ54" s="129">
        <v>1372560</v>
      </c>
      <c r="DS54" s="129">
        <v>3</v>
      </c>
      <c r="DT54" s="132"/>
      <c r="DU54" s="129" t="s">
        <v>266</v>
      </c>
      <c r="DW54" s="129">
        <f>SUM(_2025_01_07T12_47_export3[[#This Row],[Ni_wt]:[H_wt]])</f>
        <v>100.00000000000001</v>
      </c>
      <c r="DY54" s="130">
        <f>SUM($AM54:BJ54)</f>
        <v>100.00000000000001</v>
      </c>
    </row>
    <row r="55" spans="1:129" x14ac:dyDescent="0.25">
      <c r="A55" s="238" t="s">
        <v>270</v>
      </c>
      <c r="B55" s="238">
        <v>63</v>
      </c>
      <c r="C55" s="238" t="s">
        <v>223</v>
      </c>
      <c r="D55" s="238">
        <v>2023</v>
      </c>
      <c r="E55" s="238" t="s">
        <v>262</v>
      </c>
      <c r="F55" s="238" t="s">
        <v>263</v>
      </c>
      <c r="G55" s="238" t="s">
        <v>226</v>
      </c>
      <c r="H55" s="238">
        <v>0</v>
      </c>
      <c r="I55" s="238">
        <v>700</v>
      </c>
      <c r="J55" s="238">
        <v>500</v>
      </c>
      <c r="K55" s="238" t="s">
        <v>269</v>
      </c>
      <c r="L55" s="238" t="s">
        <v>227</v>
      </c>
      <c r="M55" s="238"/>
      <c r="N55" s="238">
        <v>7980000</v>
      </c>
      <c r="O55" s="239">
        <v>9.98</v>
      </c>
      <c r="P55" s="239">
        <v>16.77</v>
      </c>
      <c r="Q55" s="239">
        <v>2.16</v>
      </c>
      <c r="R55" s="239">
        <f>100-SUM(,_2025_01_07T12_47_export3[[#This Row],[Ni_wt]:[Mo_wt]],_2025_01_07T12_47_export3[[#This Row],[W_wt]:[H_wt]])</f>
        <v>69.03</v>
      </c>
      <c r="S55" s="239"/>
      <c r="T55" s="239"/>
      <c r="U55" s="239">
        <v>1.66</v>
      </c>
      <c r="V55" s="239"/>
      <c r="W55" s="239"/>
      <c r="X55" s="239">
        <v>0.35</v>
      </c>
      <c r="Y55" s="239">
        <v>1.7999999999999999E-2</v>
      </c>
      <c r="Z55" s="239"/>
      <c r="AA55" s="239"/>
      <c r="AB55" s="239"/>
      <c r="AC55" s="239">
        <v>3.2000000000000001E-2</v>
      </c>
      <c r="AD55" s="239"/>
      <c r="AE55" s="239"/>
      <c r="AF55" s="239"/>
      <c r="AG55" s="239"/>
      <c r="AH55" s="239"/>
      <c r="AI55" s="239"/>
      <c r="AJ55" s="239"/>
      <c r="AK55" s="239"/>
      <c r="AL55" s="239"/>
      <c r="AM55" s="239">
        <f t="shared" si="0"/>
        <v>9.4667153159315394</v>
      </c>
      <c r="AN55" s="239">
        <f t="shared" si="1"/>
        <v>17.954057195408527</v>
      </c>
      <c r="AO55" s="239">
        <f t="shared" si="2"/>
        <v>1.2531307793648654</v>
      </c>
      <c r="AP55" s="239">
        <f t="shared" si="3"/>
        <v>68.80936995962611</v>
      </c>
      <c r="AQ55" s="239">
        <f t="shared" si="4"/>
        <v>0</v>
      </c>
      <c r="AR55" s="239">
        <f t="shared" si="5"/>
        <v>0</v>
      </c>
      <c r="AS55" s="239">
        <f t="shared" si="6"/>
        <v>1.6821019657457552</v>
      </c>
      <c r="AT55" s="239">
        <f t="shared" si="7"/>
        <v>0</v>
      </c>
      <c r="AU55" s="239">
        <f t="shared" si="8"/>
        <v>0</v>
      </c>
      <c r="AV55" s="239">
        <f t="shared" si="9"/>
        <v>0.69366405528111286</v>
      </c>
      <c r="AW55" s="239">
        <f t="shared" si="10"/>
        <v>8.3437711343222629E-2</v>
      </c>
      <c r="AX55" s="239">
        <f t="shared" si="11"/>
        <v>0</v>
      </c>
      <c r="AY55" s="239">
        <f t="shared" si="12"/>
        <v>0</v>
      </c>
      <c r="AZ55" s="239">
        <f t="shared" si="13"/>
        <v>0</v>
      </c>
      <c r="BA55" s="239">
        <f t="shared" si="14"/>
        <v>5.7523017298868662E-2</v>
      </c>
      <c r="BB55" s="239">
        <f t="shared" si="15"/>
        <v>0</v>
      </c>
      <c r="BC55" s="239">
        <f t="shared" si="16"/>
        <v>0</v>
      </c>
      <c r="BD55" s="239">
        <f t="shared" si="17"/>
        <v>0</v>
      </c>
      <c r="BE55" s="239">
        <f t="shared" si="18"/>
        <v>0</v>
      </c>
      <c r="BF55" s="239">
        <f t="shared" si="19"/>
        <v>0</v>
      </c>
      <c r="BG55" s="239">
        <f t="shared" si="20"/>
        <v>0</v>
      </c>
      <c r="BH55" s="239">
        <f t="shared" si="21"/>
        <v>0</v>
      </c>
      <c r="BI55" s="239">
        <f t="shared" si="22"/>
        <v>0</v>
      </c>
      <c r="BJ55" s="239">
        <f t="shared" si="23"/>
        <v>0</v>
      </c>
      <c r="BK55" s="239">
        <f t="shared" si="24"/>
        <v>-137.41261437808242</v>
      </c>
      <c r="BL55" s="239">
        <f>IF($K55=$L55,$BK55,IF(OR($K55="graphite",$K55="vitreous carbon"),$BK$406+($BM$389+$I55)*$BJ$406,IF($K55="Pyrolytic Boron Nitride","PBN",IF(COUNTIF($BH$396:$BH$416,$K55)&gt;0,VLOOKUP($K55,$BH$396:$BK$416,4,FALSE)+($BM$389+$I55)*VLOOKUP($K55,$BH$396:$BK$416,3,FALSE),IF(COUNTIF($L$2:$L54,$K55)&gt;0,VLOOKUP($K55,$L$2:$BK54,52,FALSE),"idk")))))</f>
        <v>-63.529671587210359</v>
      </c>
      <c r="BM55" s="239">
        <v>14</v>
      </c>
      <c r="BN55" s="239">
        <v>11</v>
      </c>
      <c r="BO55" s="239">
        <v>1.5</v>
      </c>
      <c r="BP55" s="238" t="s">
        <v>245</v>
      </c>
      <c r="BQ55" s="238" t="s">
        <v>265</v>
      </c>
      <c r="BR55" s="238" t="s">
        <v>247</v>
      </c>
      <c r="BS55" s="238"/>
      <c r="BT55" s="238">
        <v>0</v>
      </c>
      <c r="BU55" s="238">
        <v>78</v>
      </c>
      <c r="BV55" s="238">
        <v>54</v>
      </c>
      <c r="BW55" s="238">
        <v>10.3</v>
      </c>
      <c r="BX55" s="238">
        <v>10</v>
      </c>
      <c r="BY55" s="238">
        <v>8.6999999999999993</v>
      </c>
      <c r="BZ55" s="238">
        <v>4</v>
      </c>
      <c r="CA55" s="238">
        <v>2.8</v>
      </c>
      <c r="CB55" s="238">
        <v>0.8</v>
      </c>
      <c r="CC55" s="238">
        <v>0.8</v>
      </c>
      <c r="CD55" s="238"/>
      <c r="CE55" s="238">
        <v>0.7</v>
      </c>
      <c r="CF55" s="238"/>
      <c r="CG55" s="238"/>
      <c r="CH55" s="238"/>
      <c r="CI55" s="238"/>
      <c r="CJ55" s="238"/>
      <c r="CK55" s="238"/>
      <c r="CL55" s="238"/>
      <c r="CM55" s="238"/>
      <c r="CN55" s="238"/>
      <c r="CO55" s="238"/>
      <c r="CP55" s="238"/>
      <c r="CQ55" s="238"/>
      <c r="CR55" s="238"/>
      <c r="CS55" s="238"/>
      <c r="CT55" s="238"/>
      <c r="CU55" s="238"/>
      <c r="CV55" s="238"/>
      <c r="CW55" s="238"/>
      <c r="CX55" s="238"/>
      <c r="CY55" s="238"/>
      <c r="CZ55" s="238"/>
      <c r="DA55" s="238"/>
      <c r="DB55" s="238"/>
      <c r="DC55" s="238"/>
      <c r="DD55" s="238"/>
      <c r="DE55" s="238"/>
      <c r="DF55" s="238"/>
      <c r="DG55" s="238"/>
      <c r="DH55" s="238"/>
      <c r="DI55" s="238"/>
      <c r="DJ55" s="238">
        <v>0</v>
      </c>
      <c r="DK55" s="238">
        <v>0</v>
      </c>
      <c r="DL55" s="238"/>
      <c r="DM55" s="238">
        <v>-5.8</v>
      </c>
      <c r="DN55" s="238"/>
      <c r="DO55" s="238">
        <v>-2</v>
      </c>
      <c r="DP55" s="238"/>
      <c r="DQ55" s="238">
        <v>1369368</v>
      </c>
      <c r="DR55" s="238"/>
      <c r="DS55" s="238">
        <v>3</v>
      </c>
      <c r="DT55" s="238"/>
      <c r="DU55" s="238" t="s">
        <v>266</v>
      </c>
      <c r="DW55" s="129">
        <f>SUM(_2025_01_07T12_47_export3[[#This Row],[Ni_wt]:[H_wt]])</f>
        <v>99.999999999999986</v>
      </c>
      <c r="DY55" s="130">
        <f>SUM($AM55:BJ55)</f>
        <v>100.00000000000001</v>
      </c>
    </row>
    <row r="56" spans="1:129" x14ac:dyDescent="0.25">
      <c r="A56" s="129" t="s">
        <v>270</v>
      </c>
      <c r="B56" s="129">
        <v>64</v>
      </c>
      <c r="C56" s="129" t="s">
        <v>223</v>
      </c>
      <c r="D56" s="129">
        <v>2023</v>
      </c>
      <c r="E56" s="129" t="s">
        <v>262</v>
      </c>
      <c r="F56" s="129" t="s">
        <v>263</v>
      </c>
      <c r="G56" s="129" t="s">
        <v>226</v>
      </c>
      <c r="H56" s="129">
        <v>0</v>
      </c>
      <c r="I56" s="129">
        <v>700</v>
      </c>
      <c r="J56" s="129">
        <v>500</v>
      </c>
      <c r="K56" s="129" t="s">
        <v>227</v>
      </c>
      <c r="L56" s="129" t="s">
        <v>227</v>
      </c>
      <c r="N56" s="129">
        <v>7980000</v>
      </c>
      <c r="O56" s="130">
        <v>9.98</v>
      </c>
      <c r="P56" s="130">
        <v>16.77</v>
      </c>
      <c r="Q56" s="130">
        <v>2.16</v>
      </c>
      <c r="R56" s="130">
        <f>100-SUM(,_2025_01_07T12_47_export3[[#This Row],[Ni_wt]:[Mo_wt]],_2025_01_07T12_47_export3[[#This Row],[W_wt]:[H_wt]])</f>
        <v>69.03</v>
      </c>
      <c r="S56" s="130"/>
      <c r="T56" s="130"/>
      <c r="U56" s="130">
        <v>1.66</v>
      </c>
      <c r="V56" s="130"/>
      <c r="W56" s="130"/>
      <c r="X56" s="130">
        <v>0.35</v>
      </c>
      <c r="Y56" s="130">
        <v>1.7999999999999999E-2</v>
      </c>
      <c r="Z56" s="130"/>
      <c r="AA56" s="130"/>
      <c r="AB56" s="130"/>
      <c r="AC56" s="130">
        <v>3.2000000000000001E-2</v>
      </c>
      <c r="AD56" s="130"/>
      <c r="AE56" s="130"/>
      <c r="AF56" s="130"/>
      <c r="AG56" s="130"/>
      <c r="AH56" s="130"/>
      <c r="AI56" s="130"/>
      <c r="AJ56" s="130"/>
      <c r="AK56" s="130"/>
      <c r="AL56" s="130"/>
      <c r="AM56" s="130">
        <f t="shared" si="0"/>
        <v>9.4667153159315394</v>
      </c>
      <c r="AN56" s="130">
        <f t="shared" si="1"/>
        <v>17.954057195408527</v>
      </c>
      <c r="AO56" s="130">
        <f t="shared" si="2"/>
        <v>1.2531307793648654</v>
      </c>
      <c r="AP56" s="130">
        <f t="shared" si="3"/>
        <v>68.80936995962611</v>
      </c>
      <c r="AQ56" s="130">
        <f t="shared" si="4"/>
        <v>0</v>
      </c>
      <c r="AR56" s="130">
        <f t="shared" si="5"/>
        <v>0</v>
      </c>
      <c r="AS56" s="130">
        <f t="shared" si="6"/>
        <v>1.6821019657457552</v>
      </c>
      <c r="AT56" s="130">
        <f t="shared" si="7"/>
        <v>0</v>
      </c>
      <c r="AU56" s="130">
        <f t="shared" si="8"/>
        <v>0</v>
      </c>
      <c r="AV56" s="130">
        <f t="shared" si="9"/>
        <v>0.69366405528111286</v>
      </c>
      <c r="AW56" s="130">
        <f t="shared" si="10"/>
        <v>8.3437711343222629E-2</v>
      </c>
      <c r="AX56" s="130">
        <f t="shared" si="11"/>
        <v>0</v>
      </c>
      <c r="AY56" s="130">
        <f t="shared" si="12"/>
        <v>0</v>
      </c>
      <c r="AZ56" s="130">
        <f t="shared" si="13"/>
        <v>0</v>
      </c>
      <c r="BA56" s="130">
        <f t="shared" si="14"/>
        <v>5.7523017298868662E-2</v>
      </c>
      <c r="BB56" s="130">
        <f t="shared" si="15"/>
        <v>0</v>
      </c>
      <c r="BC56" s="130">
        <f t="shared" si="16"/>
        <v>0</v>
      </c>
      <c r="BD56" s="130">
        <f t="shared" si="17"/>
        <v>0</v>
      </c>
      <c r="BE56" s="130">
        <f t="shared" si="18"/>
        <v>0</v>
      </c>
      <c r="BF56" s="130">
        <f t="shared" si="19"/>
        <v>0</v>
      </c>
      <c r="BG56" s="130">
        <f t="shared" si="20"/>
        <v>0</v>
      </c>
      <c r="BH56" s="130">
        <f t="shared" si="21"/>
        <v>0</v>
      </c>
      <c r="BI56" s="130">
        <f t="shared" si="22"/>
        <v>0</v>
      </c>
      <c r="BJ56" s="130">
        <f t="shared" si="23"/>
        <v>0</v>
      </c>
      <c r="BK56" s="130">
        <f t="shared" si="24"/>
        <v>-137.41261437808242</v>
      </c>
      <c r="BL56" s="130">
        <f>IF($K56=$L56,$BK56,IF(OR($K56="graphite",$K56="vitreous carbon"),$BK$406+($BM$389+$I56)*$BJ$406,IF($K56="Pyrolytic Boron Nitride","PBN",IF(COUNTIF($BH$396:$BH$416,$K56)&gt;0,VLOOKUP($K56,$BH$396:$BK$416,4,FALSE)+($BM$389+$I56)*VLOOKUP($K56,$BH$396:$BK$416,3,FALSE),IF(COUNTIF($L$2:$L55,$K56)&gt;0,VLOOKUP($K56,$L$2:$BK55,52,FALSE),"idk")))))</f>
        <v>-137.41261437808242</v>
      </c>
      <c r="BM56" s="130">
        <v>14</v>
      </c>
      <c r="BN56" s="130">
        <v>11</v>
      </c>
      <c r="BO56" s="130">
        <v>1.5</v>
      </c>
      <c r="BP56" s="129" t="s">
        <v>245</v>
      </c>
      <c r="BQ56" s="129" t="s">
        <v>265</v>
      </c>
      <c r="BR56" s="129" t="s">
        <v>247</v>
      </c>
      <c r="BS56" s="129"/>
      <c r="BT56" s="129">
        <v>0</v>
      </c>
      <c r="BU56" s="129">
        <v>78</v>
      </c>
      <c r="BV56" s="129">
        <v>54</v>
      </c>
      <c r="BW56" s="129">
        <v>10.3</v>
      </c>
      <c r="BX56" s="129">
        <v>10</v>
      </c>
      <c r="BY56" s="129">
        <v>8.6999999999999993</v>
      </c>
      <c r="BZ56" s="129">
        <v>4</v>
      </c>
      <c r="CA56" s="129">
        <v>2.8</v>
      </c>
      <c r="CB56" s="129">
        <v>0.8</v>
      </c>
      <c r="CC56" s="129">
        <v>0.8</v>
      </c>
      <c r="CE56" s="129">
        <v>0.7</v>
      </c>
      <c r="DJ56" s="129">
        <v>0</v>
      </c>
      <c r="DK56" s="129">
        <v>0</v>
      </c>
      <c r="DL56" s="129"/>
      <c r="DM56" s="129">
        <v>-6</v>
      </c>
      <c r="DO56" s="129">
        <v>-0.11899999999999999</v>
      </c>
      <c r="DQ56" s="129">
        <v>1372560</v>
      </c>
      <c r="DS56" s="129">
        <v>3</v>
      </c>
      <c r="DT56" s="135"/>
      <c r="DU56" s="129" t="s">
        <v>266</v>
      </c>
      <c r="DW56" s="129">
        <f>SUM(_2025_01_07T12_47_export3[[#This Row],[Ni_wt]:[H_wt]])</f>
        <v>99.999999999999986</v>
      </c>
      <c r="DY56" s="130">
        <f>SUM($AM56:BJ56)</f>
        <v>100.00000000000001</v>
      </c>
    </row>
    <row r="57" spans="1:129" ht="16.5" thickBot="1" x14ac:dyDescent="0.3">
      <c r="A57" s="136" t="s">
        <v>270</v>
      </c>
      <c r="B57" s="136">
        <v>65</v>
      </c>
      <c r="C57" s="136" t="s">
        <v>223</v>
      </c>
      <c r="D57" s="136">
        <v>2023</v>
      </c>
      <c r="E57" s="136" t="s">
        <v>262</v>
      </c>
      <c r="F57" s="136" t="s">
        <v>263</v>
      </c>
      <c r="G57" s="136" t="s">
        <v>226</v>
      </c>
      <c r="H57" s="136">
        <v>0</v>
      </c>
      <c r="I57" s="136">
        <v>700</v>
      </c>
      <c r="J57" s="136">
        <v>500</v>
      </c>
      <c r="K57" s="136" t="s">
        <v>268</v>
      </c>
      <c r="L57" s="136" t="s">
        <v>227</v>
      </c>
      <c r="M57" s="136"/>
      <c r="N57" s="136">
        <v>7980000</v>
      </c>
      <c r="O57" s="137">
        <v>9.98</v>
      </c>
      <c r="P57" s="137">
        <v>16.77</v>
      </c>
      <c r="Q57" s="137">
        <v>2.16</v>
      </c>
      <c r="R57" s="137">
        <f>100-SUM(,_2025_01_07T12_47_export3[[#This Row],[Ni_wt]:[Mo_wt]],_2025_01_07T12_47_export3[[#This Row],[W_wt]:[H_wt]])</f>
        <v>69.03</v>
      </c>
      <c r="S57" s="137"/>
      <c r="T57" s="137"/>
      <c r="U57" s="137">
        <v>1.66</v>
      </c>
      <c r="V57" s="137"/>
      <c r="W57" s="137"/>
      <c r="X57" s="137">
        <v>0.35</v>
      </c>
      <c r="Y57" s="137">
        <v>1.7999999999999999E-2</v>
      </c>
      <c r="Z57" s="137"/>
      <c r="AA57" s="137"/>
      <c r="AB57" s="137"/>
      <c r="AC57" s="137">
        <v>3.2000000000000001E-2</v>
      </c>
      <c r="AD57" s="137"/>
      <c r="AE57" s="137"/>
      <c r="AF57" s="137"/>
      <c r="AG57" s="137"/>
      <c r="AH57" s="137"/>
      <c r="AI57" s="137"/>
      <c r="AJ57" s="137"/>
      <c r="AK57" s="137"/>
      <c r="AL57" s="137"/>
      <c r="AM57" s="137">
        <f t="shared" si="0"/>
        <v>9.4667153159315394</v>
      </c>
      <c r="AN57" s="137">
        <f t="shared" si="1"/>
        <v>17.954057195408527</v>
      </c>
      <c r="AO57" s="137">
        <f t="shared" si="2"/>
        <v>1.2531307793648654</v>
      </c>
      <c r="AP57" s="137">
        <f t="shared" si="3"/>
        <v>68.80936995962611</v>
      </c>
      <c r="AQ57" s="137">
        <f t="shared" si="4"/>
        <v>0</v>
      </c>
      <c r="AR57" s="137">
        <f t="shared" si="5"/>
        <v>0</v>
      </c>
      <c r="AS57" s="137">
        <f t="shared" si="6"/>
        <v>1.6821019657457552</v>
      </c>
      <c r="AT57" s="137">
        <f t="shared" si="7"/>
        <v>0</v>
      </c>
      <c r="AU57" s="137">
        <f t="shared" si="8"/>
        <v>0</v>
      </c>
      <c r="AV57" s="137">
        <f t="shared" si="9"/>
        <v>0.69366405528111286</v>
      </c>
      <c r="AW57" s="137">
        <f t="shared" si="10"/>
        <v>8.3437711343222629E-2</v>
      </c>
      <c r="AX57" s="137">
        <f t="shared" si="11"/>
        <v>0</v>
      </c>
      <c r="AY57" s="137">
        <f t="shared" si="12"/>
        <v>0</v>
      </c>
      <c r="AZ57" s="137">
        <f t="shared" si="13"/>
        <v>0</v>
      </c>
      <c r="BA57" s="137">
        <f t="shared" si="14"/>
        <v>5.7523017298868662E-2</v>
      </c>
      <c r="BB57" s="137">
        <f t="shared" si="15"/>
        <v>0</v>
      </c>
      <c r="BC57" s="137">
        <f t="shared" si="16"/>
        <v>0</v>
      </c>
      <c r="BD57" s="137">
        <f t="shared" si="17"/>
        <v>0</v>
      </c>
      <c r="BE57" s="137">
        <f t="shared" si="18"/>
        <v>0</v>
      </c>
      <c r="BF57" s="137">
        <f t="shared" si="19"/>
        <v>0</v>
      </c>
      <c r="BG57" s="137">
        <f t="shared" si="20"/>
        <v>0</v>
      </c>
      <c r="BH57" s="137">
        <f t="shared" si="21"/>
        <v>0</v>
      </c>
      <c r="BI57" s="137">
        <f t="shared" si="22"/>
        <v>0</v>
      </c>
      <c r="BJ57" s="137">
        <f t="shared" si="23"/>
        <v>0</v>
      </c>
      <c r="BK57" s="137">
        <f t="shared" si="24"/>
        <v>-137.41261437808242</v>
      </c>
      <c r="BL57" s="137" t="str">
        <f>IF($K57=$L57,$BK57,IF(OR($K57="graphite",$K57="vitreous carbon"),$BK$406+($BM$389+$I57)*$BJ$406,IF($K57="Pyrolytic Boron Nitride","PBN",IF(COUNTIF($BH$396:$BH$416,$K57)&gt;0,VLOOKUP($K57,$BH$396:$BK$416,4,FALSE)+($BM$389+$I57)*VLOOKUP($K57,$BH$396:$BK$416,3,FALSE),IF(COUNTIF($L$2:$L56,$K57)&gt;0,VLOOKUP($K57,$L$2:$BK56,52,FALSE),"idk")))))</f>
        <v>PBN</v>
      </c>
      <c r="BM57" s="137">
        <v>14</v>
      </c>
      <c r="BN57" s="137">
        <v>11</v>
      </c>
      <c r="BO57" s="137">
        <v>1.5</v>
      </c>
      <c r="BP57" s="136" t="s">
        <v>245</v>
      </c>
      <c r="BQ57" s="136" t="s">
        <v>265</v>
      </c>
      <c r="BR57" s="136" t="s">
        <v>247</v>
      </c>
      <c r="BS57" s="136"/>
      <c r="BT57" s="136">
        <v>0</v>
      </c>
      <c r="BU57" s="136">
        <v>78</v>
      </c>
      <c r="BV57" s="136">
        <v>54</v>
      </c>
      <c r="BW57" s="136">
        <v>10.3</v>
      </c>
      <c r="BX57" s="136">
        <v>10</v>
      </c>
      <c r="BY57" s="136">
        <v>8.6999999999999993</v>
      </c>
      <c r="BZ57" s="136">
        <v>4</v>
      </c>
      <c r="CA57" s="136">
        <v>2.8</v>
      </c>
      <c r="CB57" s="136">
        <v>0.8</v>
      </c>
      <c r="CC57" s="136">
        <v>0.8</v>
      </c>
      <c r="CD57" s="136"/>
      <c r="CE57" s="136">
        <v>0.7</v>
      </c>
      <c r="CF57" s="136"/>
      <c r="CG57" s="136"/>
      <c r="CH57" s="136"/>
      <c r="CI57" s="136"/>
      <c r="CJ57" s="136"/>
      <c r="CK57" s="136"/>
      <c r="CL57" s="136"/>
      <c r="CM57" s="136"/>
      <c r="CN57" s="136"/>
      <c r="CO57" s="136"/>
      <c r="CP57" s="136"/>
      <c r="CQ57" s="136"/>
      <c r="CR57" s="136"/>
      <c r="CS57" s="136"/>
      <c r="CT57" s="136"/>
      <c r="CU57" s="136"/>
      <c r="CV57" s="136"/>
      <c r="CW57" s="136"/>
      <c r="CX57" s="136"/>
      <c r="CY57" s="136"/>
      <c r="CZ57" s="136"/>
      <c r="DA57" s="136"/>
      <c r="DB57" s="136"/>
      <c r="DC57" s="136"/>
      <c r="DD57" s="136"/>
      <c r="DE57" s="136"/>
      <c r="DF57" s="136"/>
      <c r="DG57" s="136"/>
      <c r="DH57" s="136"/>
      <c r="DI57" s="136"/>
      <c r="DJ57" s="136">
        <v>0</v>
      </c>
      <c r="DK57" s="136">
        <v>0</v>
      </c>
      <c r="DL57" s="136"/>
      <c r="DM57" s="136">
        <v>-5.8</v>
      </c>
      <c r="DN57" s="136"/>
      <c r="DO57" s="136">
        <v>-1.5</v>
      </c>
      <c r="DP57" s="136"/>
      <c r="DQ57" s="136">
        <v>1372560</v>
      </c>
      <c r="DR57" s="136"/>
      <c r="DS57" s="136">
        <v>3</v>
      </c>
      <c r="DT57" s="138"/>
      <c r="DU57" s="136" t="s">
        <v>266</v>
      </c>
      <c r="DW57" s="129">
        <f>SUM(_2025_01_07T12_47_export3[[#This Row],[Ni_wt]:[H_wt]])</f>
        <v>99.999999999999986</v>
      </c>
      <c r="DY57" s="130">
        <f>SUM($AM57:BJ57)</f>
        <v>100.00000000000001</v>
      </c>
    </row>
    <row r="58" spans="1:129" x14ac:dyDescent="0.25">
      <c r="A58" s="129" t="s">
        <v>271</v>
      </c>
      <c r="B58" s="129">
        <v>66</v>
      </c>
      <c r="C58" s="129" t="s">
        <v>272</v>
      </c>
      <c r="D58" s="129">
        <v>2013</v>
      </c>
      <c r="E58" s="129" t="s">
        <v>273</v>
      </c>
      <c r="F58" s="129" t="s">
        <v>274</v>
      </c>
      <c r="G58" s="129" t="s">
        <v>226</v>
      </c>
      <c r="H58" s="129">
        <v>0</v>
      </c>
      <c r="I58" s="129">
        <v>600</v>
      </c>
      <c r="J58" s="129">
        <v>100</v>
      </c>
      <c r="K58" s="129" t="s">
        <v>48</v>
      </c>
      <c r="L58" s="129" t="s">
        <v>275</v>
      </c>
      <c r="N58" s="129">
        <v>9220000</v>
      </c>
      <c r="O58" s="130">
        <v>65</v>
      </c>
      <c r="P58" s="130">
        <v>1.5</v>
      </c>
      <c r="Q58" s="130">
        <v>28.5</v>
      </c>
      <c r="R58" s="130">
        <v>1.5</v>
      </c>
      <c r="S58" s="130">
        <v>3</v>
      </c>
      <c r="T58" s="130">
        <v>3</v>
      </c>
      <c r="U58" s="130">
        <v>3</v>
      </c>
      <c r="V58" s="130">
        <v>0.5</v>
      </c>
      <c r="W58" s="130">
        <v>0.2</v>
      </c>
      <c r="X58" s="130">
        <v>0.1</v>
      </c>
      <c r="Y58" s="130">
        <v>0.01</v>
      </c>
      <c r="Z58" s="130"/>
      <c r="AA58" s="130"/>
      <c r="AB58" s="130"/>
      <c r="AC58" s="130"/>
      <c r="AD58" s="130"/>
      <c r="AE58" s="130"/>
      <c r="AF58" s="130"/>
      <c r="AG58" s="130"/>
      <c r="AH58" s="130"/>
      <c r="AI58" s="130"/>
      <c r="AJ58" s="130"/>
      <c r="AK58" s="130"/>
      <c r="AL58" s="130"/>
      <c r="AM58" s="130">
        <f t="shared" si="0"/>
        <v>68.825839891971</v>
      </c>
      <c r="AN58" s="130">
        <f t="shared" si="1"/>
        <v>1.7926280517425051</v>
      </c>
      <c r="AO58" s="130">
        <f t="shared" si="2"/>
        <v>18.456820707811541</v>
      </c>
      <c r="AP58" s="130">
        <f t="shared" si="3"/>
        <v>1.6690538709151344</v>
      </c>
      <c r="AQ58" s="130">
        <f t="shared" si="4"/>
        <v>1.0143270804201334</v>
      </c>
      <c r="AR58" s="130">
        <f t="shared" si="5"/>
        <v>3.1636402067066096</v>
      </c>
      <c r="AS58" s="130">
        <f t="shared" si="6"/>
        <v>3.3933985690065618</v>
      </c>
      <c r="AT58" s="130">
        <f t="shared" si="7"/>
        <v>1.1516760401607398</v>
      </c>
      <c r="AU58" s="130">
        <f t="shared" si="8"/>
        <v>0.25963835022800719</v>
      </c>
      <c r="AV58" s="130">
        <f t="shared" si="9"/>
        <v>0.22123331835910828</v>
      </c>
      <c r="AW58" s="130">
        <f t="shared" si="10"/>
        <v>5.1743912678662372E-2</v>
      </c>
      <c r="AX58" s="130">
        <f t="shared" si="11"/>
        <v>0</v>
      </c>
      <c r="AY58" s="130">
        <f t="shared" si="12"/>
        <v>0</v>
      </c>
      <c r="AZ58" s="130">
        <f t="shared" si="13"/>
        <v>0</v>
      </c>
      <c r="BA58" s="130">
        <f t="shared" si="14"/>
        <v>0</v>
      </c>
      <c r="BB58" s="130">
        <f t="shared" si="15"/>
        <v>0</v>
      </c>
      <c r="BC58" s="130">
        <f t="shared" si="16"/>
        <v>0</v>
      </c>
      <c r="BD58" s="130">
        <f t="shared" si="17"/>
        <v>0</v>
      </c>
      <c r="BE58" s="130">
        <f t="shared" si="18"/>
        <v>0</v>
      </c>
      <c r="BF58" s="130">
        <f t="shared" si="19"/>
        <v>0</v>
      </c>
      <c r="BG58" s="130">
        <f t="shared" si="20"/>
        <v>0</v>
      </c>
      <c r="BH58" s="130">
        <f t="shared" si="21"/>
        <v>0</v>
      </c>
      <c r="BI58" s="130">
        <f t="shared" si="22"/>
        <v>0</v>
      </c>
      <c r="BJ58" s="130">
        <f t="shared" si="23"/>
        <v>0</v>
      </c>
      <c r="BK58" s="130">
        <f t="shared" si="24"/>
        <v>-126.67062094491158</v>
      </c>
      <c r="BL58" s="130">
        <f>IF($K58=$L58,$BK58,IF(OR($K58="graphite",$K58="vitreous carbon"),$BK$406+($BM$389+$I58)*$BJ$406,IF($K58="Pyrolytic Boron Nitride","PBN",IF(COUNTIF($BH$396:$BH$416,$K58)&gt;0,VLOOKUP($K58,$BH$396:$BK$416,4,FALSE)+($BM$389+$I58)*VLOOKUP($K58,$BH$396:$BK$416,3,FALSE),IF(COUNTIF($L$2:$L57,$K58)&gt;0,VLOOKUP($K58,$L$2:$BK57,52,FALSE),"idk")))))</f>
        <v>-125.32307267842094</v>
      </c>
      <c r="BM58" s="130"/>
      <c r="BN58" s="130"/>
      <c r="BO58" s="130"/>
      <c r="BP58" s="129" t="s">
        <v>245</v>
      </c>
      <c r="BQ58" s="129" t="s">
        <v>276</v>
      </c>
      <c r="BR58" s="129" t="s">
        <v>247</v>
      </c>
      <c r="BS58" s="129">
        <v>3.19</v>
      </c>
      <c r="BT58" s="129">
        <v>0</v>
      </c>
      <c r="BV58" s="129"/>
      <c r="BZ58" s="129"/>
      <c r="DJ58" s="129">
        <v>0</v>
      </c>
      <c r="DK58" s="129">
        <v>0</v>
      </c>
      <c r="DL58" s="129"/>
      <c r="DO58" s="129">
        <v>-12.37</v>
      </c>
      <c r="DQ58" s="129">
        <v>184400</v>
      </c>
      <c r="DS58" s="129">
        <v>3</v>
      </c>
      <c r="DT58" s="4" t="s">
        <v>278</v>
      </c>
      <c r="DU58" s="129" t="s">
        <v>277</v>
      </c>
      <c r="DW58" s="129">
        <f>SUM(_2025_01_07T12_47_export3[[#This Row],[Ni_wt]:[H_wt]])</f>
        <v>106.31</v>
      </c>
      <c r="DY58" s="130">
        <f>SUM($AM58:BJ58)</f>
        <v>100</v>
      </c>
    </row>
    <row r="59" spans="1:129" x14ac:dyDescent="0.25">
      <c r="A59" s="129" t="s">
        <v>271</v>
      </c>
      <c r="B59" s="129">
        <v>67</v>
      </c>
      <c r="C59" s="129" t="s">
        <v>272</v>
      </c>
      <c r="D59" s="129">
        <v>2013</v>
      </c>
      <c r="E59" s="129" t="s">
        <v>273</v>
      </c>
      <c r="F59" s="129" t="s">
        <v>274</v>
      </c>
      <c r="G59" s="129" t="s">
        <v>226</v>
      </c>
      <c r="H59" s="129">
        <v>0</v>
      </c>
      <c r="I59" s="129">
        <v>600</v>
      </c>
      <c r="J59" s="129">
        <v>300</v>
      </c>
      <c r="K59" s="129" t="s">
        <v>48</v>
      </c>
      <c r="L59" s="129" t="s">
        <v>275</v>
      </c>
      <c r="N59" s="129">
        <v>9220000</v>
      </c>
      <c r="O59" s="130">
        <v>65</v>
      </c>
      <c r="P59" s="130">
        <v>1.5</v>
      </c>
      <c r="Q59" s="130">
        <v>28.5</v>
      </c>
      <c r="R59" s="130">
        <v>1.5</v>
      </c>
      <c r="S59" s="130">
        <v>3</v>
      </c>
      <c r="T59" s="130">
        <v>3</v>
      </c>
      <c r="U59" s="130">
        <v>3</v>
      </c>
      <c r="V59" s="130">
        <v>0.5</v>
      </c>
      <c r="W59" s="130">
        <v>0.2</v>
      </c>
      <c r="X59" s="130">
        <v>0.1</v>
      </c>
      <c r="Y59" s="130">
        <v>0.01</v>
      </c>
      <c r="Z59" s="130"/>
      <c r="AA59" s="130"/>
      <c r="AB59" s="130"/>
      <c r="AC59" s="130"/>
      <c r="AD59" s="130"/>
      <c r="AE59" s="130"/>
      <c r="AF59" s="130"/>
      <c r="AG59" s="130"/>
      <c r="AH59" s="130"/>
      <c r="AI59" s="130"/>
      <c r="AJ59" s="130"/>
      <c r="AK59" s="130"/>
      <c r="AL59" s="130"/>
      <c r="AM59" s="130">
        <f t="shared" si="0"/>
        <v>68.825839891971</v>
      </c>
      <c r="AN59" s="130">
        <f t="shared" si="1"/>
        <v>1.7926280517425051</v>
      </c>
      <c r="AO59" s="130">
        <f t="shared" si="2"/>
        <v>18.456820707811541</v>
      </c>
      <c r="AP59" s="130">
        <f t="shared" si="3"/>
        <v>1.6690538709151344</v>
      </c>
      <c r="AQ59" s="130">
        <f t="shared" si="4"/>
        <v>1.0143270804201334</v>
      </c>
      <c r="AR59" s="130">
        <f t="shared" si="5"/>
        <v>3.1636402067066096</v>
      </c>
      <c r="AS59" s="130">
        <f t="shared" si="6"/>
        <v>3.3933985690065618</v>
      </c>
      <c r="AT59" s="130">
        <f t="shared" si="7"/>
        <v>1.1516760401607398</v>
      </c>
      <c r="AU59" s="130">
        <f t="shared" si="8"/>
        <v>0.25963835022800719</v>
      </c>
      <c r="AV59" s="130">
        <f t="shared" si="9"/>
        <v>0.22123331835910828</v>
      </c>
      <c r="AW59" s="130">
        <f t="shared" si="10"/>
        <v>5.1743912678662372E-2</v>
      </c>
      <c r="AX59" s="130">
        <f t="shared" si="11"/>
        <v>0</v>
      </c>
      <c r="AY59" s="130">
        <f t="shared" si="12"/>
        <v>0</v>
      </c>
      <c r="AZ59" s="130">
        <f t="shared" si="13"/>
        <v>0</v>
      </c>
      <c r="BA59" s="130">
        <f t="shared" si="14"/>
        <v>0</v>
      </c>
      <c r="BB59" s="130">
        <f t="shared" si="15"/>
        <v>0</v>
      </c>
      <c r="BC59" s="130">
        <f t="shared" si="16"/>
        <v>0</v>
      </c>
      <c r="BD59" s="130">
        <f t="shared" si="17"/>
        <v>0</v>
      </c>
      <c r="BE59" s="130">
        <f t="shared" si="18"/>
        <v>0</v>
      </c>
      <c r="BF59" s="130">
        <f t="shared" si="19"/>
        <v>0</v>
      </c>
      <c r="BG59" s="130">
        <f t="shared" si="20"/>
        <v>0</v>
      </c>
      <c r="BH59" s="130">
        <f t="shared" si="21"/>
        <v>0</v>
      </c>
      <c r="BI59" s="130">
        <f t="shared" si="22"/>
        <v>0</v>
      </c>
      <c r="BJ59" s="130">
        <f t="shared" si="23"/>
        <v>0</v>
      </c>
      <c r="BK59" s="130">
        <f t="shared" si="24"/>
        <v>-126.67062094491158</v>
      </c>
      <c r="BL59" s="130">
        <f>IF($K59=$L59,$BK59,IF(OR($K59="graphite",$K59="vitreous carbon"),$BK$406+($BM$389+$I59)*$BJ$406,IF($K59="Pyrolytic Boron Nitride","PBN",IF(COUNTIF($BH$396:$BH$416,$K59)&gt;0,VLOOKUP($K59,$BH$396:$BK$416,4,FALSE)+($BM$389+$I59)*VLOOKUP($K59,$BH$396:$BK$416,3,FALSE),IF(COUNTIF($L$2:$L58,$K59)&gt;0,VLOOKUP($K59,$L$2:$BK58,52,FALSE),"idk")))))</f>
        <v>-125.32307267842094</v>
      </c>
      <c r="BM59" s="130"/>
      <c r="BN59" s="130"/>
      <c r="BO59" s="130"/>
      <c r="BP59" s="129" t="s">
        <v>245</v>
      </c>
      <c r="BQ59" s="129" t="s">
        <v>276</v>
      </c>
      <c r="BR59" s="129" t="s">
        <v>247</v>
      </c>
      <c r="BS59" s="129">
        <v>3.19</v>
      </c>
      <c r="BT59" s="129">
        <v>0</v>
      </c>
      <c r="BV59" s="129"/>
      <c r="BZ59" s="129"/>
      <c r="DJ59" s="129">
        <v>0</v>
      </c>
      <c r="DK59" s="129">
        <v>0</v>
      </c>
      <c r="DL59" s="129"/>
      <c r="DO59" s="129">
        <v>-24.48</v>
      </c>
      <c r="DQ59" s="129">
        <v>184400</v>
      </c>
      <c r="DS59" s="129">
        <v>3</v>
      </c>
      <c r="DU59" s="129" t="s">
        <v>277</v>
      </c>
      <c r="DW59" s="129">
        <f>SUM(_2025_01_07T12_47_export3[[#This Row],[Ni_wt]:[H_wt]])</f>
        <v>106.31</v>
      </c>
      <c r="DY59" s="130">
        <f>SUM($AM59:BJ59)</f>
        <v>100</v>
      </c>
    </row>
    <row r="60" spans="1:129" x14ac:dyDescent="0.25">
      <c r="A60" s="129" t="s">
        <v>271</v>
      </c>
      <c r="B60" s="129">
        <v>68</v>
      </c>
      <c r="C60" s="129" t="s">
        <v>272</v>
      </c>
      <c r="D60" s="129">
        <v>2013</v>
      </c>
      <c r="E60" s="129" t="s">
        <v>273</v>
      </c>
      <c r="F60" s="129" t="s">
        <v>274</v>
      </c>
      <c r="G60" s="129" t="s">
        <v>226</v>
      </c>
      <c r="H60" s="129">
        <v>0</v>
      </c>
      <c r="I60" s="129">
        <v>700</v>
      </c>
      <c r="J60" s="129">
        <v>100</v>
      </c>
      <c r="K60" s="129" t="s">
        <v>48</v>
      </c>
      <c r="L60" s="129" t="s">
        <v>275</v>
      </c>
      <c r="N60" s="129">
        <v>9220000</v>
      </c>
      <c r="O60" s="130">
        <v>65</v>
      </c>
      <c r="P60" s="130">
        <v>1.5</v>
      </c>
      <c r="Q60" s="130">
        <v>28.5</v>
      </c>
      <c r="R60" s="130">
        <v>1.5</v>
      </c>
      <c r="S60" s="130">
        <v>3</v>
      </c>
      <c r="T60" s="130">
        <v>3</v>
      </c>
      <c r="U60" s="130">
        <v>3</v>
      </c>
      <c r="V60" s="130">
        <v>0.5</v>
      </c>
      <c r="W60" s="130">
        <v>0.2</v>
      </c>
      <c r="X60" s="130">
        <v>0.1</v>
      </c>
      <c r="Y60" s="130">
        <v>0.01</v>
      </c>
      <c r="Z60" s="130"/>
      <c r="AA60" s="130"/>
      <c r="AB60" s="130"/>
      <c r="AC60" s="130"/>
      <c r="AD60" s="130"/>
      <c r="AE60" s="130"/>
      <c r="AF60" s="130"/>
      <c r="AG60" s="130"/>
      <c r="AH60" s="130"/>
      <c r="AI60" s="130"/>
      <c r="AJ60" s="130"/>
      <c r="AK60" s="130"/>
      <c r="AL60" s="130"/>
      <c r="AM60" s="130">
        <f t="shared" si="0"/>
        <v>68.825839891971</v>
      </c>
      <c r="AN60" s="130">
        <f t="shared" si="1"/>
        <v>1.7926280517425051</v>
      </c>
      <c r="AO60" s="130">
        <f t="shared" si="2"/>
        <v>18.456820707811541</v>
      </c>
      <c r="AP60" s="130">
        <f t="shared" si="3"/>
        <v>1.6690538709151344</v>
      </c>
      <c r="AQ60" s="130">
        <f t="shared" si="4"/>
        <v>1.0143270804201334</v>
      </c>
      <c r="AR60" s="130">
        <f t="shared" si="5"/>
        <v>3.1636402067066096</v>
      </c>
      <c r="AS60" s="130">
        <f t="shared" si="6"/>
        <v>3.3933985690065618</v>
      </c>
      <c r="AT60" s="130">
        <f t="shared" si="7"/>
        <v>1.1516760401607398</v>
      </c>
      <c r="AU60" s="130">
        <f t="shared" si="8"/>
        <v>0.25963835022800719</v>
      </c>
      <c r="AV60" s="130">
        <f t="shared" si="9"/>
        <v>0.22123331835910828</v>
      </c>
      <c r="AW60" s="130">
        <f t="shared" si="10"/>
        <v>5.1743912678662372E-2</v>
      </c>
      <c r="AX60" s="130">
        <f t="shared" si="11"/>
        <v>0</v>
      </c>
      <c r="AY60" s="130">
        <f t="shared" si="12"/>
        <v>0</v>
      </c>
      <c r="AZ60" s="130">
        <f t="shared" si="13"/>
        <v>0</v>
      </c>
      <c r="BA60" s="130">
        <f t="shared" si="14"/>
        <v>0</v>
      </c>
      <c r="BB60" s="130">
        <f t="shared" si="15"/>
        <v>0</v>
      </c>
      <c r="BC60" s="130">
        <f t="shared" si="16"/>
        <v>0</v>
      </c>
      <c r="BD60" s="130">
        <f t="shared" si="17"/>
        <v>0</v>
      </c>
      <c r="BE60" s="130">
        <f t="shared" si="18"/>
        <v>0</v>
      </c>
      <c r="BF60" s="130">
        <f t="shared" si="19"/>
        <v>0</v>
      </c>
      <c r="BG60" s="130">
        <f t="shared" si="20"/>
        <v>0</v>
      </c>
      <c r="BH60" s="130">
        <f t="shared" si="21"/>
        <v>0</v>
      </c>
      <c r="BI60" s="130">
        <f t="shared" si="22"/>
        <v>0</v>
      </c>
      <c r="BJ60" s="130">
        <f t="shared" si="23"/>
        <v>0</v>
      </c>
      <c r="BK60" s="130">
        <f t="shared" si="24"/>
        <v>-123.42862137745254</v>
      </c>
      <c r="BL60" s="130">
        <f>IF($K60=$L60,$BK60,IF(OR($K60="graphite",$K60="vitreous carbon"),$BK$406+($BM$389+$I60)*$BJ$406,IF($K60="Pyrolytic Boron Nitride","PBN",IF(COUNTIF($BH$396:$BH$416,$K60)&gt;0,VLOOKUP($K60,$BH$396:$BK$416,4,FALSE)+($BM$389+$I60)*VLOOKUP($K60,$BH$396:$BK$416,3,FALSE),IF(COUNTIF($L$2:$L59,$K60)&gt;0,VLOOKUP($K60,$L$2:$BK59,52,FALSE),"idk")))))</f>
        <v>-121.74823772574202</v>
      </c>
      <c r="BM60" s="130"/>
      <c r="BN60" s="130"/>
      <c r="BO60" s="130"/>
      <c r="BP60" s="129" t="s">
        <v>245</v>
      </c>
      <c r="BQ60" s="129" t="s">
        <v>276</v>
      </c>
      <c r="BR60" s="129" t="s">
        <v>247</v>
      </c>
      <c r="BS60" s="129">
        <v>3.19</v>
      </c>
      <c r="BT60" s="129">
        <v>0</v>
      </c>
      <c r="BV60" s="129"/>
      <c r="BZ60" s="129"/>
      <c r="DJ60" s="129">
        <v>0</v>
      </c>
      <c r="DK60" s="129">
        <v>0</v>
      </c>
      <c r="DL60" s="129"/>
      <c r="DO60" s="129">
        <v>-58.04</v>
      </c>
      <c r="DQ60" s="129">
        <v>184400</v>
      </c>
      <c r="DS60" s="129">
        <v>3</v>
      </c>
      <c r="DU60" s="129" t="s">
        <v>277</v>
      </c>
      <c r="DW60" s="129">
        <f>SUM(_2025_01_07T12_47_export3[[#This Row],[Ni_wt]:[H_wt]])</f>
        <v>106.31</v>
      </c>
      <c r="DY60" s="130">
        <f>SUM($AM60:BJ60)</f>
        <v>100</v>
      </c>
    </row>
    <row r="61" spans="1:129" x14ac:dyDescent="0.25">
      <c r="A61" s="129" t="s">
        <v>271</v>
      </c>
      <c r="B61" s="129">
        <v>69</v>
      </c>
      <c r="C61" s="129" t="s">
        <v>272</v>
      </c>
      <c r="D61" s="129">
        <v>2013</v>
      </c>
      <c r="E61" s="129" t="s">
        <v>273</v>
      </c>
      <c r="F61" s="129" t="s">
        <v>274</v>
      </c>
      <c r="G61" s="129" t="s">
        <v>226</v>
      </c>
      <c r="H61" s="129">
        <v>0</v>
      </c>
      <c r="I61" s="129">
        <v>700</v>
      </c>
      <c r="J61" s="129">
        <v>200</v>
      </c>
      <c r="K61" s="129" t="s">
        <v>48</v>
      </c>
      <c r="L61" s="129" t="s">
        <v>275</v>
      </c>
      <c r="N61" s="129">
        <v>9220000</v>
      </c>
      <c r="O61" s="130">
        <v>65</v>
      </c>
      <c r="P61" s="130">
        <v>1.5</v>
      </c>
      <c r="Q61" s="130">
        <v>28.5</v>
      </c>
      <c r="R61" s="130">
        <v>1.5</v>
      </c>
      <c r="S61" s="130">
        <v>3</v>
      </c>
      <c r="T61" s="130">
        <v>3</v>
      </c>
      <c r="U61" s="130">
        <v>3</v>
      </c>
      <c r="V61" s="130">
        <v>0.5</v>
      </c>
      <c r="W61" s="130">
        <v>0.2</v>
      </c>
      <c r="X61" s="130">
        <v>0.1</v>
      </c>
      <c r="Y61" s="130">
        <v>0.01</v>
      </c>
      <c r="Z61" s="130"/>
      <c r="AA61" s="130"/>
      <c r="AB61" s="130"/>
      <c r="AC61" s="130"/>
      <c r="AD61" s="130"/>
      <c r="AE61" s="130"/>
      <c r="AF61" s="130"/>
      <c r="AG61" s="130"/>
      <c r="AH61" s="130"/>
      <c r="AI61" s="130"/>
      <c r="AJ61" s="130"/>
      <c r="AK61" s="130"/>
      <c r="AL61" s="130"/>
      <c r="AM61" s="130">
        <f t="shared" si="0"/>
        <v>68.825839891971</v>
      </c>
      <c r="AN61" s="130">
        <f t="shared" si="1"/>
        <v>1.7926280517425051</v>
      </c>
      <c r="AO61" s="130">
        <f t="shared" si="2"/>
        <v>18.456820707811541</v>
      </c>
      <c r="AP61" s="130">
        <f t="shared" si="3"/>
        <v>1.6690538709151344</v>
      </c>
      <c r="AQ61" s="130">
        <f t="shared" si="4"/>
        <v>1.0143270804201334</v>
      </c>
      <c r="AR61" s="130">
        <f t="shared" si="5"/>
        <v>3.1636402067066096</v>
      </c>
      <c r="AS61" s="130">
        <f t="shared" si="6"/>
        <v>3.3933985690065618</v>
      </c>
      <c r="AT61" s="130">
        <f t="shared" si="7"/>
        <v>1.1516760401607398</v>
      </c>
      <c r="AU61" s="130">
        <f t="shared" si="8"/>
        <v>0.25963835022800719</v>
      </c>
      <c r="AV61" s="130">
        <f t="shared" si="9"/>
        <v>0.22123331835910828</v>
      </c>
      <c r="AW61" s="130">
        <f t="shared" si="10"/>
        <v>5.1743912678662372E-2</v>
      </c>
      <c r="AX61" s="130">
        <f t="shared" si="11"/>
        <v>0</v>
      </c>
      <c r="AY61" s="130">
        <f t="shared" si="12"/>
        <v>0</v>
      </c>
      <c r="AZ61" s="130">
        <f t="shared" si="13"/>
        <v>0</v>
      </c>
      <c r="BA61" s="130">
        <f t="shared" si="14"/>
        <v>0</v>
      </c>
      <c r="BB61" s="130">
        <f t="shared" si="15"/>
        <v>0</v>
      </c>
      <c r="BC61" s="130">
        <f t="shared" si="16"/>
        <v>0</v>
      </c>
      <c r="BD61" s="130">
        <f t="shared" si="17"/>
        <v>0</v>
      </c>
      <c r="BE61" s="130">
        <f t="shared" si="18"/>
        <v>0</v>
      </c>
      <c r="BF61" s="130">
        <f t="shared" si="19"/>
        <v>0</v>
      </c>
      <c r="BG61" s="130">
        <f t="shared" si="20"/>
        <v>0</v>
      </c>
      <c r="BH61" s="130">
        <f t="shared" si="21"/>
        <v>0</v>
      </c>
      <c r="BI61" s="130">
        <f t="shared" si="22"/>
        <v>0</v>
      </c>
      <c r="BJ61" s="130">
        <f t="shared" si="23"/>
        <v>0</v>
      </c>
      <c r="BK61" s="130">
        <f t="shared" si="24"/>
        <v>-123.42862137745254</v>
      </c>
      <c r="BL61" s="130">
        <f>IF($K61=$L61,$BK61,IF(OR($K61="graphite",$K61="vitreous carbon"),$BK$406+($BM$389+$I61)*$BJ$406,IF($K61="Pyrolytic Boron Nitride","PBN",IF(COUNTIF($BH$396:$BH$416,$K61)&gt;0,VLOOKUP($K61,$BH$396:$BK$416,4,FALSE)+($BM$389+$I61)*VLOOKUP($K61,$BH$396:$BK$416,3,FALSE),IF(COUNTIF($L$2:$L60,$K61)&gt;0,VLOOKUP($K61,$L$2:$BK60,52,FALSE),"idk")))))</f>
        <v>-121.74823772574202</v>
      </c>
      <c r="BM61" s="130"/>
      <c r="BN61" s="130"/>
      <c r="BO61" s="130"/>
      <c r="BP61" s="129" t="s">
        <v>245</v>
      </c>
      <c r="BQ61" s="129" t="s">
        <v>276</v>
      </c>
      <c r="BR61" s="129" t="s">
        <v>247</v>
      </c>
      <c r="BS61" s="129">
        <v>3.19</v>
      </c>
      <c r="BT61" s="129">
        <v>0</v>
      </c>
      <c r="BV61" s="129"/>
      <c r="BZ61" s="129"/>
      <c r="DJ61" s="129">
        <v>0</v>
      </c>
      <c r="DK61" s="129">
        <v>0</v>
      </c>
      <c r="DL61" s="129"/>
      <c r="DO61" s="129">
        <v>-124.09</v>
      </c>
      <c r="DQ61" s="129">
        <v>184400</v>
      </c>
      <c r="DS61" s="129">
        <v>3</v>
      </c>
      <c r="DU61" s="129" t="s">
        <v>277</v>
      </c>
      <c r="DW61" s="129">
        <f>SUM(_2025_01_07T12_47_export3[[#This Row],[Ni_wt]:[H_wt]])</f>
        <v>106.31</v>
      </c>
      <c r="DY61" s="130">
        <f>SUM($AM61:BJ61)</f>
        <v>100</v>
      </c>
    </row>
    <row r="62" spans="1:129" x14ac:dyDescent="0.25">
      <c r="A62" s="129" t="s">
        <v>271</v>
      </c>
      <c r="B62" s="129">
        <v>70</v>
      </c>
      <c r="C62" s="129" t="s">
        <v>272</v>
      </c>
      <c r="D62" s="129">
        <v>2013</v>
      </c>
      <c r="E62" s="129" t="s">
        <v>273</v>
      </c>
      <c r="F62" s="129" t="s">
        <v>274</v>
      </c>
      <c r="G62" s="129" t="s">
        <v>226</v>
      </c>
      <c r="H62" s="129">
        <v>0</v>
      </c>
      <c r="I62" s="129">
        <v>700</v>
      </c>
      <c r="J62" s="129">
        <v>100</v>
      </c>
      <c r="K62" s="129" t="s">
        <v>48</v>
      </c>
      <c r="L62" s="129" t="s">
        <v>275</v>
      </c>
      <c r="N62" s="129">
        <v>9220000</v>
      </c>
      <c r="O62" s="130">
        <v>65</v>
      </c>
      <c r="P62" s="130">
        <v>1.5</v>
      </c>
      <c r="Q62" s="130">
        <v>28.5</v>
      </c>
      <c r="R62" s="130">
        <v>1.5</v>
      </c>
      <c r="S62" s="130">
        <v>3</v>
      </c>
      <c r="T62" s="130">
        <v>3</v>
      </c>
      <c r="U62" s="130">
        <v>3</v>
      </c>
      <c r="V62" s="130">
        <v>0.5</v>
      </c>
      <c r="W62" s="130">
        <v>0.2</v>
      </c>
      <c r="X62" s="130">
        <v>0.1</v>
      </c>
      <c r="Y62" s="130">
        <v>0.01</v>
      </c>
      <c r="Z62" s="130"/>
      <c r="AA62" s="130"/>
      <c r="AB62" s="130"/>
      <c r="AC62" s="130"/>
      <c r="AD62" s="130"/>
      <c r="AE62" s="130"/>
      <c r="AF62" s="130"/>
      <c r="AG62" s="130"/>
      <c r="AH62" s="130"/>
      <c r="AI62" s="130"/>
      <c r="AJ62" s="130"/>
      <c r="AK62" s="130"/>
      <c r="AL62" s="130"/>
      <c r="AM62" s="130">
        <f t="shared" si="0"/>
        <v>68.825839891971</v>
      </c>
      <c r="AN62" s="130">
        <f t="shared" si="1"/>
        <v>1.7926280517425051</v>
      </c>
      <c r="AO62" s="130">
        <f t="shared" si="2"/>
        <v>18.456820707811541</v>
      </c>
      <c r="AP62" s="130">
        <f t="shared" si="3"/>
        <v>1.6690538709151344</v>
      </c>
      <c r="AQ62" s="130">
        <f t="shared" si="4"/>
        <v>1.0143270804201334</v>
      </c>
      <c r="AR62" s="130">
        <f t="shared" si="5"/>
        <v>3.1636402067066096</v>
      </c>
      <c r="AS62" s="130">
        <f t="shared" si="6"/>
        <v>3.3933985690065618</v>
      </c>
      <c r="AT62" s="130">
        <f t="shared" si="7"/>
        <v>1.1516760401607398</v>
      </c>
      <c r="AU62" s="130">
        <f t="shared" si="8"/>
        <v>0.25963835022800719</v>
      </c>
      <c r="AV62" s="130">
        <f t="shared" si="9"/>
        <v>0.22123331835910828</v>
      </c>
      <c r="AW62" s="130">
        <f t="shared" si="10"/>
        <v>5.1743912678662372E-2</v>
      </c>
      <c r="AX62" s="130">
        <f t="shared" si="11"/>
        <v>0</v>
      </c>
      <c r="AY62" s="130">
        <f t="shared" si="12"/>
        <v>0</v>
      </c>
      <c r="AZ62" s="130">
        <f t="shared" si="13"/>
        <v>0</v>
      </c>
      <c r="BA62" s="130">
        <f t="shared" si="14"/>
        <v>0</v>
      </c>
      <c r="BB62" s="130">
        <f t="shared" si="15"/>
        <v>0</v>
      </c>
      <c r="BC62" s="130">
        <f t="shared" si="16"/>
        <v>0</v>
      </c>
      <c r="BD62" s="130">
        <f t="shared" si="17"/>
        <v>0</v>
      </c>
      <c r="BE62" s="130">
        <f t="shared" si="18"/>
        <v>0</v>
      </c>
      <c r="BF62" s="130">
        <f t="shared" si="19"/>
        <v>0</v>
      </c>
      <c r="BG62" s="130">
        <f t="shared" si="20"/>
        <v>0</v>
      </c>
      <c r="BH62" s="130">
        <f t="shared" si="21"/>
        <v>0</v>
      </c>
      <c r="BI62" s="130">
        <f t="shared" si="22"/>
        <v>0</v>
      </c>
      <c r="BJ62" s="130">
        <f t="shared" si="23"/>
        <v>0</v>
      </c>
      <c r="BK62" s="130">
        <f t="shared" si="24"/>
        <v>-123.42862137745254</v>
      </c>
      <c r="BL62" s="130">
        <f>IF($K62=$L62,$BK62,IF(OR($K62="graphite",$K62="vitreous carbon"),$BK$406+($BM$389+$I62)*$BJ$406,IF($K62="Pyrolytic Boron Nitride","PBN",IF(COUNTIF($BH$396:$BH$416,$K62)&gt;0,VLOOKUP($K62,$BH$396:$BK$416,4,FALSE)+($BM$389+$I62)*VLOOKUP($K62,$BH$396:$BK$416,3,FALSE),IF(COUNTIF($L$2:$L61,$K62)&gt;0,VLOOKUP($K62,$L$2:$BK61,52,FALSE),"idk")))))</f>
        <v>-121.74823772574202</v>
      </c>
      <c r="BM62" s="130"/>
      <c r="BN62" s="130"/>
      <c r="BO62" s="130"/>
      <c r="BP62" s="129" t="s">
        <v>245</v>
      </c>
      <c r="BQ62" s="129" t="s">
        <v>276</v>
      </c>
      <c r="BR62" s="129" t="s">
        <v>247</v>
      </c>
      <c r="BS62" s="129">
        <v>1.91</v>
      </c>
      <c r="BT62" s="129">
        <v>0</v>
      </c>
      <c r="BV62" s="129"/>
      <c r="BZ62" s="129"/>
      <c r="DJ62" s="129">
        <v>0</v>
      </c>
      <c r="DK62" s="129">
        <v>0</v>
      </c>
      <c r="DL62" s="129"/>
      <c r="DO62" s="129">
        <v>-19.670000000000002</v>
      </c>
      <c r="DQ62" s="129">
        <v>184400</v>
      </c>
      <c r="DS62" s="129">
        <v>3</v>
      </c>
      <c r="DU62" s="129" t="s">
        <v>277</v>
      </c>
      <c r="DW62" s="129">
        <f>SUM(_2025_01_07T12_47_export3[[#This Row],[Ni_wt]:[H_wt]])</f>
        <v>106.31</v>
      </c>
      <c r="DY62" s="130">
        <f>SUM($AM62:BJ62)</f>
        <v>100</v>
      </c>
    </row>
    <row r="63" spans="1:129" x14ac:dyDescent="0.25">
      <c r="A63" s="129" t="s">
        <v>271</v>
      </c>
      <c r="B63" s="129">
        <v>71</v>
      </c>
      <c r="C63" s="129" t="s">
        <v>272</v>
      </c>
      <c r="D63" s="129">
        <v>2013</v>
      </c>
      <c r="E63" s="129" t="s">
        <v>273</v>
      </c>
      <c r="F63" s="129" t="s">
        <v>274</v>
      </c>
      <c r="G63" s="129" t="s">
        <v>226</v>
      </c>
      <c r="H63" s="129">
        <v>0</v>
      </c>
      <c r="I63" s="129">
        <v>700</v>
      </c>
      <c r="J63" s="129">
        <v>200</v>
      </c>
      <c r="K63" s="129" t="s">
        <v>48</v>
      </c>
      <c r="L63" s="129" t="s">
        <v>275</v>
      </c>
      <c r="N63" s="129">
        <v>9220000</v>
      </c>
      <c r="O63" s="130">
        <v>65</v>
      </c>
      <c r="P63" s="130">
        <v>1.5</v>
      </c>
      <c r="Q63" s="130">
        <v>28.5</v>
      </c>
      <c r="R63" s="130">
        <v>1.5</v>
      </c>
      <c r="S63" s="130">
        <v>3</v>
      </c>
      <c r="T63" s="130">
        <v>3</v>
      </c>
      <c r="U63" s="130">
        <v>3</v>
      </c>
      <c r="V63" s="130">
        <v>0.5</v>
      </c>
      <c r="W63" s="130">
        <v>0.2</v>
      </c>
      <c r="X63" s="130">
        <v>0.1</v>
      </c>
      <c r="Y63" s="130">
        <v>0.01</v>
      </c>
      <c r="Z63" s="130"/>
      <c r="AA63" s="130"/>
      <c r="AB63" s="130"/>
      <c r="AC63" s="130"/>
      <c r="AD63" s="130"/>
      <c r="AE63" s="130"/>
      <c r="AF63" s="130"/>
      <c r="AG63" s="130"/>
      <c r="AH63" s="130"/>
      <c r="AI63" s="130"/>
      <c r="AJ63" s="130"/>
      <c r="AK63" s="130"/>
      <c r="AL63" s="130"/>
      <c r="AM63" s="130">
        <f t="shared" si="0"/>
        <v>68.825839891971</v>
      </c>
      <c r="AN63" s="130">
        <f t="shared" si="1"/>
        <v>1.7926280517425051</v>
      </c>
      <c r="AO63" s="130">
        <f t="shared" si="2"/>
        <v>18.456820707811541</v>
      </c>
      <c r="AP63" s="130">
        <f t="shared" si="3"/>
        <v>1.6690538709151344</v>
      </c>
      <c r="AQ63" s="130">
        <f t="shared" si="4"/>
        <v>1.0143270804201334</v>
      </c>
      <c r="AR63" s="130">
        <f t="shared" si="5"/>
        <v>3.1636402067066096</v>
      </c>
      <c r="AS63" s="130">
        <f t="shared" si="6"/>
        <v>3.3933985690065618</v>
      </c>
      <c r="AT63" s="130">
        <f t="shared" si="7"/>
        <v>1.1516760401607398</v>
      </c>
      <c r="AU63" s="130">
        <f t="shared" si="8"/>
        <v>0.25963835022800719</v>
      </c>
      <c r="AV63" s="130">
        <f t="shared" si="9"/>
        <v>0.22123331835910828</v>
      </c>
      <c r="AW63" s="130">
        <f t="shared" si="10"/>
        <v>5.1743912678662372E-2</v>
      </c>
      <c r="AX63" s="130">
        <f t="shared" si="11"/>
        <v>0</v>
      </c>
      <c r="AY63" s="130">
        <f t="shared" si="12"/>
        <v>0</v>
      </c>
      <c r="AZ63" s="130">
        <f t="shared" si="13"/>
        <v>0</v>
      </c>
      <c r="BA63" s="130">
        <f t="shared" si="14"/>
        <v>0</v>
      </c>
      <c r="BB63" s="130">
        <f t="shared" si="15"/>
        <v>0</v>
      </c>
      <c r="BC63" s="130">
        <f t="shared" si="16"/>
        <v>0</v>
      </c>
      <c r="BD63" s="130">
        <f t="shared" si="17"/>
        <v>0</v>
      </c>
      <c r="BE63" s="130">
        <f t="shared" si="18"/>
        <v>0</v>
      </c>
      <c r="BF63" s="130">
        <f t="shared" si="19"/>
        <v>0</v>
      </c>
      <c r="BG63" s="130">
        <f t="shared" si="20"/>
        <v>0</v>
      </c>
      <c r="BH63" s="130">
        <f t="shared" si="21"/>
        <v>0</v>
      </c>
      <c r="BI63" s="130">
        <f t="shared" si="22"/>
        <v>0</v>
      </c>
      <c r="BJ63" s="130">
        <f t="shared" si="23"/>
        <v>0</v>
      </c>
      <c r="BK63" s="130">
        <f t="shared" si="24"/>
        <v>-123.42862137745254</v>
      </c>
      <c r="BL63" s="130">
        <f>IF($K63=$L63,$BK63,IF(OR($K63="graphite",$K63="vitreous carbon"),$BK$406+($BM$389+$I63)*$BJ$406,IF($K63="Pyrolytic Boron Nitride","PBN",IF(COUNTIF($BH$396:$BH$416,$K63)&gt;0,VLOOKUP($K63,$BH$396:$BK$416,4,FALSE)+($BM$389+$I63)*VLOOKUP($K63,$BH$396:$BK$416,3,FALSE),IF(COUNTIF($L$2:$L62,$K63)&gt;0,VLOOKUP($K63,$L$2:$BK62,52,FALSE),"idk")))))</f>
        <v>-121.74823772574202</v>
      </c>
      <c r="BM63" s="130"/>
      <c r="BN63" s="130"/>
      <c r="BO63" s="130"/>
      <c r="BP63" s="129" t="s">
        <v>245</v>
      </c>
      <c r="BQ63" s="129" t="s">
        <v>276</v>
      </c>
      <c r="BR63" s="129" t="s">
        <v>247</v>
      </c>
      <c r="BS63" s="129">
        <v>1.91</v>
      </c>
      <c r="BT63" s="129">
        <v>0</v>
      </c>
      <c r="BV63" s="129"/>
      <c r="BZ63" s="129"/>
      <c r="DJ63" s="129">
        <v>0</v>
      </c>
      <c r="DK63" s="129">
        <v>0</v>
      </c>
      <c r="DL63" s="129"/>
      <c r="DO63" s="129">
        <v>-34.19</v>
      </c>
      <c r="DQ63" s="129">
        <v>184400</v>
      </c>
      <c r="DS63" s="129">
        <v>3</v>
      </c>
      <c r="DU63" s="129" t="s">
        <v>277</v>
      </c>
      <c r="DW63" s="129">
        <f>SUM(_2025_01_07T12_47_export3[[#This Row],[Ni_wt]:[H_wt]])</f>
        <v>106.31</v>
      </c>
      <c r="DY63" s="130">
        <f>SUM($AM63:BJ63)</f>
        <v>100</v>
      </c>
    </row>
    <row r="64" spans="1:129" x14ac:dyDescent="0.25">
      <c r="A64" s="129" t="s">
        <v>279</v>
      </c>
      <c r="B64" s="129">
        <v>72</v>
      </c>
      <c r="C64" s="129" t="s">
        <v>272</v>
      </c>
      <c r="D64" s="129">
        <v>2013</v>
      </c>
      <c r="E64" s="129" t="s">
        <v>273</v>
      </c>
      <c r="F64" s="129" t="s">
        <v>274</v>
      </c>
      <c r="G64" s="129" t="s">
        <v>226</v>
      </c>
      <c r="H64" s="129">
        <v>0</v>
      </c>
      <c r="I64" s="129">
        <v>600</v>
      </c>
      <c r="J64" s="129">
        <v>100</v>
      </c>
      <c r="K64" s="129" t="s">
        <v>48</v>
      </c>
      <c r="L64" s="129" t="s">
        <v>239</v>
      </c>
      <c r="N64" s="129">
        <v>8860000</v>
      </c>
      <c r="O64" s="130">
        <v>71</v>
      </c>
      <c r="P64" s="130">
        <v>7</v>
      </c>
      <c r="Q64" s="130">
        <v>16</v>
      </c>
      <c r="R64" s="130">
        <v>3</v>
      </c>
      <c r="S64" s="130">
        <v>0.5</v>
      </c>
      <c r="T64" s="130">
        <v>0.2</v>
      </c>
      <c r="U64" s="130">
        <v>0.8</v>
      </c>
      <c r="V64" s="130">
        <v>0.17</v>
      </c>
      <c r="W64" s="130">
        <v>0.18</v>
      </c>
      <c r="X64" s="130">
        <v>1</v>
      </c>
      <c r="Y64" s="130">
        <v>0.08</v>
      </c>
      <c r="Z64" s="130">
        <v>0.35</v>
      </c>
      <c r="AA64" s="130"/>
      <c r="AB64" s="130"/>
      <c r="AC64" s="130"/>
      <c r="AD64" s="130"/>
      <c r="AE64" s="130"/>
      <c r="AF64" s="130"/>
      <c r="AG64" s="130"/>
      <c r="AH64" s="130"/>
      <c r="AI64" s="130"/>
      <c r="AJ64" s="130"/>
      <c r="AK64" s="130"/>
      <c r="AL64" s="130"/>
      <c r="AM64" s="130">
        <f t="shared" si="0"/>
        <v>73.616065298412209</v>
      </c>
      <c r="AN64" s="130">
        <f t="shared" si="1"/>
        <v>8.1916815023149212</v>
      </c>
      <c r="AO64" s="130">
        <f t="shared" si="2"/>
        <v>10.146309488962684</v>
      </c>
      <c r="AP64" s="130">
        <f t="shared" si="3"/>
        <v>3.268710357746841</v>
      </c>
      <c r="AQ64" s="130">
        <f t="shared" si="4"/>
        <v>0.16553996507087509</v>
      </c>
      <c r="AR64" s="130">
        <f t="shared" si="5"/>
        <v>0.20652466030902325</v>
      </c>
      <c r="AS64" s="130">
        <f t="shared" si="6"/>
        <v>0.88609379191923843</v>
      </c>
      <c r="AT64" s="130">
        <f t="shared" si="7"/>
        <v>0.38342933644214711</v>
      </c>
      <c r="AU64" s="130">
        <f t="shared" si="8"/>
        <v>0.22881655334885451</v>
      </c>
      <c r="AV64" s="130">
        <f t="shared" si="9"/>
        <v>2.1663400199378318</v>
      </c>
      <c r="AW64" s="130">
        <f t="shared" si="10"/>
        <v>0.40534548649494556</v>
      </c>
      <c r="AX64" s="130">
        <f t="shared" si="11"/>
        <v>0.33514353904042166</v>
      </c>
      <c r="AY64" s="130">
        <f t="shared" si="12"/>
        <v>0</v>
      </c>
      <c r="AZ64" s="130">
        <f t="shared" si="13"/>
        <v>0</v>
      </c>
      <c r="BA64" s="130">
        <f t="shared" si="14"/>
        <v>0</v>
      </c>
      <c r="BB64" s="130">
        <f t="shared" si="15"/>
        <v>0</v>
      </c>
      <c r="BC64" s="130">
        <f t="shared" si="16"/>
        <v>0</v>
      </c>
      <c r="BD64" s="130">
        <f t="shared" si="17"/>
        <v>0</v>
      </c>
      <c r="BE64" s="130">
        <f t="shared" si="18"/>
        <v>0</v>
      </c>
      <c r="BF64" s="130">
        <f t="shared" si="19"/>
        <v>0</v>
      </c>
      <c r="BG64" s="130">
        <f t="shared" si="20"/>
        <v>0</v>
      </c>
      <c r="BH64" s="130">
        <f t="shared" si="21"/>
        <v>0</v>
      </c>
      <c r="BI64" s="130">
        <f t="shared" si="22"/>
        <v>0</v>
      </c>
      <c r="BJ64" s="130">
        <f t="shared" si="23"/>
        <v>0</v>
      </c>
      <c r="BK64" s="130">
        <f t="shared" si="24"/>
        <v>-128.49755875494913</v>
      </c>
      <c r="BL64" s="130">
        <f>IF($K64=$L64,$BK64,IF(OR($K64="graphite",$K64="vitreous carbon"),$BK$406+($BM$389+$I64)*$BJ$406,IF($K64="Pyrolytic Boron Nitride","PBN",IF(COUNTIF($BH$396:$BH$416,$K64)&gt;0,VLOOKUP($K64,$BH$396:$BK$416,4,FALSE)+($BM$389+$I64)*VLOOKUP($K64,$BH$396:$BK$416,3,FALSE),IF(COUNTIF($L$2:$L63,$K64)&gt;0,VLOOKUP($K64,$L$2:$BK63,52,FALSE),"idk")))))</f>
        <v>-125.32307267842094</v>
      </c>
      <c r="BM64" s="130"/>
      <c r="BN64" s="130"/>
      <c r="BO64" s="130"/>
      <c r="BP64" s="129" t="s">
        <v>245</v>
      </c>
      <c r="BQ64" s="129" t="s">
        <v>276</v>
      </c>
      <c r="BR64" s="129" t="s">
        <v>247</v>
      </c>
      <c r="BS64" s="129">
        <v>3.19</v>
      </c>
      <c r="BT64" s="129">
        <v>0</v>
      </c>
      <c r="BV64" s="129"/>
      <c r="BZ64" s="129"/>
      <c r="DJ64" s="129">
        <v>0</v>
      </c>
      <c r="DK64" s="129">
        <v>0</v>
      </c>
      <c r="DL64" s="129"/>
      <c r="DO64" s="129">
        <v>-12.17</v>
      </c>
      <c r="DQ64" s="129">
        <v>6202000000000001</v>
      </c>
      <c r="DS64" s="129">
        <v>3</v>
      </c>
      <c r="DU64" s="129" t="s">
        <v>277</v>
      </c>
      <c r="DW64" s="129">
        <f>SUM(_2025_01_07T12_47_export3[[#This Row],[Ni_wt]:[H_wt]])</f>
        <v>100.28</v>
      </c>
      <c r="DY64" s="130">
        <f>SUM($AM64:BJ64)</f>
        <v>100</v>
      </c>
    </row>
    <row r="65" spans="1:129" x14ac:dyDescent="0.25">
      <c r="A65" s="129" t="s">
        <v>279</v>
      </c>
      <c r="B65" s="129">
        <v>73</v>
      </c>
      <c r="C65" s="129" t="s">
        <v>272</v>
      </c>
      <c r="D65" s="129">
        <v>2013</v>
      </c>
      <c r="E65" s="129" t="s">
        <v>273</v>
      </c>
      <c r="F65" s="129" t="s">
        <v>274</v>
      </c>
      <c r="G65" s="129" t="s">
        <v>226</v>
      </c>
      <c r="H65" s="129">
        <v>0</v>
      </c>
      <c r="I65" s="129">
        <v>600</v>
      </c>
      <c r="J65" s="129">
        <v>300</v>
      </c>
      <c r="K65" s="129" t="s">
        <v>48</v>
      </c>
      <c r="L65" s="129" t="s">
        <v>239</v>
      </c>
      <c r="N65" s="129">
        <v>8860000</v>
      </c>
      <c r="O65" s="130">
        <v>71</v>
      </c>
      <c r="P65" s="130">
        <v>7</v>
      </c>
      <c r="Q65" s="130">
        <v>16</v>
      </c>
      <c r="R65" s="130">
        <v>3</v>
      </c>
      <c r="S65" s="130">
        <v>0.5</v>
      </c>
      <c r="T65" s="130">
        <v>0.2</v>
      </c>
      <c r="U65" s="130">
        <v>0.8</v>
      </c>
      <c r="V65" s="130">
        <v>0.17</v>
      </c>
      <c r="W65" s="130">
        <v>0.18</v>
      </c>
      <c r="X65" s="130">
        <v>1</v>
      </c>
      <c r="Y65" s="130">
        <v>0.08</v>
      </c>
      <c r="Z65" s="130">
        <v>0.35</v>
      </c>
      <c r="AA65" s="130"/>
      <c r="AB65" s="130"/>
      <c r="AC65" s="130"/>
      <c r="AD65" s="130"/>
      <c r="AE65" s="130"/>
      <c r="AF65" s="130"/>
      <c r="AG65" s="130"/>
      <c r="AH65" s="130"/>
      <c r="AI65" s="130"/>
      <c r="AJ65" s="130"/>
      <c r="AK65" s="130"/>
      <c r="AL65" s="130"/>
      <c r="AM65" s="130">
        <f t="shared" si="0"/>
        <v>73.616065298412209</v>
      </c>
      <c r="AN65" s="130">
        <f t="shared" si="1"/>
        <v>8.1916815023149212</v>
      </c>
      <c r="AO65" s="130">
        <f t="shared" si="2"/>
        <v>10.146309488962684</v>
      </c>
      <c r="AP65" s="130">
        <f t="shared" si="3"/>
        <v>3.268710357746841</v>
      </c>
      <c r="AQ65" s="130">
        <f t="shared" si="4"/>
        <v>0.16553996507087509</v>
      </c>
      <c r="AR65" s="130">
        <f t="shared" si="5"/>
        <v>0.20652466030902325</v>
      </c>
      <c r="AS65" s="130">
        <f t="shared" si="6"/>
        <v>0.88609379191923843</v>
      </c>
      <c r="AT65" s="130">
        <f t="shared" si="7"/>
        <v>0.38342933644214711</v>
      </c>
      <c r="AU65" s="130">
        <f t="shared" si="8"/>
        <v>0.22881655334885451</v>
      </c>
      <c r="AV65" s="130">
        <f t="shared" si="9"/>
        <v>2.1663400199378318</v>
      </c>
      <c r="AW65" s="130">
        <f t="shared" si="10"/>
        <v>0.40534548649494556</v>
      </c>
      <c r="AX65" s="130">
        <f t="shared" si="11"/>
        <v>0.33514353904042166</v>
      </c>
      <c r="AY65" s="130">
        <f t="shared" si="12"/>
        <v>0</v>
      </c>
      <c r="AZ65" s="130">
        <f t="shared" si="13"/>
        <v>0</v>
      </c>
      <c r="BA65" s="130">
        <f t="shared" si="14"/>
        <v>0</v>
      </c>
      <c r="BB65" s="130">
        <f t="shared" si="15"/>
        <v>0</v>
      </c>
      <c r="BC65" s="130">
        <f t="shared" si="16"/>
        <v>0</v>
      </c>
      <c r="BD65" s="130">
        <f t="shared" si="17"/>
        <v>0</v>
      </c>
      <c r="BE65" s="130">
        <f t="shared" si="18"/>
        <v>0</v>
      </c>
      <c r="BF65" s="130">
        <f t="shared" si="19"/>
        <v>0</v>
      </c>
      <c r="BG65" s="130">
        <f t="shared" si="20"/>
        <v>0</v>
      </c>
      <c r="BH65" s="130">
        <f t="shared" si="21"/>
        <v>0</v>
      </c>
      <c r="BI65" s="130">
        <f t="shared" si="22"/>
        <v>0</v>
      </c>
      <c r="BJ65" s="130">
        <f t="shared" si="23"/>
        <v>0</v>
      </c>
      <c r="BK65" s="130">
        <f t="shared" si="24"/>
        <v>-128.49755875494913</v>
      </c>
      <c r="BL65" s="130">
        <f>IF($K65=$L65,$BK65,IF(OR($K65="graphite",$K65="vitreous carbon"),$BK$406+($BM$389+$I65)*$BJ$406,IF($K65="Pyrolytic Boron Nitride","PBN",IF(COUNTIF($BH$396:$BH$416,$K65)&gt;0,VLOOKUP($K65,$BH$396:$BK$416,4,FALSE)+($BM$389+$I65)*VLOOKUP($K65,$BH$396:$BK$416,3,FALSE),IF(COUNTIF($L$2:$L64,$K65)&gt;0,VLOOKUP($K65,$L$2:$BK64,52,FALSE),"idk")))))</f>
        <v>-125.32307267842094</v>
      </c>
      <c r="BM65" s="130"/>
      <c r="BN65" s="130"/>
      <c r="BO65" s="130"/>
      <c r="BP65" s="129" t="s">
        <v>245</v>
      </c>
      <c r="BQ65" s="129" t="s">
        <v>276</v>
      </c>
      <c r="BR65" s="129" t="s">
        <v>247</v>
      </c>
      <c r="BS65" s="129">
        <v>3.19</v>
      </c>
      <c r="BT65" s="129">
        <v>0</v>
      </c>
      <c r="BV65" s="129"/>
      <c r="BZ65" s="129"/>
      <c r="DJ65" s="129">
        <v>0</v>
      </c>
      <c r="DK65" s="129">
        <v>0</v>
      </c>
      <c r="DL65" s="129"/>
      <c r="DO65" s="129">
        <v>-23.19</v>
      </c>
      <c r="DQ65" s="129">
        <v>6202000000000001</v>
      </c>
      <c r="DS65" s="129">
        <v>3</v>
      </c>
      <c r="DU65" s="129" t="s">
        <v>277</v>
      </c>
      <c r="DW65" s="129">
        <f>SUM(_2025_01_07T12_47_export3[[#This Row],[Ni_wt]:[H_wt]])</f>
        <v>100.28</v>
      </c>
      <c r="DY65" s="130">
        <f>SUM($AM65:BJ65)</f>
        <v>100</v>
      </c>
    </row>
    <row r="66" spans="1:129" x14ac:dyDescent="0.25">
      <c r="A66" s="129" t="s">
        <v>279</v>
      </c>
      <c r="B66" s="129">
        <v>74</v>
      </c>
      <c r="C66" s="129" t="s">
        <v>272</v>
      </c>
      <c r="D66" s="129">
        <v>2013</v>
      </c>
      <c r="E66" s="129" t="s">
        <v>273</v>
      </c>
      <c r="F66" s="129" t="s">
        <v>274</v>
      </c>
      <c r="G66" s="129" t="s">
        <v>226</v>
      </c>
      <c r="H66" s="129">
        <v>0</v>
      </c>
      <c r="I66" s="129">
        <v>700</v>
      </c>
      <c r="J66" s="129">
        <v>100</v>
      </c>
      <c r="K66" s="129" t="s">
        <v>48</v>
      </c>
      <c r="L66" s="129" t="s">
        <v>239</v>
      </c>
      <c r="N66" s="129">
        <v>8860000</v>
      </c>
      <c r="O66" s="130">
        <v>71</v>
      </c>
      <c r="P66" s="130">
        <v>7</v>
      </c>
      <c r="Q66" s="130">
        <v>16</v>
      </c>
      <c r="R66" s="130">
        <v>3</v>
      </c>
      <c r="S66" s="130">
        <v>0.5</v>
      </c>
      <c r="T66" s="130">
        <v>0.2</v>
      </c>
      <c r="U66" s="130">
        <v>0.8</v>
      </c>
      <c r="V66" s="130">
        <v>0.17</v>
      </c>
      <c r="W66" s="130">
        <v>0.18</v>
      </c>
      <c r="X66" s="130">
        <v>1</v>
      </c>
      <c r="Y66" s="130">
        <v>0.08</v>
      </c>
      <c r="Z66" s="130">
        <v>0.35</v>
      </c>
      <c r="AA66" s="130"/>
      <c r="AB66" s="130"/>
      <c r="AC66" s="130"/>
      <c r="AD66" s="130"/>
      <c r="AE66" s="130"/>
      <c r="AF66" s="130"/>
      <c r="AG66" s="130"/>
      <c r="AH66" s="130"/>
      <c r="AI66" s="130"/>
      <c r="AJ66" s="130"/>
      <c r="AK66" s="130"/>
      <c r="AL66" s="130"/>
      <c r="AM66" s="130">
        <f t="shared" ref="AM66:AM129" si="25">100*(O66/BD$343)/($O66/$BD$343+$P66/$BD$344+$Q66/$BD$346+$R66/$BD$348+$S66/$BD$350+$T66/$BD$351+$U66/$BD$352+$V66/$BD$353+$W66/$BD$354+$X66/$BD$359+$Y66/$BD$360+$Z66/$BD$361+$AA66/$BD$362+$AB66/$BD$363+$AC66/$BD$364+$AD66/$BD$365+$AE66/$BD$366+$AF66/$BD$367+$AG66/$BD$369+$AH66/$BD$355+$AI66/$BD$356+$AJ66/$BD$357+$AK66/$BD$368+$AL66/$BD$358)</f>
        <v>73.616065298412209</v>
      </c>
      <c r="AN66" s="130">
        <f t="shared" ref="AN66:AN129" si="26">100*(P66/BD$344)/($O66/$BD$343+$P66/$BD$344+$Q66/$BD$346+$R66/$BD$348+$S66/$BD$350+$T66/$BD$351+$U66/$BD$352+$V66/$BD$353+$W66/$BD$354+$X66/$BD$359+$Y66/$BD$360+$Z66/$BD$361+$AA66/$BD$362+$AB66/$BD$363+$AC66/$BD$364+$AD66/$BD$365+$AE66/$BD$366+$AF66/$BD$367+$AG66/$BD$369+$AH66/$BD$355+$AI66/$BD$356+$AJ66/$BD$357+$AK66/$BD$368+$AL66/$BD$358)</f>
        <v>8.1916815023149212</v>
      </c>
      <c r="AO66" s="130">
        <f t="shared" ref="AO66:AO129" si="27">100*(Q66/BD$346)/($O66/$BD$343+$P66/$BD$344+$Q66/$BD$346+$R66/$BD$348+$S66/$BD$350+$T66/$BD$351+$U66/$BD$352+$V66/$BD$353+$W66/$BD$354+$X66/$BD$359+$Y66/$BD$360+$Z66/$BD$361+$AA66/$BD$362+$AB66/$BD$363+$AC66/$BD$364+$AD66/$BD$365+$AE66/$BD$366+$AF66/$BD$367+$AG66/$BD$369+$AH66/$BD$355+$AI66/$BD$356+$AJ66/$BD$357+$AK66/$BD$368+$AL66/$BD$358)</f>
        <v>10.146309488962684</v>
      </c>
      <c r="AP66" s="130">
        <f t="shared" ref="AP66:AP129" si="28">100*(R66/BD$348)/($O66/$BD$343+$P66/$BD$344+$Q66/$BD$346+$R66/$BD$348+$S66/$BD$350+$T66/$BD$351+$U66/$BD$352+$V66/$BD$353+$W66/$BD$354+$X66/$BD$359+$Y66/$BD$360+$Z66/$BD$361+$AA66/$BD$362+$AB66/$BD$363+$AC66/$BD$364+$AD66/$BD$365+$AE66/$BD$366+$AF66/$BD$367+$AG66/$BD$369+$AH66/$BD$355+$AI66/$BD$356+$AJ66/$BD$357+$AK66/$BD$368+$AL66/$BD$358)</f>
        <v>3.268710357746841</v>
      </c>
      <c r="AQ66" s="130">
        <f t="shared" ref="AQ66:AQ129" si="29">100*(S66/BD$350)/($O66/$BD$343+$P66/$BD$344+$Q66/$BD$346+$R66/$BD$348+$S66/$BD$350+$T66/$BD$351+$U66/$BD$352+$V66/$BD$353+$W66/$BD$354+$X66/$BD$359+$Y66/$BD$360+$Z66/$BD$361+$AA66/$BD$362+$AB66/$BD$363+$AC66/$BD$364+$AD66/$BD$365+$AE66/$BD$366+$AF66/$BD$367+$AG66/$BD$369+$AH66/$BD$355+$AI66/$BD$356+$AJ66/$BD$357+$AK66/$BD$368+$AL66/$BD$358)</f>
        <v>0.16553996507087509</v>
      </c>
      <c r="AR66" s="130">
        <f t="shared" ref="AR66:AR129" si="30">100*(T66/BD$351)/($O66/$BD$343+$P66/$BD$344+$Q66/$BD$346+$R66/$BD$348+$S66/$BD$350+$T66/$BD$351+$U66/$BD$352+$V66/$BD$353+$W66/$BD$354+$X66/$BD$359+$Y66/$BD$360+$Z66/$BD$361+$AA66/$BD$362+$AB66/$BD$363+$AC66/$BD$364+$AD66/$BD$365+$AE66/$BD$366+$AF66/$BD$367+$AG66/$BD$369+$AH66/$BD$355+$AI66/$BD$356+$AJ66/$BD$357+$AK66/$BD$368+$AL66/$BD$358)</f>
        <v>0.20652466030902325</v>
      </c>
      <c r="AS66" s="130">
        <f t="shared" ref="AS66:AS129" si="31">100*(U66/BD$352)/($O66/$BD$343+$P66/$BD$344+$Q66/$BD$346+$R66/$BD$348+$S66/$BD$350+$T66/$BD$351+$U66/$BD$352+$V66/$BD$353+$W66/$BD$354+$X66/$BD$359+$Y66/$BD$360+$Z66/$BD$361+$AA66/$BD$362+$AB66/$BD$363+$AC66/$BD$364+$AD66/$BD$365+$AE66/$BD$366+$AF66/$BD$367+$AG66/$BD$369+$AH66/$BD$355+$AI66/$BD$356+$AJ66/$BD$357+$AK66/$BD$368+$AL66/$BD$358)</f>
        <v>0.88609379191923843</v>
      </c>
      <c r="AT66" s="130">
        <f t="shared" ref="AT66:AT129" si="32">100*(V66/BD$353)/($O66/$BD$343+$P66/$BD$344+$Q66/$BD$346+$R66/$BD$348+$S66/$BD$350+$T66/$BD$351+$U66/$BD$352+$V66/$BD$353+$W66/$BD$354+$X66/$BD$359+$Y66/$BD$360+$Z66/$BD$361+$AA66/$BD$362+$AB66/$BD$363+$AC66/$BD$364+$AD66/$BD$365+$AE66/$BD$366+$AF66/$BD$367+$AG66/$BD$369+$AH66/$BD$355+$AI66/$BD$356+$AJ66/$BD$357+$AK66/$BD$368+$AL66/$BD$358)</f>
        <v>0.38342933644214711</v>
      </c>
      <c r="AU66" s="130">
        <f t="shared" ref="AU66:AU129" si="33">100*(W66/BD$354)/($O66/$BD$343+$P66/$BD$344+$Q66/$BD$346+$R66/$BD$348+$S66/$BD$350+$T66/$BD$351+$U66/$BD$352+$V66/$BD$353+$W66/$BD$354+$X66/$BD$359+$Y66/$BD$360+$Z66/$BD$361+$AA66/$BD$362+$AB66/$BD$363+$AC66/$BD$364+$AD66/$BD$365+$AE66/$BD$366+$AF66/$BD$367+$AG66/$BD$369+$AH66/$BD$355+$AI66/$BD$356+$AJ66/$BD$357+$AK66/$BD$368+$AL66/$BD$358)</f>
        <v>0.22881655334885451</v>
      </c>
      <c r="AV66" s="130">
        <f t="shared" ref="AV66:AV129" si="34">100*(X66/BD$359)/($O66/$BD$343+$P66/$BD$344+$Q66/$BD$346+$R66/$BD$348+$S66/$BD$350+$T66/$BD$351+$U66/$BD$352+$V66/$BD$353+$W66/$BD$354+$X66/$BD$359+$Y66/$BD$360+$Z66/$BD$361+$AA66/$BD$362+$AB66/$BD$363+$AC66/$BD$364+$AD66/$BD$365+$AE66/$BD$366+$AF66/$BD$367+$AG66/$BD$369+$AH66/$BD$355+$AI66/$BD$356+$AJ66/$BD$357+$AK66/$BD$368+$AL66/$BD$358)</f>
        <v>2.1663400199378318</v>
      </c>
      <c r="AW66" s="130">
        <f t="shared" ref="AW66:AW129" si="35">100*(Y66/BD$360)/($O66/$BD$343+$P66/$BD$344+$Q66/$BD$346+$R66/$BD$348+$S66/$BD$350+$T66/$BD$351+$U66/$BD$352+$V66/$BD$353+$W66/$BD$354+$X66/$BD$359+$Y66/$BD$360+$Z66/$BD$361+$AA66/$BD$362+$AB66/$BD$363+$AC66/$BD$364+$AD66/$BD$365+$AE66/$BD$366+$AF66/$BD$367+$AG66/$BD$369+$AH66/$BD$355+$AI66/$BD$356+$AJ66/$BD$357+$AK66/$BD$368+$AL66/$BD$358)</f>
        <v>0.40534548649494556</v>
      </c>
      <c r="AX66" s="130">
        <f t="shared" ref="AX66:AX129" si="36">100*(Z66/BD$361)/($O66/$BD$343+$P66/$BD$344+$Q66/$BD$346+$R66/$BD$348+$S66/$BD$350+$T66/$BD$351+$U66/$BD$352+$V66/$BD$353+$W66/$BD$354+$X66/$BD$359+$Y66/$BD$360+$Z66/$BD$361+$AA66/$BD$362+$AB66/$BD$363+$AC66/$BD$364+$AD66/$BD$365+$AE66/$BD$366+$AF66/$BD$367+$AG66/$BD$369+$AH66/$BD$355+$AI66/$BD$356+$AJ66/$BD$357+$AK66/$BD$368+$AL66/$BD$358)</f>
        <v>0.33514353904042166</v>
      </c>
      <c r="AY66" s="130">
        <f t="shared" ref="AY66:AY129" si="37">100*(AA66/BD$362)/($O66/$BD$343+$P66/$BD$344+$Q66/$BD$346+$R66/$BD$348+$S66/$BD$350+$T66/$BD$351+$U66/$BD$352+$V66/$BD$353+$W66/$BD$354+$X66/$BD$359+$Y66/$BD$360+$Z66/$BD$361+$AA66/$BD$362+$AB66/$BD$363+$AC66/$BD$364+$AD66/$BD$365+$AE66/$BD$366+$AF66/$BD$367+$AG66/$BD$369+$AH66/$BD$355+$AI66/$BD$356+$AJ66/$BD$357+$AK66/$BD$368+$AL66/$BD$358)</f>
        <v>0</v>
      </c>
      <c r="AZ66" s="130">
        <f t="shared" ref="AZ66:AZ129" si="38">100*(AB66/BD$363)/($O66/$BD$343+$P66/$BD$344+$Q66/$BD$346+$R66/$BD$348+$S66/$BD$350+$T66/$BD$351+$U66/$BD$352+$V66/$BD$353+$W66/$BD$354+$X66/$BD$359+$Y66/$BD$360+$Z66/$BD$361+$AA66/$BD$362+$AB66/$BD$363+$AC66/$BD$364+$AD66/$BD$365+$AE66/$BD$366+$AF66/$BD$367+$AG66/$BD$369+$AH66/$BD$355+$AI66/$BD$356+$AJ66/$BD$357+$AK66/$BD$368+$AL66/$BD$358)</f>
        <v>0</v>
      </c>
      <c r="BA66" s="130">
        <f t="shared" ref="BA66:BA129" si="39">100*(AC66/BD$364)/($O66/$BD$343+$P66/$BD$344+$Q66/$BD$346+$R66/$BD$348+$S66/$BD$350+$T66/$BD$351+$U66/$BD$352+$V66/$BD$353+$W66/$BD$354+$X66/$BD$359+$Y66/$BD$360+$Z66/$BD$361+$AA66/$BD$362+$AB66/$BD$363+$AC66/$BD$364+$AD66/$BD$365+$AE66/$BD$366+$AF66/$BD$367+$AG66/$BD$369+$AH66/$BD$355+$AI66/$BD$356+$AJ66/$BD$357+$AK66/$BD$368+$AL66/$BD$358)</f>
        <v>0</v>
      </c>
      <c r="BB66" s="130">
        <f t="shared" ref="BB66:BB129" si="40">100*(AD66/BD$365)/($O66/$BD$343+$P66/$BD$344+$Q66/$BD$346+$R66/$BD$348+$S66/$BD$350+$T66/$BD$351+$U66/$BD$352+$V66/$BD$353+$W66/$BD$354+$X66/$BD$359+$Y66/$BD$360+$Z66/$BD$361+$AA66/$BD$362+$AB66/$BD$363+$AC66/$BD$364+$AD66/$BD$365+$AE66/$BD$366+$AF66/$BD$367+$AG66/$BD$369+$AH66/$BD$355+$AI66/$BD$356+$AJ66/$BD$357+$AK66/$BD$368+$AL66/$BD$358)</f>
        <v>0</v>
      </c>
      <c r="BC66" s="130">
        <f t="shared" ref="BC66:BC129" si="41">100*(AE66/BD$366)/($O66/$BD$343+$P66/$BD$344+$Q66/$BD$346+$R66/$BD$348+$S66/$BD$350+$T66/$BD$351+$U66/$BD$352+$V66/$BD$353+$W66/$BD$354+$X66/$BD$359+$Y66/$BD$360+$Z66/$BD$361+$AA66/$BD$362+$AB66/$BD$363+$AC66/$BD$364+$AD66/$BD$365+$AE66/$BD$366+$AF66/$BD$367+$AG66/$BD$369+$AH66/$BD$355+$AI66/$BD$356+$AJ66/$BD$357+$AK66/$BD$368+$AL66/$BD$358)</f>
        <v>0</v>
      </c>
      <c r="BD66" s="130">
        <f t="shared" ref="BD66:BD129" si="42">100*(AF66/BD$367)/($O66/$BD$343+$P66/$BD$344+$Q66/$BD$346+$R66/$BD$348+$S66/$BD$350+$T66/$BD$351+$U66/$BD$352+$V66/$BD$353+$W66/$BD$354+$X66/$BD$359+$Y66/$BD$360+$Z66/$BD$361+$AA66/$BD$362+$AB66/$BD$363+$AC66/$BD$364+$AD66/$BD$365+$AE66/$BD$366+$AF66/$BD$367+$AG66/$BD$369+$AH66/$BD$355+$AI66/$BD$356+$AJ66/$BD$357+$AK66/$BD$368+$AL66/$BD$358)</f>
        <v>0</v>
      </c>
      <c r="BE66" s="130">
        <f t="shared" ref="BE66:BE129" si="43">100*(AG66/BD$369)/($O66/$BD$343+$P66/$BD$344+$Q66/$BD$346+$R66/$BD$348+$S66/$BD$350+$T66/$BD$351+$U66/$BD$352+$V66/$BD$353+$W66/$BD$354+$X66/$BD$359+$Y66/$BD$360+$Z66/$BD$361+$AA66/$BD$362+$AB66/$BD$363+$AC66/$BD$364+$AD66/$BD$365+$AE66/$BD$366+$AF66/$BD$367+$AG66/$BD$369+$AH66/$BD$355+$AI66/$BD$356+$AJ66/$BD$357+$AK66/$BD$368+$AL66/$BD$358)</f>
        <v>0</v>
      </c>
      <c r="BF66" s="130">
        <f t="shared" ref="BF66:BF129" si="44">100*(AH66/BD$355)/($O66/$BD$343+$P66/$BD$344+$Q66/$BD$346+$R66/$BD$348+$S66/$BD$350+$T66/$BD$351+$U66/$BD$352+$V66/$BD$353+$W66/$BD$354+$X66/$BD$359+$Y66/$BD$360+$Z66/$BD$361+$AA66/$BD$362+$AB66/$BD$363+$AC66/$BD$364+$AD66/$BD$365+$AE66/$BD$366+$AF66/$BD$367+$AG66/$BD$369+$AH66/$BD$355+$AI66/$BD$356+$AJ66/$BD$357+$AK66/$BD$368+$AL66/$BD$358)</f>
        <v>0</v>
      </c>
      <c r="BG66" s="130">
        <f t="shared" ref="BG66:BG129" si="45">100*(AI66/BD$356)/($O66/$BD$343+$P66/$BD$344+$Q66/$BD$346+$R66/$BD$348+$S66/$BD$350+$T66/$BD$351+$U66/$BD$352+$V66/$BD$353+$W66/$BD$354+$X66/$BD$359+$Y66/$BD$360+$Z66/$BD$361+$AA66/$BD$362+$AB66/$BD$363+$AC66/$BD$364+$AD66/$BD$365+$AE66/$BD$366+$AF66/$BD$367+$AG66/$BD$369+$AH66/$BD$355+$AI66/$BD$356+$AJ66/$BD$357+$AK66/$BD$368+$AL66/$BD$358)</f>
        <v>0</v>
      </c>
      <c r="BH66" s="130">
        <f t="shared" ref="BH66:BH129" si="46">100*(AJ66/BD$357)/($O66/$BD$343+$P66/$BD$344+$Q66/$BD$346+$R66/$BD$348+$S66/$BD$350+$T66/$BD$351+$U66/$BD$352+$V66/$BD$353+$W66/$BD$354+$X66/$BD$359+$Y66/$BD$360+$Z66/$BD$361+$AA66/$BD$362+$AB66/$BD$363+$AC66/$BD$364+$AD66/$BD$365+$AE66/$BD$366+$AF66/$BD$367+$AG66/$BD$369+$AH66/$BD$355+$AI66/$BD$356+$AJ66/$BD$357+$AK66/$BD$368+$AL66/$BD$358)</f>
        <v>0</v>
      </c>
      <c r="BI66" s="130">
        <f t="shared" ref="BI66:BI129" si="47">100*(AK66/BD$368)/($O66/$BD$343+$P66/$BD$344+$Q66/$BD$346+$R66/$BD$348+$S66/$BD$350+$T66/$BD$351+$U66/$BD$352+$V66/$BD$353+$W66/$BD$354+$X66/$BD$359+$Y66/$BD$360+$Z66/$BD$361+$AA66/$BD$362+$AB66/$BD$363+$AC66/$BD$364+$AD66/$BD$365+$AE66/$BD$366+$AF66/$BD$367+$AG66/$BD$369+$AH66/$BD$355+$AI66/$BD$356+$AJ66/$BD$357+$AK66/$BD$368+$AL66/$BD$358)</f>
        <v>0</v>
      </c>
      <c r="BJ66" s="130">
        <f t="shared" ref="BJ66:BJ129" si="48">100*(AL66/BD$358)/($O66/$BD$343+$P66/$BD$344+$Q66/$BD$346+$R66/$BD$348+$S66/$BD$350+$T66/$BD$351+$U66/$BD$352+$V66/$BD$353+$W66/$BD$354+$X66/$BD$359+$Y66/$BD$360+$Z66/$BD$361+$AA66/$BD$362+$AB66/$BD$363+$AC66/$BD$364+$AD66/$BD$365+$AE66/$BD$366+$AF66/$BD$367+$AG66/$BD$369+$AH66/$BD$355+$AI66/$BD$356+$AJ66/$BD$357+$AK66/$BD$368+$AL66/$BD$358)</f>
        <v>0</v>
      </c>
      <c r="BK66" s="130">
        <f t="shared" ref="BK66:BK129" si="49">(($AM66*($BK$396+$BJ$396*($BM$389+$I66))+$AN66*($BK$397+$BJ$397*($BM$389+$I66))+$AO66*($BK$398+$BJ$398*($BM$389+$I66))+$AP66*($BK$399+$BJ$399*($BM$389+$I66))+$AR66*($BK$401+$BJ$401*($BM$389+$I66))+$AS66*($BK$402+$BJ$402*($BM$389+$I66))+$AT66*($BK$403+$BJ$403*($BM$389+$I66))+$AU66*($BK$404+$BJ$404*($BM$389+$I66))+$AV66*($BK$405+$BJ$405*($BM$389+$I66))+$AW66*($BK$406+$BJ$406*($BM$389+$I66))+$AX66*($BK$407+$BJ$407*($BM$389+$I66))+$AY66*($BK$408+$BJ$408*($BM$389+$I66))+$AZ66*($BK$409+$BJ$409*($BM$389+$I66))+$BB66*($BK$411+$BJ$411*($BM$389+$I66))+$BC66*($BK$412+$BJ$412*($BM$389+$I66))+$BD66*($BK$413+$BJ$413*($BM$389+$I66))+$BF66*($BK$415+$BJ$415*($BM$389+$I66))+$BI66*($BK$416+$BJ$416*($BM$389+$I66)))/(SUM($AM66:$BJ66)-$AQ66-$BA66-$BE66-$BG66-$BH66-$BJ66))</f>
        <v>-125.16730201123855</v>
      </c>
      <c r="BL66" s="130">
        <f>IF($K66=$L66,$BK66,IF(OR($K66="graphite",$K66="vitreous carbon"),$BK$406+($BM$389+$I66)*$BJ$406,IF($K66="Pyrolytic Boron Nitride","PBN",IF(COUNTIF($BH$396:$BH$416,$K66)&gt;0,VLOOKUP($K66,$BH$396:$BK$416,4,FALSE)+($BM$389+$I66)*VLOOKUP($K66,$BH$396:$BK$416,3,FALSE),IF(COUNTIF($L$2:$L65,$K66)&gt;0,VLOOKUP($K66,$L$2:$BK65,52,FALSE),"idk")))))</f>
        <v>-121.74823772574202</v>
      </c>
      <c r="BM66" s="130"/>
      <c r="BN66" s="130"/>
      <c r="BO66" s="130"/>
      <c r="BP66" s="129" t="s">
        <v>245</v>
      </c>
      <c r="BQ66" s="129" t="s">
        <v>276</v>
      </c>
      <c r="BR66" s="129" t="s">
        <v>247</v>
      </c>
      <c r="BS66" s="129">
        <v>3.19</v>
      </c>
      <c r="BT66" s="129">
        <v>0</v>
      </c>
      <c r="BV66" s="129"/>
      <c r="BZ66" s="129"/>
      <c r="DJ66" s="129">
        <v>0</v>
      </c>
      <c r="DK66" s="129">
        <v>0</v>
      </c>
      <c r="DL66" s="129"/>
      <c r="DO66" s="129">
        <v>-78.52</v>
      </c>
      <c r="DQ66" s="129">
        <v>6202000000000001</v>
      </c>
      <c r="DS66" s="129">
        <v>3</v>
      </c>
      <c r="DU66" s="129" t="s">
        <v>277</v>
      </c>
      <c r="DW66" s="129">
        <f>SUM(_2025_01_07T12_47_export3[[#This Row],[Ni_wt]:[H_wt]])</f>
        <v>100.28</v>
      </c>
      <c r="DY66" s="130">
        <f>SUM($AM66:BJ66)</f>
        <v>100</v>
      </c>
    </row>
    <row r="67" spans="1:129" x14ac:dyDescent="0.25">
      <c r="A67" s="129" t="s">
        <v>279</v>
      </c>
      <c r="B67" s="129">
        <v>75</v>
      </c>
      <c r="C67" s="129" t="s">
        <v>272</v>
      </c>
      <c r="D67" s="129">
        <v>2013</v>
      </c>
      <c r="E67" s="129" t="s">
        <v>273</v>
      </c>
      <c r="F67" s="129" t="s">
        <v>274</v>
      </c>
      <c r="G67" s="129" t="s">
        <v>226</v>
      </c>
      <c r="H67" s="129">
        <v>0</v>
      </c>
      <c r="I67" s="129">
        <v>700</v>
      </c>
      <c r="J67" s="129">
        <v>200</v>
      </c>
      <c r="K67" s="129" t="s">
        <v>48</v>
      </c>
      <c r="L67" s="129" t="s">
        <v>239</v>
      </c>
      <c r="N67" s="129">
        <v>8860000</v>
      </c>
      <c r="O67" s="130">
        <v>71</v>
      </c>
      <c r="P67" s="130">
        <v>7</v>
      </c>
      <c r="Q67" s="130">
        <v>16</v>
      </c>
      <c r="R67" s="130">
        <v>3</v>
      </c>
      <c r="S67" s="130">
        <v>0.5</v>
      </c>
      <c r="T67" s="130">
        <v>0.2</v>
      </c>
      <c r="U67" s="130">
        <v>0.8</v>
      </c>
      <c r="V67" s="130">
        <v>0.17</v>
      </c>
      <c r="W67" s="130">
        <v>0.18</v>
      </c>
      <c r="X67" s="130">
        <v>1</v>
      </c>
      <c r="Y67" s="130">
        <v>0.08</v>
      </c>
      <c r="Z67" s="130">
        <v>0.35</v>
      </c>
      <c r="AA67" s="130"/>
      <c r="AB67" s="130"/>
      <c r="AC67" s="130"/>
      <c r="AD67" s="130"/>
      <c r="AE67" s="130"/>
      <c r="AF67" s="130"/>
      <c r="AG67" s="130"/>
      <c r="AH67" s="130"/>
      <c r="AI67" s="130"/>
      <c r="AJ67" s="130"/>
      <c r="AK67" s="130"/>
      <c r="AL67" s="130"/>
      <c r="AM67" s="130">
        <f t="shared" si="25"/>
        <v>73.616065298412209</v>
      </c>
      <c r="AN67" s="130">
        <f t="shared" si="26"/>
        <v>8.1916815023149212</v>
      </c>
      <c r="AO67" s="130">
        <f t="shared" si="27"/>
        <v>10.146309488962684</v>
      </c>
      <c r="AP67" s="130">
        <f t="shared" si="28"/>
        <v>3.268710357746841</v>
      </c>
      <c r="AQ67" s="130">
        <f t="shared" si="29"/>
        <v>0.16553996507087509</v>
      </c>
      <c r="AR67" s="130">
        <f t="shared" si="30"/>
        <v>0.20652466030902325</v>
      </c>
      <c r="AS67" s="130">
        <f t="shared" si="31"/>
        <v>0.88609379191923843</v>
      </c>
      <c r="AT67" s="130">
        <f t="shared" si="32"/>
        <v>0.38342933644214711</v>
      </c>
      <c r="AU67" s="130">
        <f t="shared" si="33"/>
        <v>0.22881655334885451</v>
      </c>
      <c r="AV67" s="130">
        <f t="shared" si="34"/>
        <v>2.1663400199378318</v>
      </c>
      <c r="AW67" s="130">
        <f t="shared" si="35"/>
        <v>0.40534548649494556</v>
      </c>
      <c r="AX67" s="130">
        <f t="shared" si="36"/>
        <v>0.33514353904042166</v>
      </c>
      <c r="AY67" s="130">
        <f t="shared" si="37"/>
        <v>0</v>
      </c>
      <c r="AZ67" s="130">
        <f t="shared" si="38"/>
        <v>0</v>
      </c>
      <c r="BA67" s="130">
        <f t="shared" si="39"/>
        <v>0</v>
      </c>
      <c r="BB67" s="130">
        <f t="shared" si="40"/>
        <v>0</v>
      </c>
      <c r="BC67" s="130">
        <f t="shared" si="41"/>
        <v>0</v>
      </c>
      <c r="BD67" s="130">
        <f t="shared" si="42"/>
        <v>0</v>
      </c>
      <c r="BE67" s="130">
        <f t="shared" si="43"/>
        <v>0</v>
      </c>
      <c r="BF67" s="130">
        <f t="shared" si="44"/>
        <v>0</v>
      </c>
      <c r="BG67" s="130">
        <f t="shared" si="45"/>
        <v>0</v>
      </c>
      <c r="BH67" s="130">
        <f t="shared" si="46"/>
        <v>0</v>
      </c>
      <c r="BI67" s="130">
        <f t="shared" si="47"/>
        <v>0</v>
      </c>
      <c r="BJ67" s="130">
        <f t="shared" si="48"/>
        <v>0</v>
      </c>
      <c r="BK67" s="130">
        <f t="shared" si="49"/>
        <v>-125.16730201123855</v>
      </c>
      <c r="BL67" s="130">
        <f>IF($K67=$L67,$BK67,IF(OR($K67="graphite",$K67="vitreous carbon"),$BK$406+($BM$389+$I67)*$BJ$406,IF($K67="Pyrolytic Boron Nitride","PBN",IF(COUNTIF($BH$396:$BH$416,$K67)&gt;0,VLOOKUP($K67,$BH$396:$BK$416,4,FALSE)+($BM$389+$I67)*VLOOKUP($K67,$BH$396:$BK$416,3,FALSE),IF(COUNTIF($L$2:$L66,$K67)&gt;0,VLOOKUP($K67,$L$2:$BK66,52,FALSE),"idk")))))</f>
        <v>-121.74823772574202</v>
      </c>
      <c r="BM67" s="130"/>
      <c r="BN67" s="130"/>
      <c r="BO67" s="130"/>
      <c r="BP67" s="129" t="s">
        <v>245</v>
      </c>
      <c r="BQ67" s="129" t="s">
        <v>276</v>
      </c>
      <c r="BR67" s="129" t="s">
        <v>247</v>
      </c>
      <c r="BS67" s="129">
        <v>3.19</v>
      </c>
      <c r="BT67" s="129">
        <v>0</v>
      </c>
      <c r="BV67" s="129"/>
      <c r="BZ67" s="129"/>
      <c r="DJ67" s="129">
        <v>0</v>
      </c>
      <c r="DK67" s="129">
        <v>0</v>
      </c>
      <c r="DL67" s="129"/>
      <c r="DO67" s="129">
        <v>-102.07</v>
      </c>
      <c r="DQ67" s="129">
        <v>6202000000000001</v>
      </c>
      <c r="DS67" s="129">
        <v>3</v>
      </c>
      <c r="DU67" s="129" t="s">
        <v>277</v>
      </c>
      <c r="DW67" s="129">
        <f>SUM(_2025_01_07T12_47_export3[[#This Row],[Ni_wt]:[H_wt]])</f>
        <v>100.28</v>
      </c>
      <c r="DY67" s="130">
        <f>SUM($AM67:BJ67)</f>
        <v>100</v>
      </c>
    </row>
    <row r="68" spans="1:129" x14ac:dyDescent="0.25">
      <c r="A68" s="129" t="s">
        <v>279</v>
      </c>
      <c r="B68" s="129">
        <v>76</v>
      </c>
      <c r="C68" s="129" t="s">
        <v>272</v>
      </c>
      <c r="D68" s="129">
        <v>2013</v>
      </c>
      <c r="E68" s="129" t="s">
        <v>273</v>
      </c>
      <c r="F68" s="129" t="s">
        <v>274</v>
      </c>
      <c r="G68" s="129" t="s">
        <v>226</v>
      </c>
      <c r="H68" s="129">
        <v>0</v>
      </c>
      <c r="I68" s="129">
        <v>700</v>
      </c>
      <c r="J68" s="129">
        <v>100</v>
      </c>
      <c r="K68" s="129" t="s">
        <v>48</v>
      </c>
      <c r="L68" s="129" t="s">
        <v>239</v>
      </c>
      <c r="N68" s="129">
        <v>8860000</v>
      </c>
      <c r="O68" s="130">
        <v>71</v>
      </c>
      <c r="P68" s="130">
        <v>7</v>
      </c>
      <c r="Q68" s="130">
        <v>16</v>
      </c>
      <c r="R68" s="130">
        <v>3</v>
      </c>
      <c r="S68" s="130">
        <v>0.5</v>
      </c>
      <c r="T68" s="130">
        <v>0.2</v>
      </c>
      <c r="U68" s="130">
        <v>0.8</v>
      </c>
      <c r="V68" s="130">
        <v>0.17</v>
      </c>
      <c r="W68" s="130">
        <v>0.18</v>
      </c>
      <c r="X68" s="130">
        <v>1</v>
      </c>
      <c r="Y68" s="130">
        <v>0.08</v>
      </c>
      <c r="Z68" s="130">
        <v>0.35</v>
      </c>
      <c r="AA68" s="130"/>
      <c r="AB68" s="130"/>
      <c r="AC68" s="130"/>
      <c r="AD68" s="130"/>
      <c r="AE68" s="130"/>
      <c r="AF68" s="130"/>
      <c r="AG68" s="130"/>
      <c r="AH68" s="130"/>
      <c r="AI68" s="130"/>
      <c r="AJ68" s="130"/>
      <c r="AK68" s="130"/>
      <c r="AL68" s="130"/>
      <c r="AM68" s="130">
        <f t="shared" si="25"/>
        <v>73.616065298412209</v>
      </c>
      <c r="AN68" s="130">
        <f t="shared" si="26"/>
        <v>8.1916815023149212</v>
      </c>
      <c r="AO68" s="130">
        <f t="shared" si="27"/>
        <v>10.146309488962684</v>
      </c>
      <c r="AP68" s="130">
        <f t="shared" si="28"/>
        <v>3.268710357746841</v>
      </c>
      <c r="AQ68" s="130">
        <f t="shared" si="29"/>
        <v>0.16553996507087509</v>
      </c>
      <c r="AR68" s="130">
        <f t="shared" si="30"/>
        <v>0.20652466030902325</v>
      </c>
      <c r="AS68" s="130">
        <f t="shared" si="31"/>
        <v>0.88609379191923843</v>
      </c>
      <c r="AT68" s="130">
        <f t="shared" si="32"/>
        <v>0.38342933644214711</v>
      </c>
      <c r="AU68" s="130">
        <f t="shared" si="33"/>
        <v>0.22881655334885451</v>
      </c>
      <c r="AV68" s="130">
        <f t="shared" si="34"/>
        <v>2.1663400199378318</v>
      </c>
      <c r="AW68" s="130">
        <f t="shared" si="35"/>
        <v>0.40534548649494556</v>
      </c>
      <c r="AX68" s="130">
        <f t="shared" si="36"/>
        <v>0.33514353904042166</v>
      </c>
      <c r="AY68" s="130">
        <f t="shared" si="37"/>
        <v>0</v>
      </c>
      <c r="AZ68" s="130">
        <f t="shared" si="38"/>
        <v>0</v>
      </c>
      <c r="BA68" s="130">
        <f t="shared" si="39"/>
        <v>0</v>
      </c>
      <c r="BB68" s="130">
        <f t="shared" si="40"/>
        <v>0</v>
      </c>
      <c r="BC68" s="130">
        <f t="shared" si="41"/>
        <v>0</v>
      </c>
      <c r="BD68" s="130">
        <f t="shared" si="42"/>
        <v>0</v>
      </c>
      <c r="BE68" s="130">
        <f t="shared" si="43"/>
        <v>0</v>
      </c>
      <c r="BF68" s="130">
        <f t="shared" si="44"/>
        <v>0</v>
      </c>
      <c r="BG68" s="130">
        <f t="shared" si="45"/>
        <v>0</v>
      </c>
      <c r="BH68" s="130">
        <f t="shared" si="46"/>
        <v>0</v>
      </c>
      <c r="BI68" s="130">
        <f t="shared" si="47"/>
        <v>0</v>
      </c>
      <c r="BJ68" s="130">
        <f t="shared" si="48"/>
        <v>0</v>
      </c>
      <c r="BK68" s="130">
        <f t="shared" si="49"/>
        <v>-125.16730201123855</v>
      </c>
      <c r="BL68" s="130">
        <f>IF($K68=$L68,$BK68,IF(OR($K68="graphite",$K68="vitreous carbon"),$BK$406+($BM$389+$I68)*$BJ$406,IF($K68="Pyrolytic Boron Nitride","PBN",IF(COUNTIF($BH$396:$BH$416,$K68)&gt;0,VLOOKUP($K68,$BH$396:$BK$416,4,FALSE)+($BM$389+$I68)*VLOOKUP($K68,$BH$396:$BK$416,3,FALSE),IF(COUNTIF($L$2:$L67,$K68)&gt;0,VLOOKUP($K68,$L$2:$BK67,52,FALSE),"idk")))))</f>
        <v>-121.74823772574202</v>
      </c>
      <c r="BM68" s="130"/>
      <c r="BN68" s="130"/>
      <c r="BO68" s="130"/>
      <c r="BP68" s="129" t="s">
        <v>245</v>
      </c>
      <c r="BQ68" s="129" t="s">
        <v>276</v>
      </c>
      <c r="BR68" s="129" t="s">
        <v>247</v>
      </c>
      <c r="BS68" s="129">
        <v>1.91</v>
      </c>
      <c r="BT68" s="129">
        <v>0</v>
      </c>
      <c r="BV68" s="129"/>
      <c r="BZ68" s="129"/>
      <c r="DJ68" s="129">
        <v>0</v>
      </c>
      <c r="DK68" s="129">
        <v>0</v>
      </c>
      <c r="DL68" s="129"/>
      <c r="DO68" s="129">
        <v>-20.94</v>
      </c>
      <c r="DQ68" s="129">
        <v>6202000000000001</v>
      </c>
      <c r="DS68" s="129">
        <v>3</v>
      </c>
      <c r="DU68" s="129" t="s">
        <v>277</v>
      </c>
      <c r="DW68" s="129">
        <f>SUM(_2025_01_07T12_47_export3[[#This Row],[Ni_wt]:[H_wt]])</f>
        <v>100.28</v>
      </c>
      <c r="DY68" s="130">
        <f>SUM($AM68:BJ68)</f>
        <v>100</v>
      </c>
    </row>
    <row r="69" spans="1:129" x14ac:dyDescent="0.25">
      <c r="A69" s="238" t="s">
        <v>279</v>
      </c>
      <c r="B69" s="238">
        <v>77</v>
      </c>
      <c r="C69" s="238" t="s">
        <v>272</v>
      </c>
      <c r="D69" s="238">
        <v>2013</v>
      </c>
      <c r="E69" s="238" t="s">
        <v>273</v>
      </c>
      <c r="F69" s="238" t="s">
        <v>274</v>
      </c>
      <c r="G69" s="238" t="s">
        <v>226</v>
      </c>
      <c r="H69" s="238">
        <v>0</v>
      </c>
      <c r="I69" s="238">
        <v>700</v>
      </c>
      <c r="J69" s="238">
        <v>200</v>
      </c>
      <c r="K69" s="238" t="s">
        <v>48</v>
      </c>
      <c r="L69" s="238" t="s">
        <v>239</v>
      </c>
      <c r="M69" s="238"/>
      <c r="N69" s="238">
        <v>8860000</v>
      </c>
      <c r="O69" s="239">
        <v>71</v>
      </c>
      <c r="P69" s="239">
        <v>7</v>
      </c>
      <c r="Q69" s="239">
        <v>16</v>
      </c>
      <c r="R69" s="239">
        <v>3</v>
      </c>
      <c r="S69" s="239">
        <v>0.5</v>
      </c>
      <c r="T69" s="239">
        <v>0.2</v>
      </c>
      <c r="U69" s="239">
        <v>0.8</v>
      </c>
      <c r="V69" s="239">
        <v>0.17</v>
      </c>
      <c r="W69" s="239">
        <v>0.18</v>
      </c>
      <c r="X69" s="239">
        <v>1</v>
      </c>
      <c r="Y69" s="239">
        <v>0.08</v>
      </c>
      <c r="Z69" s="239">
        <v>0.35</v>
      </c>
      <c r="AA69" s="239"/>
      <c r="AB69" s="239"/>
      <c r="AC69" s="239"/>
      <c r="AD69" s="239"/>
      <c r="AE69" s="239"/>
      <c r="AF69" s="239"/>
      <c r="AG69" s="239"/>
      <c r="AH69" s="239"/>
      <c r="AI69" s="239"/>
      <c r="AJ69" s="239"/>
      <c r="AK69" s="239"/>
      <c r="AL69" s="239"/>
      <c r="AM69" s="239">
        <f t="shared" si="25"/>
        <v>73.616065298412209</v>
      </c>
      <c r="AN69" s="239">
        <f t="shared" si="26"/>
        <v>8.1916815023149212</v>
      </c>
      <c r="AO69" s="239">
        <f t="shared" si="27"/>
        <v>10.146309488962684</v>
      </c>
      <c r="AP69" s="239">
        <f t="shared" si="28"/>
        <v>3.268710357746841</v>
      </c>
      <c r="AQ69" s="239">
        <f t="shared" si="29"/>
        <v>0.16553996507087509</v>
      </c>
      <c r="AR69" s="239">
        <f t="shared" si="30"/>
        <v>0.20652466030902325</v>
      </c>
      <c r="AS69" s="239">
        <f t="shared" si="31"/>
        <v>0.88609379191923843</v>
      </c>
      <c r="AT69" s="239">
        <f t="shared" si="32"/>
        <v>0.38342933644214711</v>
      </c>
      <c r="AU69" s="239">
        <f t="shared" si="33"/>
        <v>0.22881655334885451</v>
      </c>
      <c r="AV69" s="239">
        <f t="shared" si="34"/>
        <v>2.1663400199378318</v>
      </c>
      <c r="AW69" s="239">
        <f t="shared" si="35"/>
        <v>0.40534548649494556</v>
      </c>
      <c r="AX69" s="239">
        <f t="shared" si="36"/>
        <v>0.33514353904042166</v>
      </c>
      <c r="AY69" s="239">
        <f t="shared" si="37"/>
        <v>0</v>
      </c>
      <c r="AZ69" s="239">
        <f t="shared" si="38"/>
        <v>0</v>
      </c>
      <c r="BA69" s="239">
        <f t="shared" si="39"/>
        <v>0</v>
      </c>
      <c r="BB69" s="239">
        <f t="shared" si="40"/>
        <v>0</v>
      </c>
      <c r="BC69" s="239">
        <f t="shared" si="41"/>
        <v>0</v>
      </c>
      <c r="BD69" s="239">
        <f t="shared" si="42"/>
        <v>0</v>
      </c>
      <c r="BE69" s="239">
        <f t="shared" si="43"/>
        <v>0</v>
      </c>
      <c r="BF69" s="239">
        <f t="shared" si="44"/>
        <v>0</v>
      </c>
      <c r="BG69" s="239">
        <f t="shared" si="45"/>
        <v>0</v>
      </c>
      <c r="BH69" s="239">
        <f t="shared" si="46"/>
        <v>0</v>
      </c>
      <c r="BI69" s="239">
        <f t="shared" si="47"/>
        <v>0</v>
      </c>
      <c r="BJ69" s="239">
        <f t="shared" si="48"/>
        <v>0</v>
      </c>
      <c r="BK69" s="239">
        <f t="shared" si="49"/>
        <v>-125.16730201123855</v>
      </c>
      <c r="BL69" s="239">
        <f>IF($K69=$L69,$BK69,IF(OR($K69="graphite",$K69="vitreous carbon"),$BK$406+($BM$389+$I69)*$BJ$406,IF($K69="Pyrolytic Boron Nitride","PBN",IF(COUNTIF($BH$396:$BH$416,$K69)&gt;0,VLOOKUP($K69,$BH$396:$BK$416,4,FALSE)+($BM$389+$I69)*VLOOKUP($K69,$BH$396:$BK$416,3,FALSE),IF(COUNTIF($L$2:$L68,$K69)&gt;0,VLOOKUP($K69,$L$2:$BK68,52,FALSE),"idk")))))</f>
        <v>-121.74823772574202</v>
      </c>
      <c r="BM69" s="239"/>
      <c r="BN69" s="239"/>
      <c r="BO69" s="239"/>
      <c r="BP69" s="238" t="s">
        <v>245</v>
      </c>
      <c r="BQ69" s="238" t="s">
        <v>276</v>
      </c>
      <c r="BR69" s="238" t="s">
        <v>247</v>
      </c>
      <c r="BS69" s="238">
        <v>1.91</v>
      </c>
      <c r="BT69" s="238">
        <v>0</v>
      </c>
      <c r="BU69" s="238"/>
      <c r="BV69" s="238"/>
      <c r="BW69" s="238"/>
      <c r="BX69" s="238"/>
      <c r="BY69" s="238"/>
      <c r="BZ69" s="238"/>
      <c r="CA69" s="238"/>
      <c r="CB69" s="238"/>
      <c r="CC69" s="238"/>
      <c r="CD69" s="238"/>
      <c r="CE69" s="238"/>
      <c r="CF69" s="238"/>
      <c r="CG69" s="238"/>
      <c r="CH69" s="238"/>
      <c r="CI69" s="238"/>
      <c r="CJ69" s="238"/>
      <c r="CK69" s="238"/>
      <c r="CL69" s="238"/>
      <c r="CM69" s="238"/>
      <c r="CN69" s="238"/>
      <c r="CO69" s="238"/>
      <c r="CP69" s="238"/>
      <c r="CQ69" s="238"/>
      <c r="CR69" s="238"/>
      <c r="CS69" s="238"/>
      <c r="CT69" s="238"/>
      <c r="CU69" s="238"/>
      <c r="CV69" s="238"/>
      <c r="CW69" s="238"/>
      <c r="CX69" s="238"/>
      <c r="CY69" s="238"/>
      <c r="CZ69" s="238"/>
      <c r="DA69" s="238"/>
      <c r="DB69" s="238"/>
      <c r="DC69" s="238"/>
      <c r="DD69" s="238"/>
      <c r="DE69" s="238"/>
      <c r="DF69" s="238"/>
      <c r="DG69" s="238"/>
      <c r="DH69" s="238"/>
      <c r="DI69" s="238"/>
      <c r="DJ69" s="238">
        <v>0</v>
      </c>
      <c r="DK69" s="238">
        <v>0</v>
      </c>
      <c r="DL69" s="238"/>
      <c r="DM69" s="238"/>
      <c r="DN69" s="238"/>
      <c r="DO69" s="238">
        <v>-34.44</v>
      </c>
      <c r="DP69" s="238"/>
      <c r="DQ69" s="238">
        <v>6202000000000001</v>
      </c>
      <c r="DR69" s="238"/>
      <c r="DS69" s="238">
        <v>3</v>
      </c>
      <c r="DT69" s="238"/>
      <c r="DU69" s="238" t="s">
        <v>277</v>
      </c>
      <c r="DW69" s="129">
        <f>SUM(_2025_01_07T12_47_export3[[#This Row],[Ni_wt]:[H_wt]])</f>
        <v>100.28</v>
      </c>
      <c r="DY69" s="130">
        <f>SUM($AM69:BJ69)</f>
        <v>100</v>
      </c>
    </row>
    <row r="70" spans="1:129" x14ac:dyDescent="0.25">
      <c r="A70" s="129" t="s">
        <v>280</v>
      </c>
      <c r="B70" s="129">
        <v>78</v>
      </c>
      <c r="C70" s="129" t="s">
        <v>272</v>
      </c>
      <c r="D70" s="129">
        <v>2013</v>
      </c>
      <c r="E70" s="129" t="s">
        <v>273</v>
      </c>
      <c r="F70" s="129" t="s">
        <v>274</v>
      </c>
      <c r="G70" s="129" t="s">
        <v>226</v>
      </c>
      <c r="H70" s="129">
        <v>0</v>
      </c>
      <c r="I70" s="129">
        <v>600</v>
      </c>
      <c r="J70" s="129">
        <v>100</v>
      </c>
      <c r="K70" s="129" t="s">
        <v>48</v>
      </c>
      <c r="L70" s="129" t="s">
        <v>281</v>
      </c>
      <c r="N70" s="129">
        <v>9050000</v>
      </c>
      <c r="O70" s="130">
        <v>65</v>
      </c>
      <c r="P70" s="130">
        <v>8</v>
      </c>
      <c r="Q70" s="130">
        <v>25</v>
      </c>
      <c r="R70" s="130">
        <v>2</v>
      </c>
      <c r="S70" s="130"/>
      <c r="T70" s="130">
        <v>2.5</v>
      </c>
      <c r="U70" s="130">
        <v>0.8</v>
      </c>
      <c r="V70" s="130">
        <v>0.5</v>
      </c>
      <c r="W70" s="130"/>
      <c r="X70" s="130"/>
      <c r="Y70" s="130">
        <v>0.03</v>
      </c>
      <c r="Z70" s="130">
        <v>0.5</v>
      </c>
      <c r="AA70" s="130"/>
      <c r="AB70" s="130"/>
      <c r="AC70" s="130"/>
      <c r="AD70" s="130"/>
      <c r="AE70" s="130"/>
      <c r="AF70" s="130"/>
      <c r="AG70" s="130"/>
      <c r="AH70" s="130"/>
      <c r="AI70" s="130"/>
      <c r="AJ70" s="130"/>
      <c r="AK70" s="130"/>
      <c r="AL70" s="130"/>
      <c r="AM70" s="130">
        <f t="shared" si="25"/>
        <v>67.384324899033473</v>
      </c>
      <c r="AN70" s="130">
        <f t="shared" si="26"/>
        <v>9.3604403037260937</v>
      </c>
      <c r="AO70" s="130">
        <f t="shared" si="27"/>
        <v>15.851099930757506</v>
      </c>
      <c r="AP70" s="130">
        <f t="shared" si="28"/>
        <v>2.1787954153704425</v>
      </c>
      <c r="AQ70" s="130">
        <f t="shared" si="29"/>
        <v>0</v>
      </c>
      <c r="AR70" s="130">
        <f t="shared" si="30"/>
        <v>2.5811497528516725</v>
      </c>
      <c r="AS70" s="130">
        <f t="shared" si="31"/>
        <v>0.88595357807382036</v>
      </c>
      <c r="AT70" s="130">
        <f t="shared" si="32"/>
        <v>1.1275548920352041</v>
      </c>
      <c r="AU70" s="130">
        <f t="shared" si="33"/>
        <v>0</v>
      </c>
      <c r="AV70" s="130">
        <f t="shared" si="34"/>
        <v>0</v>
      </c>
      <c r="AW70" s="130">
        <f t="shared" si="35"/>
        <v>0.15198050451511974</v>
      </c>
      <c r="AX70" s="130">
        <f t="shared" si="36"/>
        <v>0.47870072363666094</v>
      </c>
      <c r="AY70" s="130">
        <f t="shared" si="37"/>
        <v>0</v>
      </c>
      <c r="AZ70" s="130">
        <f t="shared" si="38"/>
        <v>0</v>
      </c>
      <c r="BA70" s="130">
        <f t="shared" si="39"/>
        <v>0</v>
      </c>
      <c r="BB70" s="130">
        <f t="shared" si="40"/>
        <v>0</v>
      </c>
      <c r="BC70" s="130">
        <f t="shared" si="41"/>
        <v>0</v>
      </c>
      <c r="BD70" s="130">
        <f t="shared" si="42"/>
        <v>0</v>
      </c>
      <c r="BE70" s="130">
        <f t="shared" si="43"/>
        <v>0</v>
      </c>
      <c r="BF70" s="130">
        <f t="shared" si="44"/>
        <v>0</v>
      </c>
      <c r="BG70" s="130">
        <f t="shared" si="45"/>
        <v>0</v>
      </c>
      <c r="BH70" s="130">
        <f t="shared" si="46"/>
        <v>0</v>
      </c>
      <c r="BI70" s="130">
        <f t="shared" si="47"/>
        <v>0</v>
      </c>
      <c r="BJ70" s="130">
        <f t="shared" si="48"/>
        <v>0</v>
      </c>
      <c r="BK70" s="130">
        <f t="shared" si="49"/>
        <v>-127.74016666079825</v>
      </c>
      <c r="BL70" s="130">
        <f>IF($K70=$L70,$BK70,IF(OR($K70="graphite",$K70="vitreous carbon"),$BK$406+($BM$389+$I70)*$BJ$406,IF($K70="Pyrolytic Boron Nitride","PBN",IF(COUNTIF($BH$396:$BH$416,$K70)&gt;0,VLOOKUP($K70,$BH$396:$BK$416,4,FALSE)+($BM$389+$I70)*VLOOKUP($K70,$BH$396:$BK$416,3,FALSE),IF(COUNTIF($L$2:$L69,$K70)&gt;0,VLOOKUP($K70,$L$2:$BK69,52,FALSE),"idk")))))</f>
        <v>-125.32307267842094</v>
      </c>
      <c r="BM70" s="130"/>
      <c r="BN70" s="130"/>
      <c r="BO70" s="130"/>
      <c r="BP70" s="129" t="s">
        <v>245</v>
      </c>
      <c r="BQ70" s="129" t="s">
        <v>276</v>
      </c>
      <c r="BR70" s="129" t="s">
        <v>247</v>
      </c>
      <c r="BS70" s="129">
        <v>3.19</v>
      </c>
      <c r="BT70" s="129">
        <v>0</v>
      </c>
      <c r="BV70" s="129"/>
      <c r="BZ70" s="129"/>
      <c r="DJ70" s="129">
        <v>0</v>
      </c>
      <c r="DK70" s="129">
        <v>0</v>
      </c>
      <c r="DL70" s="129"/>
      <c r="DO70" s="129">
        <v>-19</v>
      </c>
      <c r="DQ70" s="129">
        <v>6202000000000001</v>
      </c>
      <c r="DS70" s="129">
        <v>3</v>
      </c>
      <c r="DU70" s="129" t="s">
        <v>282</v>
      </c>
      <c r="DW70" s="129">
        <f>SUM(_2025_01_07T12_47_export3[[#This Row],[Ni_wt]:[H_wt]])</f>
        <v>104.33</v>
      </c>
      <c r="DY70" s="130">
        <f>SUM($AM70:BJ70)</f>
        <v>100</v>
      </c>
    </row>
    <row r="71" spans="1:129" x14ac:dyDescent="0.25">
      <c r="A71" s="129" t="s">
        <v>280</v>
      </c>
      <c r="B71" s="129">
        <v>79</v>
      </c>
      <c r="C71" s="129" t="s">
        <v>272</v>
      </c>
      <c r="D71" s="129">
        <v>2013</v>
      </c>
      <c r="E71" s="129" t="s">
        <v>273</v>
      </c>
      <c r="F71" s="129" t="s">
        <v>274</v>
      </c>
      <c r="G71" s="129" t="s">
        <v>226</v>
      </c>
      <c r="H71" s="129">
        <v>0</v>
      </c>
      <c r="I71" s="129">
        <v>600</v>
      </c>
      <c r="J71" s="129">
        <v>300</v>
      </c>
      <c r="K71" s="129" t="s">
        <v>48</v>
      </c>
      <c r="L71" s="129" t="s">
        <v>281</v>
      </c>
      <c r="N71" s="129">
        <v>9050000</v>
      </c>
      <c r="O71" s="130">
        <v>65</v>
      </c>
      <c r="P71" s="130">
        <v>8</v>
      </c>
      <c r="Q71" s="130">
        <v>25</v>
      </c>
      <c r="R71" s="130">
        <v>2</v>
      </c>
      <c r="S71" s="130"/>
      <c r="T71" s="130">
        <v>2.5</v>
      </c>
      <c r="U71" s="130">
        <v>0.8</v>
      </c>
      <c r="V71" s="130">
        <v>0.5</v>
      </c>
      <c r="W71" s="130"/>
      <c r="X71" s="130"/>
      <c r="Y71" s="130">
        <v>0.03</v>
      </c>
      <c r="Z71" s="130">
        <v>0.5</v>
      </c>
      <c r="AA71" s="130"/>
      <c r="AB71" s="130"/>
      <c r="AC71" s="130"/>
      <c r="AD71" s="130"/>
      <c r="AE71" s="130"/>
      <c r="AF71" s="130"/>
      <c r="AG71" s="130"/>
      <c r="AH71" s="130"/>
      <c r="AI71" s="130"/>
      <c r="AJ71" s="130"/>
      <c r="AK71" s="130"/>
      <c r="AL71" s="130"/>
      <c r="AM71" s="130">
        <f t="shared" si="25"/>
        <v>67.384324899033473</v>
      </c>
      <c r="AN71" s="130">
        <f t="shared" si="26"/>
        <v>9.3604403037260937</v>
      </c>
      <c r="AO71" s="130">
        <f t="shared" si="27"/>
        <v>15.851099930757506</v>
      </c>
      <c r="AP71" s="130">
        <f t="shared" si="28"/>
        <v>2.1787954153704425</v>
      </c>
      <c r="AQ71" s="130">
        <f t="shared" si="29"/>
        <v>0</v>
      </c>
      <c r="AR71" s="130">
        <f t="shared" si="30"/>
        <v>2.5811497528516725</v>
      </c>
      <c r="AS71" s="130">
        <f t="shared" si="31"/>
        <v>0.88595357807382036</v>
      </c>
      <c r="AT71" s="130">
        <f t="shared" si="32"/>
        <v>1.1275548920352041</v>
      </c>
      <c r="AU71" s="130">
        <f t="shared" si="33"/>
        <v>0</v>
      </c>
      <c r="AV71" s="130">
        <f t="shared" si="34"/>
        <v>0</v>
      </c>
      <c r="AW71" s="130">
        <f t="shared" si="35"/>
        <v>0.15198050451511974</v>
      </c>
      <c r="AX71" s="130">
        <f t="shared" si="36"/>
        <v>0.47870072363666094</v>
      </c>
      <c r="AY71" s="130">
        <f t="shared" si="37"/>
        <v>0</v>
      </c>
      <c r="AZ71" s="130">
        <f t="shared" si="38"/>
        <v>0</v>
      </c>
      <c r="BA71" s="130">
        <f t="shared" si="39"/>
        <v>0</v>
      </c>
      <c r="BB71" s="130">
        <f t="shared" si="40"/>
        <v>0</v>
      </c>
      <c r="BC71" s="130">
        <f t="shared" si="41"/>
        <v>0</v>
      </c>
      <c r="BD71" s="130">
        <f t="shared" si="42"/>
        <v>0</v>
      </c>
      <c r="BE71" s="130">
        <f t="shared" si="43"/>
        <v>0</v>
      </c>
      <c r="BF71" s="130">
        <f t="shared" si="44"/>
        <v>0</v>
      </c>
      <c r="BG71" s="130">
        <f t="shared" si="45"/>
        <v>0</v>
      </c>
      <c r="BH71" s="130">
        <f t="shared" si="46"/>
        <v>0</v>
      </c>
      <c r="BI71" s="130">
        <f t="shared" si="47"/>
        <v>0</v>
      </c>
      <c r="BJ71" s="130">
        <f t="shared" si="48"/>
        <v>0</v>
      </c>
      <c r="BK71" s="130">
        <f t="shared" si="49"/>
        <v>-127.74016666079825</v>
      </c>
      <c r="BL71" s="130">
        <f>IF($K71=$L71,$BK71,IF(OR($K71="graphite",$K71="vitreous carbon"),$BK$406+($BM$389+$I71)*$BJ$406,IF($K71="Pyrolytic Boron Nitride","PBN",IF(COUNTIF($BH$396:$BH$416,$K71)&gt;0,VLOOKUP($K71,$BH$396:$BK$416,4,FALSE)+($BM$389+$I71)*VLOOKUP($K71,$BH$396:$BK$416,3,FALSE),IF(COUNTIF($L$2:$L70,$K71)&gt;0,VLOOKUP($K71,$L$2:$BK70,52,FALSE),"idk")))))</f>
        <v>-125.32307267842094</v>
      </c>
      <c r="BM71" s="130"/>
      <c r="BN71" s="130"/>
      <c r="BO71" s="130"/>
      <c r="BP71" s="129" t="s">
        <v>245</v>
      </c>
      <c r="BQ71" s="129" t="s">
        <v>276</v>
      </c>
      <c r="BR71" s="129" t="s">
        <v>247</v>
      </c>
      <c r="BS71" s="129">
        <v>3.19</v>
      </c>
      <c r="BT71" s="129">
        <v>0</v>
      </c>
      <c r="BV71" s="129"/>
      <c r="BZ71" s="129"/>
      <c r="DJ71" s="129">
        <v>0</v>
      </c>
      <c r="DK71" s="129">
        <v>0</v>
      </c>
      <c r="DL71" s="129"/>
      <c r="DO71" s="129">
        <v>-45</v>
      </c>
      <c r="DQ71" s="129">
        <v>6202000000000001</v>
      </c>
      <c r="DS71" s="129">
        <v>3</v>
      </c>
      <c r="DU71" s="129" t="s">
        <v>282</v>
      </c>
      <c r="DW71" s="129">
        <f>SUM(_2025_01_07T12_47_export3[[#This Row],[Ni_wt]:[H_wt]])</f>
        <v>104.33</v>
      </c>
      <c r="DY71" s="130">
        <f>SUM($AM71:BJ71)</f>
        <v>100</v>
      </c>
    </row>
    <row r="72" spans="1:129" x14ac:dyDescent="0.25">
      <c r="A72" s="129" t="s">
        <v>283</v>
      </c>
      <c r="B72" s="129">
        <v>80</v>
      </c>
      <c r="C72" s="129" t="s">
        <v>272</v>
      </c>
      <c r="D72" s="129">
        <v>2013</v>
      </c>
      <c r="E72" s="129" t="s">
        <v>273</v>
      </c>
      <c r="F72" s="129" t="s">
        <v>274</v>
      </c>
      <c r="G72" s="129" t="s">
        <v>226</v>
      </c>
      <c r="H72" s="129">
        <v>0</v>
      </c>
      <c r="I72" s="129">
        <v>600</v>
      </c>
      <c r="J72" s="129">
        <v>100</v>
      </c>
      <c r="K72" s="129" t="s">
        <v>48</v>
      </c>
      <c r="L72" s="129" t="s">
        <v>284</v>
      </c>
      <c r="N72" s="129">
        <v>8360000</v>
      </c>
      <c r="O72" s="130">
        <v>52</v>
      </c>
      <c r="P72" s="130">
        <v>20</v>
      </c>
      <c r="Q72" s="130">
        <v>6</v>
      </c>
      <c r="R72" s="130">
        <v>0.7</v>
      </c>
      <c r="S72" s="130"/>
      <c r="T72" s="130">
        <v>20</v>
      </c>
      <c r="U72" s="130">
        <v>0.6</v>
      </c>
      <c r="V72" s="130">
        <v>0.6</v>
      </c>
      <c r="W72" s="130">
        <v>2.4</v>
      </c>
      <c r="X72" s="130">
        <v>0.4</v>
      </c>
      <c r="Y72" s="130">
        <v>0.06</v>
      </c>
      <c r="Z72" s="130">
        <v>0.2</v>
      </c>
      <c r="AA72" s="130"/>
      <c r="AB72" s="130"/>
      <c r="AC72" s="130"/>
      <c r="AD72" s="130"/>
      <c r="AE72" s="130"/>
      <c r="AF72" s="130"/>
      <c r="AG72" s="130"/>
      <c r="AH72" s="130"/>
      <c r="AI72" s="130"/>
      <c r="AJ72" s="130"/>
      <c r="AK72" s="130"/>
      <c r="AL72" s="130"/>
      <c r="AM72" s="130">
        <f t="shared" si="25"/>
        <v>49.477094392010336</v>
      </c>
      <c r="AN72" s="130">
        <f t="shared" si="26"/>
        <v>21.477889570022832</v>
      </c>
      <c r="AO72" s="130">
        <f t="shared" si="27"/>
        <v>3.491611893417633</v>
      </c>
      <c r="AP72" s="130">
        <f t="shared" si="28"/>
        <v>0.69990615966770886</v>
      </c>
      <c r="AQ72" s="130">
        <f t="shared" si="29"/>
        <v>0</v>
      </c>
      <c r="AR72" s="130">
        <f t="shared" si="30"/>
        <v>18.952150986614409</v>
      </c>
      <c r="AS72" s="130">
        <f t="shared" si="31"/>
        <v>0.6098563474560541</v>
      </c>
      <c r="AT72" s="130">
        <f t="shared" si="32"/>
        <v>1.2418646304386807</v>
      </c>
      <c r="AU72" s="130">
        <f t="shared" si="33"/>
        <v>2.7997081871097231</v>
      </c>
      <c r="AV72" s="130">
        <f t="shared" si="34"/>
        <v>0.79519420266371454</v>
      </c>
      <c r="AW72" s="130">
        <f t="shared" si="35"/>
        <v>0.27898008100945554</v>
      </c>
      <c r="AX72" s="130">
        <f t="shared" si="36"/>
        <v>0.17574354958948657</v>
      </c>
      <c r="AY72" s="130">
        <f t="shared" si="37"/>
        <v>0</v>
      </c>
      <c r="AZ72" s="130">
        <f t="shared" si="38"/>
        <v>0</v>
      </c>
      <c r="BA72" s="130">
        <f t="shared" si="39"/>
        <v>0</v>
      </c>
      <c r="BB72" s="130">
        <f t="shared" si="40"/>
        <v>0</v>
      </c>
      <c r="BC72" s="130">
        <f t="shared" si="41"/>
        <v>0</v>
      </c>
      <c r="BD72" s="130">
        <f t="shared" si="42"/>
        <v>0</v>
      </c>
      <c r="BE72" s="130">
        <f t="shared" si="43"/>
        <v>0</v>
      </c>
      <c r="BF72" s="130">
        <f t="shared" si="44"/>
        <v>0</v>
      </c>
      <c r="BG72" s="130">
        <f t="shared" si="45"/>
        <v>0</v>
      </c>
      <c r="BH72" s="130">
        <f t="shared" si="46"/>
        <v>0</v>
      </c>
      <c r="BI72" s="130">
        <f t="shared" si="47"/>
        <v>0</v>
      </c>
      <c r="BJ72" s="130">
        <f t="shared" si="48"/>
        <v>0</v>
      </c>
      <c r="BK72" s="130">
        <f t="shared" si="49"/>
        <v>-133.86606970902423</v>
      </c>
      <c r="BL72" s="130">
        <f>IF($K72=$L72,$BK72,IF(OR($K72="graphite",$K72="vitreous carbon"),$BK$406+($BM$389+$I72)*$BJ$406,IF($K72="Pyrolytic Boron Nitride","PBN",IF(COUNTIF($BH$396:$BH$416,$K72)&gt;0,VLOOKUP($K72,$BH$396:$BK$416,4,FALSE)+($BM$389+$I72)*VLOOKUP($K72,$BH$396:$BK$416,3,FALSE),IF(COUNTIF($L$2:$L71,$K72)&gt;0,VLOOKUP($K72,$L$2:$BK71,52,FALSE),"idk")))))</f>
        <v>-125.32307267842094</v>
      </c>
      <c r="BM72" s="130"/>
      <c r="BN72" s="130"/>
      <c r="BO72" s="130"/>
      <c r="BP72" s="129" t="s">
        <v>245</v>
      </c>
      <c r="BQ72" s="129" t="s">
        <v>276</v>
      </c>
      <c r="BR72" s="129" t="s">
        <v>247</v>
      </c>
      <c r="BS72" s="129">
        <v>3.19</v>
      </c>
      <c r="BT72" s="129">
        <v>0</v>
      </c>
      <c r="BV72" s="129"/>
      <c r="BZ72" s="129"/>
      <c r="DJ72" s="129">
        <v>0</v>
      </c>
      <c r="DK72" s="129">
        <v>0</v>
      </c>
      <c r="DL72" s="129"/>
      <c r="DO72" s="129">
        <v>-40</v>
      </c>
      <c r="DQ72" s="129">
        <v>6202000000000001</v>
      </c>
      <c r="DS72" s="129">
        <v>3</v>
      </c>
      <c r="DU72" s="129" t="s">
        <v>282</v>
      </c>
      <c r="DW72" s="129">
        <f>SUM(_2025_01_07T12_47_export3[[#This Row],[Ni_wt]:[H_wt]])</f>
        <v>102.96000000000001</v>
      </c>
      <c r="DY72" s="130">
        <f>SUM($AM72:BJ72)</f>
        <v>100.00000000000003</v>
      </c>
    </row>
    <row r="73" spans="1:129" x14ac:dyDescent="0.25">
      <c r="A73" s="129" t="s">
        <v>283</v>
      </c>
      <c r="B73" s="129">
        <v>81</v>
      </c>
      <c r="C73" s="129" t="s">
        <v>272</v>
      </c>
      <c r="D73" s="129">
        <v>2013</v>
      </c>
      <c r="E73" s="129" t="s">
        <v>273</v>
      </c>
      <c r="F73" s="129" t="s">
        <v>274</v>
      </c>
      <c r="G73" s="129" t="s">
        <v>226</v>
      </c>
      <c r="H73" s="129">
        <v>0</v>
      </c>
      <c r="I73" s="129">
        <v>600</v>
      </c>
      <c r="J73" s="129">
        <v>300</v>
      </c>
      <c r="K73" s="129" t="s">
        <v>48</v>
      </c>
      <c r="L73" s="129" t="s">
        <v>284</v>
      </c>
      <c r="N73" s="129">
        <v>8360000</v>
      </c>
      <c r="O73" s="130">
        <v>52</v>
      </c>
      <c r="P73" s="130">
        <v>20</v>
      </c>
      <c r="Q73" s="130">
        <v>6</v>
      </c>
      <c r="R73" s="130">
        <v>0.7</v>
      </c>
      <c r="S73" s="130"/>
      <c r="T73" s="130">
        <v>20</v>
      </c>
      <c r="U73" s="130">
        <v>0.6</v>
      </c>
      <c r="V73" s="130">
        <v>0.6</v>
      </c>
      <c r="W73" s="130">
        <v>2.4</v>
      </c>
      <c r="X73" s="130">
        <v>0.4</v>
      </c>
      <c r="Y73" s="130">
        <v>0.06</v>
      </c>
      <c r="Z73" s="130">
        <v>0.2</v>
      </c>
      <c r="AA73" s="130"/>
      <c r="AB73" s="130"/>
      <c r="AC73" s="130"/>
      <c r="AD73" s="130"/>
      <c r="AE73" s="130"/>
      <c r="AF73" s="130"/>
      <c r="AG73" s="130"/>
      <c r="AH73" s="130"/>
      <c r="AI73" s="130"/>
      <c r="AJ73" s="130"/>
      <c r="AK73" s="130"/>
      <c r="AL73" s="130"/>
      <c r="AM73" s="130">
        <f t="shared" si="25"/>
        <v>49.477094392010336</v>
      </c>
      <c r="AN73" s="130">
        <f t="shared" si="26"/>
        <v>21.477889570022832</v>
      </c>
      <c r="AO73" s="130">
        <f t="shared" si="27"/>
        <v>3.491611893417633</v>
      </c>
      <c r="AP73" s="130">
        <f t="shared" si="28"/>
        <v>0.69990615966770886</v>
      </c>
      <c r="AQ73" s="130">
        <f t="shared" si="29"/>
        <v>0</v>
      </c>
      <c r="AR73" s="130">
        <f t="shared" si="30"/>
        <v>18.952150986614409</v>
      </c>
      <c r="AS73" s="130">
        <f t="shared" si="31"/>
        <v>0.6098563474560541</v>
      </c>
      <c r="AT73" s="130">
        <f t="shared" si="32"/>
        <v>1.2418646304386807</v>
      </c>
      <c r="AU73" s="130">
        <f t="shared" si="33"/>
        <v>2.7997081871097231</v>
      </c>
      <c r="AV73" s="130">
        <f t="shared" si="34"/>
        <v>0.79519420266371454</v>
      </c>
      <c r="AW73" s="130">
        <f t="shared" si="35"/>
        <v>0.27898008100945554</v>
      </c>
      <c r="AX73" s="130">
        <f t="shared" si="36"/>
        <v>0.17574354958948657</v>
      </c>
      <c r="AY73" s="130">
        <f t="shared" si="37"/>
        <v>0</v>
      </c>
      <c r="AZ73" s="130">
        <f t="shared" si="38"/>
        <v>0</v>
      </c>
      <c r="BA73" s="130">
        <f t="shared" si="39"/>
        <v>0</v>
      </c>
      <c r="BB73" s="130">
        <f t="shared" si="40"/>
        <v>0</v>
      </c>
      <c r="BC73" s="130">
        <f t="shared" si="41"/>
        <v>0</v>
      </c>
      <c r="BD73" s="130">
        <f t="shared" si="42"/>
        <v>0</v>
      </c>
      <c r="BE73" s="130">
        <f t="shared" si="43"/>
        <v>0</v>
      </c>
      <c r="BF73" s="130">
        <f t="shared" si="44"/>
        <v>0</v>
      </c>
      <c r="BG73" s="130">
        <f t="shared" si="45"/>
        <v>0</v>
      </c>
      <c r="BH73" s="130">
        <f t="shared" si="46"/>
        <v>0</v>
      </c>
      <c r="BI73" s="130">
        <f t="shared" si="47"/>
        <v>0</v>
      </c>
      <c r="BJ73" s="130">
        <f t="shared" si="48"/>
        <v>0</v>
      </c>
      <c r="BK73" s="130">
        <f t="shared" si="49"/>
        <v>-133.86606970902423</v>
      </c>
      <c r="BL73" s="130">
        <f>IF($K73=$L73,$BK73,IF(OR($K73="graphite",$K73="vitreous carbon"),$BK$406+($BM$389+$I73)*$BJ$406,IF($K73="Pyrolytic Boron Nitride","PBN",IF(COUNTIF($BH$396:$BH$416,$K73)&gt;0,VLOOKUP($K73,$BH$396:$BK$416,4,FALSE)+($BM$389+$I73)*VLOOKUP($K73,$BH$396:$BK$416,3,FALSE),IF(COUNTIF($L$2:$L72,$K73)&gt;0,VLOOKUP($K73,$L$2:$BK72,52,FALSE),"idk")))))</f>
        <v>-125.32307267842094</v>
      </c>
      <c r="BM73" s="130"/>
      <c r="BN73" s="130"/>
      <c r="BO73" s="130"/>
      <c r="BP73" s="129" t="s">
        <v>245</v>
      </c>
      <c r="BQ73" s="129" t="s">
        <v>276</v>
      </c>
      <c r="BR73" s="129" t="s">
        <v>247</v>
      </c>
      <c r="BS73" s="129">
        <v>3.19</v>
      </c>
      <c r="BT73" s="129">
        <v>0</v>
      </c>
      <c r="BV73" s="129"/>
      <c r="BZ73" s="129"/>
      <c r="DJ73" s="129">
        <v>0</v>
      </c>
      <c r="DK73" s="129">
        <v>0</v>
      </c>
      <c r="DL73" s="129"/>
      <c r="DO73" s="129">
        <v>-60</v>
      </c>
      <c r="DQ73" s="129">
        <v>6202000000000001</v>
      </c>
      <c r="DS73" s="129">
        <v>3</v>
      </c>
      <c r="DU73" s="129" t="s">
        <v>282</v>
      </c>
      <c r="DW73" s="129">
        <f>SUM(_2025_01_07T12_47_export3[[#This Row],[Ni_wt]:[H_wt]])</f>
        <v>102.96000000000001</v>
      </c>
      <c r="DY73" s="130">
        <f>SUM($AM73:BJ73)</f>
        <v>100.00000000000003</v>
      </c>
    </row>
    <row r="74" spans="1:129" x14ac:dyDescent="0.25">
      <c r="A74" s="129" t="s">
        <v>285</v>
      </c>
      <c r="B74" s="129">
        <v>82</v>
      </c>
      <c r="C74" s="129" t="s">
        <v>272</v>
      </c>
      <c r="D74" s="129">
        <v>2013</v>
      </c>
      <c r="E74" s="129" t="s">
        <v>273</v>
      </c>
      <c r="F74" s="129" t="s">
        <v>274</v>
      </c>
      <c r="G74" s="129" t="s">
        <v>226</v>
      </c>
      <c r="H74" s="129">
        <v>0</v>
      </c>
      <c r="I74" s="129">
        <v>600</v>
      </c>
      <c r="J74" s="129">
        <v>100</v>
      </c>
      <c r="K74" s="129" t="s">
        <v>48</v>
      </c>
      <c r="L74" s="129" t="s">
        <v>286</v>
      </c>
      <c r="N74" s="129">
        <v>10220000</v>
      </c>
      <c r="O74" s="130">
        <v>5.0000000000000001E-3</v>
      </c>
      <c r="P74" s="130"/>
      <c r="Q74" s="130">
        <v>99.4</v>
      </c>
      <c r="R74" s="130">
        <v>0.01</v>
      </c>
      <c r="S74" s="130"/>
      <c r="T74" s="130"/>
      <c r="U74" s="130"/>
      <c r="V74" s="130"/>
      <c r="W74" s="130">
        <v>0.4</v>
      </c>
      <c r="X74" s="130">
        <v>5.0000000000000001E-3</v>
      </c>
      <c r="Y74" s="130">
        <v>0.04</v>
      </c>
      <c r="Z74" s="130"/>
      <c r="AA74" s="130"/>
      <c r="AB74" s="130"/>
      <c r="AC74" s="130"/>
      <c r="AD74" s="130"/>
      <c r="AE74" s="130"/>
      <c r="AF74" s="130"/>
      <c r="AG74" s="130"/>
      <c r="AH74" s="130"/>
      <c r="AI74" s="130"/>
      <c r="AJ74" s="130"/>
      <c r="AK74" s="130"/>
      <c r="AL74" s="130"/>
      <c r="AM74" s="130">
        <f t="shared" si="25"/>
        <v>8.1293183043352323E-3</v>
      </c>
      <c r="AN74" s="130">
        <f t="shared" si="26"/>
        <v>0</v>
      </c>
      <c r="AO74" s="130">
        <f t="shared" si="27"/>
        <v>98.842649673561112</v>
      </c>
      <c r="AP74" s="130">
        <f t="shared" si="28"/>
        <v>1.7085396285816821E-2</v>
      </c>
      <c r="AQ74" s="130">
        <f t="shared" si="29"/>
        <v>0</v>
      </c>
      <c r="AR74" s="130">
        <f t="shared" si="30"/>
        <v>0</v>
      </c>
      <c r="AS74" s="130">
        <f t="shared" si="31"/>
        <v>0</v>
      </c>
      <c r="AT74" s="130">
        <f t="shared" si="32"/>
        <v>0</v>
      </c>
      <c r="AU74" s="130">
        <f t="shared" si="33"/>
        <v>0.79734228749769775</v>
      </c>
      <c r="AV74" s="130">
        <f t="shared" si="34"/>
        <v>1.6985037069470802E-2</v>
      </c>
      <c r="AW74" s="130">
        <f t="shared" si="35"/>
        <v>0.31780828728155525</v>
      </c>
      <c r="AX74" s="130">
        <f t="shared" si="36"/>
        <v>0</v>
      </c>
      <c r="AY74" s="130">
        <f t="shared" si="37"/>
        <v>0</v>
      </c>
      <c r="AZ74" s="130">
        <f t="shared" si="38"/>
        <v>0</v>
      </c>
      <c r="BA74" s="130">
        <f t="shared" si="39"/>
        <v>0</v>
      </c>
      <c r="BB74" s="130">
        <f t="shared" si="40"/>
        <v>0</v>
      </c>
      <c r="BC74" s="130">
        <f t="shared" si="41"/>
        <v>0</v>
      </c>
      <c r="BD74" s="130">
        <f t="shared" si="42"/>
        <v>0</v>
      </c>
      <c r="BE74" s="130">
        <f t="shared" si="43"/>
        <v>0</v>
      </c>
      <c r="BF74" s="130">
        <f t="shared" si="44"/>
        <v>0</v>
      </c>
      <c r="BG74" s="130">
        <f t="shared" si="45"/>
        <v>0</v>
      </c>
      <c r="BH74" s="130">
        <f t="shared" si="46"/>
        <v>0</v>
      </c>
      <c r="BI74" s="130">
        <f t="shared" si="47"/>
        <v>0</v>
      </c>
      <c r="BJ74" s="130">
        <f t="shared" si="48"/>
        <v>0</v>
      </c>
      <c r="BK74" s="130">
        <f t="shared" si="49"/>
        <v>-117.13725192930569</v>
      </c>
      <c r="BL74" s="130">
        <f>IF($K74=$L74,$BK74,IF(OR($K74="graphite",$K74="vitreous carbon"),$BK$406+($BM$389+$I74)*$BJ$406,IF($K74="Pyrolytic Boron Nitride","PBN",IF(COUNTIF($BH$396:$BH$416,$K74)&gt;0,VLOOKUP($K74,$BH$396:$BK$416,4,FALSE)+($BM$389+$I74)*VLOOKUP($K74,$BH$396:$BK$416,3,FALSE),IF(COUNTIF($L$2:$L73,$K74)&gt;0,VLOOKUP($K74,$L$2:$BK73,52,FALSE),"idk")))))</f>
        <v>-125.32307267842094</v>
      </c>
      <c r="BM74" s="130"/>
      <c r="BN74" s="130"/>
      <c r="BO74" s="130"/>
      <c r="BP74" s="129" t="s">
        <v>245</v>
      </c>
      <c r="BQ74" s="129" t="s">
        <v>276</v>
      </c>
      <c r="BR74" s="129" t="s">
        <v>247</v>
      </c>
      <c r="BS74" s="129">
        <v>3.19</v>
      </c>
      <c r="BT74" s="129">
        <v>0</v>
      </c>
      <c r="BV74" s="129"/>
      <c r="BZ74" s="129"/>
      <c r="DJ74" s="129">
        <v>0</v>
      </c>
      <c r="DK74" s="129">
        <v>0</v>
      </c>
      <c r="DL74" s="129"/>
      <c r="DO74" s="129">
        <v>-62</v>
      </c>
      <c r="DQ74" s="129">
        <v>6202000000000001</v>
      </c>
      <c r="DS74" s="129">
        <v>3</v>
      </c>
      <c r="DU74" s="129" t="s">
        <v>282</v>
      </c>
      <c r="DW74" s="129">
        <f>SUM(_2025_01_07T12_47_export3[[#This Row],[Ni_wt]:[H_wt]])</f>
        <v>99.860000000000014</v>
      </c>
      <c r="DY74" s="130">
        <f>SUM($AM74:BJ74)</f>
        <v>100</v>
      </c>
    </row>
    <row r="75" spans="1:129" ht="16.5" thickBot="1" x14ac:dyDescent="0.3">
      <c r="A75" s="136" t="s">
        <v>285</v>
      </c>
      <c r="B75" s="136">
        <v>83</v>
      </c>
      <c r="C75" s="136" t="s">
        <v>272</v>
      </c>
      <c r="D75" s="136">
        <v>2013</v>
      </c>
      <c r="E75" s="136" t="s">
        <v>273</v>
      </c>
      <c r="F75" s="136" t="s">
        <v>274</v>
      </c>
      <c r="G75" s="136" t="s">
        <v>226</v>
      </c>
      <c r="H75" s="136">
        <v>0</v>
      </c>
      <c r="I75" s="136">
        <v>600</v>
      </c>
      <c r="J75" s="136">
        <v>300</v>
      </c>
      <c r="K75" s="136" t="s">
        <v>48</v>
      </c>
      <c r="L75" s="136" t="s">
        <v>286</v>
      </c>
      <c r="M75" s="136"/>
      <c r="N75" s="136">
        <v>10220000</v>
      </c>
      <c r="O75" s="137">
        <v>5.0000000000000001E-3</v>
      </c>
      <c r="P75" s="137"/>
      <c r="Q75" s="137">
        <v>99.4</v>
      </c>
      <c r="R75" s="137">
        <v>0.01</v>
      </c>
      <c r="S75" s="137"/>
      <c r="T75" s="137"/>
      <c r="U75" s="137"/>
      <c r="V75" s="137"/>
      <c r="W75" s="137">
        <v>0.4</v>
      </c>
      <c r="X75" s="137">
        <v>5.0000000000000001E-3</v>
      </c>
      <c r="Y75" s="137">
        <v>0.04</v>
      </c>
      <c r="Z75" s="137"/>
      <c r="AA75" s="137"/>
      <c r="AB75" s="137"/>
      <c r="AC75" s="137"/>
      <c r="AD75" s="137"/>
      <c r="AE75" s="137"/>
      <c r="AF75" s="137"/>
      <c r="AG75" s="137"/>
      <c r="AH75" s="137"/>
      <c r="AI75" s="137"/>
      <c r="AJ75" s="137"/>
      <c r="AK75" s="137"/>
      <c r="AL75" s="137"/>
      <c r="AM75" s="137">
        <f t="shared" si="25"/>
        <v>8.1293183043352323E-3</v>
      </c>
      <c r="AN75" s="137">
        <f t="shared" si="26"/>
        <v>0</v>
      </c>
      <c r="AO75" s="137">
        <f t="shared" si="27"/>
        <v>98.842649673561112</v>
      </c>
      <c r="AP75" s="137">
        <f t="shared" si="28"/>
        <v>1.7085396285816821E-2</v>
      </c>
      <c r="AQ75" s="137">
        <f t="shared" si="29"/>
        <v>0</v>
      </c>
      <c r="AR75" s="137">
        <f t="shared" si="30"/>
        <v>0</v>
      </c>
      <c r="AS75" s="137">
        <f t="shared" si="31"/>
        <v>0</v>
      </c>
      <c r="AT75" s="137">
        <f t="shared" si="32"/>
        <v>0</v>
      </c>
      <c r="AU75" s="137">
        <f t="shared" si="33"/>
        <v>0.79734228749769775</v>
      </c>
      <c r="AV75" s="137">
        <f t="shared" si="34"/>
        <v>1.6985037069470802E-2</v>
      </c>
      <c r="AW75" s="137">
        <f t="shared" si="35"/>
        <v>0.31780828728155525</v>
      </c>
      <c r="AX75" s="137">
        <f t="shared" si="36"/>
        <v>0</v>
      </c>
      <c r="AY75" s="137">
        <f t="shared" si="37"/>
        <v>0</v>
      </c>
      <c r="AZ75" s="137">
        <f t="shared" si="38"/>
        <v>0</v>
      </c>
      <c r="BA75" s="137">
        <f t="shared" si="39"/>
        <v>0</v>
      </c>
      <c r="BB75" s="137">
        <f t="shared" si="40"/>
        <v>0</v>
      </c>
      <c r="BC75" s="137">
        <f t="shared" si="41"/>
        <v>0</v>
      </c>
      <c r="BD75" s="137">
        <f t="shared" si="42"/>
        <v>0</v>
      </c>
      <c r="BE75" s="137">
        <f t="shared" si="43"/>
        <v>0</v>
      </c>
      <c r="BF75" s="137">
        <f t="shared" si="44"/>
        <v>0</v>
      </c>
      <c r="BG75" s="137">
        <f t="shared" si="45"/>
        <v>0</v>
      </c>
      <c r="BH75" s="137">
        <f t="shared" si="46"/>
        <v>0</v>
      </c>
      <c r="BI75" s="137">
        <f t="shared" si="47"/>
        <v>0</v>
      </c>
      <c r="BJ75" s="137">
        <f t="shared" si="48"/>
        <v>0</v>
      </c>
      <c r="BK75" s="137">
        <f t="shared" si="49"/>
        <v>-117.13725192930569</v>
      </c>
      <c r="BL75" s="137">
        <f>IF($K75=$L75,$BK75,IF(OR($K75="graphite",$K75="vitreous carbon"),$BK$406+($BM$389+$I75)*$BJ$406,IF($K75="Pyrolytic Boron Nitride","PBN",IF(COUNTIF($BH$396:$BH$416,$K75)&gt;0,VLOOKUP($K75,$BH$396:$BK$416,4,FALSE)+($BM$389+$I75)*VLOOKUP($K75,$BH$396:$BK$416,3,FALSE),IF(COUNTIF($L$2:$L74,$K75)&gt;0,VLOOKUP($K75,$L$2:$BK74,52,FALSE),"idk")))))</f>
        <v>-125.32307267842094</v>
      </c>
      <c r="BM75" s="137"/>
      <c r="BN75" s="137"/>
      <c r="BO75" s="137"/>
      <c r="BP75" s="136" t="s">
        <v>245</v>
      </c>
      <c r="BQ75" s="136" t="s">
        <v>276</v>
      </c>
      <c r="BR75" s="136" t="s">
        <v>247</v>
      </c>
      <c r="BS75" s="136">
        <v>3.19</v>
      </c>
      <c r="BT75" s="136">
        <v>0</v>
      </c>
      <c r="BU75" s="136"/>
      <c r="BV75" s="136"/>
      <c r="BW75" s="136"/>
      <c r="BX75" s="136"/>
      <c r="BY75" s="136"/>
      <c r="BZ75" s="136"/>
      <c r="CA75" s="136"/>
      <c r="CB75" s="136"/>
      <c r="CC75" s="136"/>
      <c r="CD75" s="136"/>
      <c r="CE75" s="136"/>
      <c r="CF75" s="136"/>
      <c r="CG75" s="136"/>
      <c r="CH75" s="136"/>
      <c r="CI75" s="136"/>
      <c r="CJ75" s="136"/>
      <c r="CK75" s="136"/>
      <c r="CL75" s="136"/>
      <c r="CM75" s="136"/>
      <c r="CN75" s="136"/>
      <c r="CO75" s="136"/>
      <c r="CP75" s="136"/>
      <c r="CQ75" s="136"/>
      <c r="CR75" s="136"/>
      <c r="CS75" s="136"/>
      <c r="CT75" s="136"/>
      <c r="CU75" s="136"/>
      <c r="CV75" s="136"/>
      <c r="CW75" s="136"/>
      <c r="CX75" s="136"/>
      <c r="CY75" s="136"/>
      <c r="CZ75" s="136"/>
      <c r="DA75" s="136"/>
      <c r="DB75" s="136"/>
      <c r="DC75" s="136"/>
      <c r="DD75" s="136"/>
      <c r="DE75" s="136"/>
      <c r="DF75" s="136"/>
      <c r="DG75" s="136"/>
      <c r="DH75" s="136"/>
      <c r="DI75" s="136"/>
      <c r="DJ75" s="136">
        <v>0</v>
      </c>
      <c r="DK75" s="136">
        <v>0</v>
      </c>
      <c r="DL75" s="136"/>
      <c r="DM75" s="136"/>
      <c r="DN75" s="136"/>
      <c r="DO75" s="136">
        <v>-77</v>
      </c>
      <c r="DP75" s="136"/>
      <c r="DQ75" s="136">
        <v>6202000000000001</v>
      </c>
      <c r="DR75" s="136"/>
      <c r="DS75" s="136">
        <v>3</v>
      </c>
      <c r="DT75" s="136"/>
      <c r="DU75" s="136" t="s">
        <v>282</v>
      </c>
      <c r="DW75" s="129">
        <f>SUM(_2025_01_07T12_47_export3[[#This Row],[Ni_wt]:[H_wt]])</f>
        <v>99.860000000000014</v>
      </c>
      <c r="DY75" s="130">
        <f>SUM($AM75:BJ75)</f>
        <v>100</v>
      </c>
    </row>
    <row r="76" spans="1:129" ht="16.5" thickBot="1" x14ac:dyDescent="0.3">
      <c r="A76" s="136" t="s">
        <v>287</v>
      </c>
      <c r="B76" s="136">
        <v>84</v>
      </c>
      <c r="C76" s="136" t="s">
        <v>288</v>
      </c>
      <c r="D76" s="136">
        <v>2015</v>
      </c>
      <c r="E76" s="136" t="s">
        <v>289</v>
      </c>
      <c r="F76" s="136" t="s">
        <v>290</v>
      </c>
      <c r="G76" s="136" t="s">
        <v>226</v>
      </c>
      <c r="H76" s="136">
        <v>0</v>
      </c>
      <c r="I76" s="136">
        <v>700</v>
      </c>
      <c r="J76" s="136">
        <v>720</v>
      </c>
      <c r="K76" s="136" t="s">
        <v>233</v>
      </c>
      <c r="L76" s="136" t="s">
        <v>291</v>
      </c>
      <c r="M76" s="136"/>
      <c r="N76" s="139"/>
      <c r="O76" s="137">
        <f>100-SUM(_2025_01_07T12_47_export3[[#This Row],[Cr_wt]:[H_wt]])</f>
        <v>74.649999999999991</v>
      </c>
      <c r="P76" s="137">
        <v>6.82</v>
      </c>
      <c r="Q76" s="137">
        <v>15.81</v>
      </c>
      <c r="R76" s="137">
        <v>2.3199999999999998</v>
      </c>
      <c r="S76" s="137">
        <v>0.06</v>
      </c>
      <c r="T76" s="137"/>
      <c r="U76" s="137">
        <v>0.04</v>
      </c>
      <c r="V76" s="137">
        <v>0.26</v>
      </c>
      <c r="W76" s="137">
        <v>0.03</v>
      </c>
      <c r="X76" s="137"/>
      <c r="Y76" s="137"/>
      <c r="Z76" s="137"/>
      <c r="AA76" s="137">
        <v>0.01</v>
      </c>
      <c r="AB76" s="137"/>
      <c r="AC76" s="137"/>
      <c r="AD76" s="137"/>
      <c r="AE76" s="137"/>
      <c r="AF76" s="137"/>
      <c r="AG76" s="137"/>
      <c r="AH76" s="137"/>
      <c r="AI76" s="137"/>
      <c r="AJ76" s="137"/>
      <c r="AK76" s="137"/>
      <c r="AL76" s="137"/>
      <c r="AM76" s="137">
        <f t="shared" si="25"/>
        <v>78.475277821477576</v>
      </c>
      <c r="AN76" s="137">
        <f t="shared" si="26"/>
        <v>8.091856833797717</v>
      </c>
      <c r="AO76" s="137">
        <f t="shared" si="27"/>
        <v>10.16503293191839</v>
      </c>
      <c r="AP76" s="137">
        <f t="shared" si="28"/>
        <v>2.5629018039768141</v>
      </c>
      <c r="AQ76" s="137">
        <f t="shared" si="29"/>
        <v>2.014062311246835E-2</v>
      </c>
      <c r="AR76" s="137">
        <f t="shared" si="30"/>
        <v>0</v>
      </c>
      <c r="AS76" s="137">
        <f t="shared" si="31"/>
        <v>4.4919870502022619E-2</v>
      </c>
      <c r="AT76" s="137">
        <f t="shared" si="32"/>
        <v>0.59456393458032963</v>
      </c>
      <c r="AU76" s="137">
        <f t="shared" si="33"/>
        <v>3.8665620723539622E-2</v>
      </c>
      <c r="AV76" s="137">
        <f t="shared" si="34"/>
        <v>0</v>
      </c>
      <c r="AW76" s="137">
        <f t="shared" si="35"/>
        <v>0</v>
      </c>
      <c r="AX76" s="137">
        <f t="shared" si="36"/>
        <v>0</v>
      </c>
      <c r="AY76" s="137">
        <f t="shared" si="37"/>
        <v>6.6405599111535952E-3</v>
      </c>
      <c r="AZ76" s="137">
        <f t="shared" si="38"/>
        <v>0</v>
      </c>
      <c r="BA76" s="137">
        <f t="shared" si="39"/>
        <v>0</v>
      </c>
      <c r="BB76" s="137">
        <f t="shared" si="40"/>
        <v>0</v>
      </c>
      <c r="BC76" s="137">
        <f t="shared" si="41"/>
        <v>0</v>
      </c>
      <c r="BD76" s="137">
        <f t="shared" si="42"/>
        <v>0</v>
      </c>
      <c r="BE76" s="137">
        <f t="shared" si="43"/>
        <v>0</v>
      </c>
      <c r="BF76" s="137">
        <f t="shared" si="44"/>
        <v>0</v>
      </c>
      <c r="BG76" s="137">
        <f t="shared" si="45"/>
        <v>0</v>
      </c>
      <c r="BH76" s="137">
        <f t="shared" si="46"/>
        <v>0</v>
      </c>
      <c r="BI76" s="137">
        <f t="shared" si="47"/>
        <v>0</v>
      </c>
      <c r="BJ76" s="137">
        <f t="shared" si="48"/>
        <v>0</v>
      </c>
      <c r="BK76" s="137">
        <f t="shared" si="49"/>
        <v>-124.06483277789349</v>
      </c>
      <c r="BL76" s="137">
        <f>IF($K76=$L76,$BK76,IF(OR($K76="graphite",$K76="vitreous carbon"),$BK$406+($BM$389+$I76)*$BJ$406,IF($K76="Pyrolytic Boron Nitride","PBN",IF(COUNTIF($BH$396:$BH$416,$K76)&gt;0,VLOOKUP($K76,$BH$396:$BK$416,4,FALSE)+($BM$389+$I76)*VLOOKUP($K76,$BH$396:$BK$416,3,FALSE),IF(COUNTIF($L$2:$L75,$K76)&gt;0,VLOOKUP($K76,$L$2:$BK75,52,FALSE),"idk")))))</f>
        <v>-63.529671587210359</v>
      </c>
      <c r="BM76" s="137">
        <v>25</v>
      </c>
      <c r="BN76" s="137">
        <v>18</v>
      </c>
      <c r="BO76" s="137">
        <v>1.2</v>
      </c>
      <c r="BP76" s="136" t="s">
        <v>228</v>
      </c>
      <c r="BQ76" s="136"/>
      <c r="BR76" s="136" t="s">
        <v>247</v>
      </c>
      <c r="BS76" s="136"/>
      <c r="BT76" s="136">
        <v>0</v>
      </c>
      <c r="BU76" s="136"/>
      <c r="BV76" s="136"/>
      <c r="BW76" s="136"/>
      <c r="BX76" s="136"/>
      <c r="BY76" s="136"/>
      <c r="BZ76" s="136"/>
      <c r="CA76" s="136"/>
      <c r="CB76" s="136"/>
      <c r="CC76" s="136"/>
      <c r="CD76" s="136"/>
      <c r="CE76" s="136"/>
      <c r="CF76" s="136"/>
      <c r="CG76" s="136"/>
      <c r="CH76" s="136"/>
      <c r="CI76" s="136"/>
      <c r="CJ76" s="136"/>
      <c r="CK76" s="136"/>
      <c r="CL76" s="136"/>
      <c r="CM76" s="136"/>
      <c r="CN76" s="136"/>
      <c r="CO76" s="136"/>
      <c r="CP76" s="136"/>
      <c r="CQ76" s="136"/>
      <c r="CR76" s="136"/>
      <c r="CS76" s="136"/>
      <c r="CT76" s="136"/>
      <c r="CU76" s="136"/>
      <c r="CV76" s="136"/>
      <c r="CW76" s="136"/>
      <c r="CX76" s="136"/>
      <c r="CY76" s="136"/>
      <c r="CZ76" s="136"/>
      <c r="DA76" s="136"/>
      <c r="DB76" s="136"/>
      <c r="DC76" s="136"/>
      <c r="DD76" s="136"/>
      <c r="DE76" s="136"/>
      <c r="DF76" s="136"/>
      <c r="DG76" s="136"/>
      <c r="DH76" s="136"/>
      <c r="DI76" s="136"/>
      <c r="DJ76" s="136">
        <v>0</v>
      </c>
      <c r="DK76" s="136">
        <v>0</v>
      </c>
      <c r="DL76" s="136"/>
      <c r="DM76" s="136"/>
      <c r="DN76" s="136"/>
      <c r="DO76" s="136">
        <v>-25</v>
      </c>
      <c r="DP76" s="136"/>
      <c r="DQ76" s="136"/>
      <c r="DR76" s="136"/>
      <c r="DS76" s="136">
        <v>1</v>
      </c>
      <c r="DT76" s="280" t="s">
        <v>293</v>
      </c>
      <c r="DU76" s="136" t="s">
        <v>292</v>
      </c>
      <c r="DW76" s="129">
        <f>SUM(_2025_01_07T12_47_export3[[#This Row],[Ni_wt]:[H_wt]])</f>
        <v>100.00000000000001</v>
      </c>
      <c r="DY76" s="130">
        <f>SUM($AM76:BJ76)</f>
        <v>100.00000000000001</v>
      </c>
    </row>
    <row r="77" spans="1:129" x14ac:dyDescent="0.25">
      <c r="A77" s="129" t="s">
        <v>294</v>
      </c>
      <c r="B77" s="129">
        <v>85</v>
      </c>
      <c r="C77" s="129" t="s">
        <v>295</v>
      </c>
      <c r="D77" s="129">
        <v>2019</v>
      </c>
      <c r="E77" s="129" t="s">
        <v>296</v>
      </c>
      <c r="F77" s="129" t="s">
        <v>297</v>
      </c>
      <c r="G77" s="129" t="s">
        <v>226</v>
      </c>
      <c r="H77" s="129">
        <v>0</v>
      </c>
      <c r="I77" s="129">
        <v>650</v>
      </c>
      <c r="J77" s="129">
        <v>200</v>
      </c>
      <c r="K77" s="129" t="s">
        <v>269</v>
      </c>
      <c r="L77" s="129" t="s">
        <v>298</v>
      </c>
      <c r="N77" s="129">
        <v>8860000</v>
      </c>
      <c r="O77" s="130">
        <v>70.400000000000006</v>
      </c>
      <c r="P77" s="130">
        <v>7.03</v>
      </c>
      <c r="Q77" s="130">
        <v>17.100000000000001</v>
      </c>
      <c r="R77" s="130">
        <v>4.03</v>
      </c>
      <c r="S77" s="130">
        <v>0.02</v>
      </c>
      <c r="T77" s="130"/>
      <c r="U77" s="130">
        <v>0.77</v>
      </c>
      <c r="V77" s="130">
        <v>0.03</v>
      </c>
      <c r="W77" s="130">
        <v>0.01</v>
      </c>
      <c r="X77" s="130">
        <v>0.59</v>
      </c>
      <c r="Y77" s="130">
        <v>1.4999999999999999E-2</v>
      </c>
      <c r="Z77" s="130"/>
      <c r="AA77" s="130"/>
      <c r="AB77" s="130"/>
      <c r="AC77" s="130">
        <v>4.0000000000000001E-3</v>
      </c>
      <c r="AD77" s="130">
        <v>1E-3</v>
      </c>
      <c r="AE77" s="130">
        <v>1E-3</v>
      </c>
      <c r="AF77" s="130"/>
      <c r="AG77" s="130"/>
      <c r="AH77" s="130"/>
      <c r="AI77" s="130"/>
      <c r="AJ77" s="130"/>
      <c r="AK77" s="130"/>
      <c r="AL77" s="130"/>
      <c r="AM77" s="130">
        <f t="shared" si="25"/>
        <v>73.906724702129594</v>
      </c>
      <c r="AN77" s="130">
        <f t="shared" si="26"/>
        <v>8.3296621720823136</v>
      </c>
      <c r="AO77" s="130">
        <f t="shared" si="27"/>
        <v>10.979467504857102</v>
      </c>
      <c r="AP77" s="130">
        <f t="shared" si="28"/>
        <v>4.4458752800864172</v>
      </c>
      <c r="AQ77" s="130">
        <f t="shared" si="29"/>
        <v>6.7043996574339456E-3</v>
      </c>
      <c r="AR77" s="130">
        <f t="shared" si="30"/>
        <v>0</v>
      </c>
      <c r="AS77" s="130">
        <f t="shared" si="31"/>
        <v>0.86353009275391046</v>
      </c>
      <c r="AT77" s="130">
        <f t="shared" si="32"/>
        <v>6.8510118070961412E-2</v>
      </c>
      <c r="AU77" s="130">
        <f t="shared" si="33"/>
        <v>1.2870990777484432E-2</v>
      </c>
      <c r="AV77" s="130">
        <f t="shared" si="34"/>
        <v>1.2941233671261161</v>
      </c>
      <c r="AW77" s="130">
        <f t="shared" si="35"/>
        <v>7.6952663844901709E-2</v>
      </c>
      <c r="AX77" s="130">
        <f t="shared" si="36"/>
        <v>0</v>
      </c>
      <c r="AY77" s="130">
        <f t="shared" si="37"/>
        <v>0</v>
      </c>
      <c r="AZ77" s="130">
        <f t="shared" si="38"/>
        <v>0</v>
      </c>
      <c r="BA77" s="130">
        <f t="shared" si="39"/>
        <v>7.9578214855431668E-3</v>
      </c>
      <c r="BB77" s="130">
        <f t="shared" si="40"/>
        <v>1.921217114182038E-3</v>
      </c>
      <c r="BC77" s="130">
        <f t="shared" si="41"/>
        <v>5.699670014044215E-3</v>
      </c>
      <c r="BD77" s="130">
        <f t="shared" si="42"/>
        <v>0</v>
      </c>
      <c r="BE77" s="130">
        <f t="shared" si="43"/>
        <v>0</v>
      </c>
      <c r="BF77" s="130">
        <f t="shared" si="44"/>
        <v>0</v>
      </c>
      <c r="BG77" s="130">
        <f t="shared" si="45"/>
        <v>0</v>
      </c>
      <c r="BH77" s="130">
        <f t="shared" si="46"/>
        <v>0</v>
      </c>
      <c r="BI77" s="130">
        <f t="shared" si="47"/>
        <v>0</v>
      </c>
      <c r="BJ77" s="130">
        <f t="shared" si="48"/>
        <v>0</v>
      </c>
      <c r="BK77" s="130">
        <f t="shared" si="49"/>
        <v>-126.56517208598308</v>
      </c>
      <c r="BL77" s="130">
        <f>IF($K77=$L77,$BK77,IF(OR($K77="graphite",$K77="vitreous carbon"),$BK$406+($BM$389+$I77)*$BJ$406,IF($K77="Pyrolytic Boron Nitride","PBN",IF(COUNTIF($BH$396:$BH$416,$K77)&gt;0,VLOOKUP($K77,$BH$396:$BK$416,4,FALSE)+($BM$389+$I77)*VLOOKUP($K77,$BH$396:$BK$416,3,FALSE),IF(COUNTIF($L$2:$L76,$K77)&gt;0,VLOOKUP($K77,$L$2:$BK76,52,FALSE),"idk")))))</f>
        <v>-64.432312040620616</v>
      </c>
      <c r="BM77" s="130">
        <v>10</v>
      </c>
      <c r="BN77" s="130">
        <v>5</v>
      </c>
      <c r="BO77" s="130">
        <v>1.2</v>
      </c>
      <c r="BP77" s="129" t="s">
        <v>245</v>
      </c>
      <c r="BQ77" s="129" t="s">
        <v>299</v>
      </c>
      <c r="BR77" s="129" t="s">
        <v>247</v>
      </c>
      <c r="BS77" s="129"/>
      <c r="BT77" s="129">
        <v>0</v>
      </c>
      <c r="BU77" s="129">
        <v>21.1</v>
      </c>
      <c r="BV77" s="129">
        <v>240</v>
      </c>
      <c r="BX77" s="129">
        <v>152</v>
      </c>
      <c r="BY77" s="129">
        <v>61.4</v>
      </c>
      <c r="BZ77" s="129">
        <v>32.200000000000003</v>
      </c>
      <c r="CA77" s="129">
        <v>5.88</v>
      </c>
      <c r="CB77" s="129">
        <v>2.95</v>
      </c>
      <c r="CC77" s="129">
        <v>4.42</v>
      </c>
      <c r="CD77" s="129">
        <v>32.200000000000003</v>
      </c>
      <c r="CE77" s="129">
        <v>4.42</v>
      </c>
      <c r="CF77" s="129">
        <v>5.88</v>
      </c>
      <c r="CK77" s="129">
        <v>17.559999999999999</v>
      </c>
      <c r="DJ77" s="129">
        <v>0</v>
      </c>
      <c r="DK77" s="129">
        <v>0</v>
      </c>
      <c r="DL77" s="129"/>
      <c r="DO77" s="129">
        <v>-1.47</v>
      </c>
      <c r="DS77" s="129">
        <v>1</v>
      </c>
      <c r="DT77" s="155" t="s">
        <v>301</v>
      </c>
      <c r="DU77" s="129" t="s">
        <v>300</v>
      </c>
      <c r="DW77" s="129">
        <f>SUM(_2025_01_07T12_47_export3[[#This Row],[Ni_wt]:[H_wt]])</f>
        <v>100.00100000000002</v>
      </c>
      <c r="DY77" s="130">
        <f>SUM($AM77:BJ77)</f>
        <v>100</v>
      </c>
    </row>
    <row r="78" spans="1:129" x14ac:dyDescent="0.25">
      <c r="A78" s="129" t="s">
        <v>294</v>
      </c>
      <c r="B78" s="129">
        <v>86</v>
      </c>
      <c r="C78" s="129" t="s">
        <v>295</v>
      </c>
      <c r="D78" s="129">
        <v>2019</v>
      </c>
      <c r="E78" s="129" t="s">
        <v>296</v>
      </c>
      <c r="F78" s="129" t="s">
        <v>297</v>
      </c>
      <c r="G78" s="129" t="s">
        <v>226</v>
      </c>
      <c r="H78" s="129">
        <v>0</v>
      </c>
      <c r="I78" s="129">
        <v>650</v>
      </c>
      <c r="J78" s="129">
        <v>500</v>
      </c>
      <c r="K78" s="129" t="s">
        <v>269</v>
      </c>
      <c r="L78" s="129" t="s">
        <v>298</v>
      </c>
      <c r="N78" s="129">
        <v>8860000</v>
      </c>
      <c r="O78" s="130">
        <v>70.400000000000006</v>
      </c>
      <c r="P78" s="130">
        <v>7.03</v>
      </c>
      <c r="Q78" s="130">
        <v>17.100000000000001</v>
      </c>
      <c r="R78" s="130">
        <v>4.03</v>
      </c>
      <c r="S78" s="130">
        <v>0.02</v>
      </c>
      <c r="T78" s="130"/>
      <c r="U78" s="130">
        <v>0.77</v>
      </c>
      <c r="V78" s="130">
        <v>0.03</v>
      </c>
      <c r="W78" s="130">
        <v>0.01</v>
      </c>
      <c r="X78" s="130">
        <v>0.59</v>
      </c>
      <c r="Y78" s="130">
        <v>1.4999999999999999E-2</v>
      </c>
      <c r="Z78" s="130"/>
      <c r="AA78" s="130"/>
      <c r="AB78" s="130"/>
      <c r="AC78" s="130">
        <v>4.0000000000000001E-3</v>
      </c>
      <c r="AD78" s="130">
        <v>1E-3</v>
      </c>
      <c r="AE78" s="130">
        <v>1E-3</v>
      </c>
      <c r="AF78" s="130"/>
      <c r="AG78" s="130"/>
      <c r="AH78" s="130"/>
      <c r="AI78" s="130"/>
      <c r="AJ78" s="130"/>
      <c r="AK78" s="130"/>
      <c r="AL78" s="130"/>
      <c r="AM78" s="130">
        <f t="shared" si="25"/>
        <v>73.906724702129594</v>
      </c>
      <c r="AN78" s="130">
        <f t="shared" si="26"/>
        <v>8.3296621720823136</v>
      </c>
      <c r="AO78" s="130">
        <f t="shared" si="27"/>
        <v>10.979467504857102</v>
      </c>
      <c r="AP78" s="130">
        <f t="shared" si="28"/>
        <v>4.4458752800864172</v>
      </c>
      <c r="AQ78" s="130">
        <f t="shared" si="29"/>
        <v>6.7043996574339456E-3</v>
      </c>
      <c r="AR78" s="130">
        <f t="shared" si="30"/>
        <v>0</v>
      </c>
      <c r="AS78" s="130">
        <f t="shared" si="31"/>
        <v>0.86353009275391046</v>
      </c>
      <c r="AT78" s="130">
        <f t="shared" si="32"/>
        <v>6.8510118070961412E-2</v>
      </c>
      <c r="AU78" s="130">
        <f t="shared" si="33"/>
        <v>1.2870990777484432E-2</v>
      </c>
      <c r="AV78" s="130">
        <f t="shared" si="34"/>
        <v>1.2941233671261161</v>
      </c>
      <c r="AW78" s="130">
        <f t="shared" si="35"/>
        <v>7.6952663844901709E-2</v>
      </c>
      <c r="AX78" s="130">
        <f t="shared" si="36"/>
        <v>0</v>
      </c>
      <c r="AY78" s="130">
        <f t="shared" si="37"/>
        <v>0</v>
      </c>
      <c r="AZ78" s="130">
        <f t="shared" si="38"/>
        <v>0</v>
      </c>
      <c r="BA78" s="130">
        <f t="shared" si="39"/>
        <v>7.9578214855431668E-3</v>
      </c>
      <c r="BB78" s="130">
        <f t="shared" si="40"/>
        <v>1.921217114182038E-3</v>
      </c>
      <c r="BC78" s="130">
        <f t="shared" si="41"/>
        <v>5.699670014044215E-3</v>
      </c>
      <c r="BD78" s="130">
        <f t="shared" si="42"/>
        <v>0</v>
      </c>
      <c r="BE78" s="130">
        <f t="shared" si="43"/>
        <v>0</v>
      </c>
      <c r="BF78" s="130">
        <f t="shared" si="44"/>
        <v>0</v>
      </c>
      <c r="BG78" s="130">
        <f t="shared" si="45"/>
        <v>0</v>
      </c>
      <c r="BH78" s="130">
        <f t="shared" si="46"/>
        <v>0</v>
      </c>
      <c r="BI78" s="130">
        <f t="shared" si="47"/>
        <v>0</v>
      </c>
      <c r="BJ78" s="130">
        <f t="shared" si="48"/>
        <v>0</v>
      </c>
      <c r="BK78" s="130">
        <f t="shared" si="49"/>
        <v>-126.56517208598308</v>
      </c>
      <c r="BL78" s="130">
        <f>IF($K78=$L78,$BK78,IF(OR($K78="graphite",$K78="vitreous carbon"),$BK$406+($BM$389+$I78)*$BJ$406,IF($K78="Pyrolytic Boron Nitride","PBN",IF(COUNTIF($BH$396:$BH$416,$K78)&gt;0,VLOOKUP($K78,$BH$396:$BK$416,4,FALSE)+($BM$389+$I78)*VLOOKUP($K78,$BH$396:$BK$416,3,FALSE),IF(COUNTIF($L$2:$L77,$K78)&gt;0,VLOOKUP($K78,$L$2:$BK77,52,FALSE),"idk")))))</f>
        <v>-64.432312040620616</v>
      </c>
      <c r="BM78" s="130">
        <v>10</v>
      </c>
      <c r="BN78" s="130">
        <v>5</v>
      </c>
      <c r="BO78" s="130">
        <v>1.2</v>
      </c>
      <c r="BP78" s="129" t="s">
        <v>245</v>
      </c>
      <c r="BQ78" s="129" t="s">
        <v>299</v>
      </c>
      <c r="BR78" s="129" t="s">
        <v>247</v>
      </c>
      <c r="BS78" s="129"/>
      <c r="BT78" s="129">
        <v>0</v>
      </c>
      <c r="BU78" s="129">
        <v>21.1</v>
      </c>
      <c r="BV78" s="129">
        <v>240</v>
      </c>
      <c r="BX78" s="129">
        <v>152</v>
      </c>
      <c r="BY78" s="129">
        <v>61.4</v>
      </c>
      <c r="BZ78" s="129">
        <v>32.200000000000003</v>
      </c>
      <c r="CA78" s="129">
        <v>5.88</v>
      </c>
      <c r="CB78" s="129">
        <v>2.95</v>
      </c>
      <c r="CC78" s="129">
        <v>4.42</v>
      </c>
      <c r="CD78" s="129">
        <v>32.200000000000003</v>
      </c>
      <c r="CE78" s="129">
        <v>4.42</v>
      </c>
      <c r="CF78" s="129">
        <v>5.88</v>
      </c>
      <c r="CK78" s="129">
        <v>17.559999999999999</v>
      </c>
      <c r="DJ78" s="129">
        <v>0</v>
      </c>
      <c r="DK78" s="129">
        <v>0</v>
      </c>
      <c r="DL78" s="129"/>
      <c r="DO78" s="129">
        <v>-2.88</v>
      </c>
      <c r="DS78" s="129">
        <v>1</v>
      </c>
      <c r="DU78" s="129" t="s">
        <v>300</v>
      </c>
      <c r="DW78" s="129">
        <f>SUM(_2025_01_07T12_47_export3[[#This Row],[Ni_wt]:[H_wt]])</f>
        <v>100.00100000000002</v>
      </c>
      <c r="DY78" s="130">
        <f>SUM($AM78:BJ78)</f>
        <v>100</v>
      </c>
    </row>
    <row r="79" spans="1:129" x14ac:dyDescent="0.25">
      <c r="A79" s="238" t="s">
        <v>294</v>
      </c>
      <c r="B79" s="238">
        <v>87</v>
      </c>
      <c r="C79" s="238" t="s">
        <v>295</v>
      </c>
      <c r="D79" s="238">
        <v>2019</v>
      </c>
      <c r="E79" s="238" t="s">
        <v>296</v>
      </c>
      <c r="F79" s="238" t="s">
        <v>297</v>
      </c>
      <c r="G79" s="238" t="s">
        <v>226</v>
      </c>
      <c r="H79" s="238">
        <v>0</v>
      </c>
      <c r="I79" s="238">
        <v>650</v>
      </c>
      <c r="J79" s="238">
        <v>750</v>
      </c>
      <c r="K79" s="238" t="s">
        <v>269</v>
      </c>
      <c r="L79" s="238" t="s">
        <v>298</v>
      </c>
      <c r="M79" s="238"/>
      <c r="N79" s="238">
        <v>8860000</v>
      </c>
      <c r="O79" s="239">
        <v>70.400000000000006</v>
      </c>
      <c r="P79" s="239">
        <v>7.03</v>
      </c>
      <c r="Q79" s="239">
        <v>17.100000000000001</v>
      </c>
      <c r="R79" s="239">
        <v>4.03</v>
      </c>
      <c r="S79" s="239">
        <v>0.02</v>
      </c>
      <c r="T79" s="239"/>
      <c r="U79" s="239">
        <v>0.77</v>
      </c>
      <c r="V79" s="239">
        <v>0.03</v>
      </c>
      <c r="W79" s="239">
        <v>0.01</v>
      </c>
      <c r="X79" s="239">
        <v>0.59</v>
      </c>
      <c r="Y79" s="239">
        <v>1.4999999999999999E-2</v>
      </c>
      <c r="Z79" s="239"/>
      <c r="AA79" s="239"/>
      <c r="AB79" s="239"/>
      <c r="AC79" s="239">
        <v>4.0000000000000001E-3</v>
      </c>
      <c r="AD79" s="239">
        <v>1E-3</v>
      </c>
      <c r="AE79" s="239">
        <v>1E-3</v>
      </c>
      <c r="AF79" s="239"/>
      <c r="AG79" s="239"/>
      <c r="AH79" s="239"/>
      <c r="AI79" s="239"/>
      <c r="AJ79" s="239"/>
      <c r="AK79" s="239"/>
      <c r="AL79" s="239"/>
      <c r="AM79" s="239">
        <f t="shared" si="25"/>
        <v>73.906724702129594</v>
      </c>
      <c r="AN79" s="239">
        <f t="shared" si="26"/>
        <v>8.3296621720823136</v>
      </c>
      <c r="AO79" s="239">
        <f t="shared" si="27"/>
        <v>10.979467504857102</v>
      </c>
      <c r="AP79" s="239">
        <f t="shared" si="28"/>
        <v>4.4458752800864172</v>
      </c>
      <c r="AQ79" s="239">
        <f t="shared" si="29"/>
        <v>6.7043996574339456E-3</v>
      </c>
      <c r="AR79" s="239">
        <f t="shared" si="30"/>
        <v>0</v>
      </c>
      <c r="AS79" s="239">
        <f t="shared" si="31"/>
        <v>0.86353009275391046</v>
      </c>
      <c r="AT79" s="239">
        <f t="shared" si="32"/>
        <v>6.8510118070961412E-2</v>
      </c>
      <c r="AU79" s="239">
        <f t="shared" si="33"/>
        <v>1.2870990777484432E-2</v>
      </c>
      <c r="AV79" s="239">
        <f t="shared" si="34"/>
        <v>1.2941233671261161</v>
      </c>
      <c r="AW79" s="239">
        <f t="shared" si="35"/>
        <v>7.6952663844901709E-2</v>
      </c>
      <c r="AX79" s="239">
        <f t="shared" si="36"/>
        <v>0</v>
      </c>
      <c r="AY79" s="239">
        <f t="shared" si="37"/>
        <v>0</v>
      </c>
      <c r="AZ79" s="239">
        <f t="shared" si="38"/>
        <v>0</v>
      </c>
      <c r="BA79" s="239">
        <f t="shared" si="39"/>
        <v>7.9578214855431668E-3</v>
      </c>
      <c r="BB79" s="239">
        <f t="shared" si="40"/>
        <v>1.921217114182038E-3</v>
      </c>
      <c r="BC79" s="239">
        <f t="shared" si="41"/>
        <v>5.699670014044215E-3</v>
      </c>
      <c r="BD79" s="239">
        <f t="shared" si="42"/>
        <v>0</v>
      </c>
      <c r="BE79" s="239">
        <f t="shared" si="43"/>
        <v>0</v>
      </c>
      <c r="BF79" s="239">
        <f t="shared" si="44"/>
        <v>0</v>
      </c>
      <c r="BG79" s="239">
        <f t="shared" si="45"/>
        <v>0</v>
      </c>
      <c r="BH79" s="239">
        <f t="shared" si="46"/>
        <v>0</v>
      </c>
      <c r="BI79" s="239">
        <f t="shared" si="47"/>
        <v>0</v>
      </c>
      <c r="BJ79" s="239">
        <f t="shared" si="48"/>
        <v>0</v>
      </c>
      <c r="BK79" s="239">
        <f t="shared" si="49"/>
        <v>-126.56517208598308</v>
      </c>
      <c r="BL79" s="239">
        <f>IF($K79=$L79,$BK79,IF(OR($K79="graphite",$K79="vitreous carbon"),$BK$406+($BM$389+$I79)*$BJ$406,IF($K79="Pyrolytic Boron Nitride","PBN",IF(COUNTIF($BH$396:$BH$416,$K79)&gt;0,VLOOKUP($K79,$BH$396:$BK$416,4,FALSE)+($BM$389+$I79)*VLOOKUP($K79,$BH$396:$BK$416,3,FALSE),IF(COUNTIF($L$2:$L78,$K79)&gt;0,VLOOKUP($K79,$L$2:$BK78,52,FALSE),"idk")))))</f>
        <v>-64.432312040620616</v>
      </c>
      <c r="BM79" s="239">
        <v>10</v>
      </c>
      <c r="BN79" s="239">
        <v>5</v>
      </c>
      <c r="BO79" s="239">
        <v>1.2</v>
      </c>
      <c r="BP79" s="238" t="s">
        <v>245</v>
      </c>
      <c r="BQ79" s="238" t="s">
        <v>299</v>
      </c>
      <c r="BR79" s="238" t="s">
        <v>247</v>
      </c>
      <c r="BS79" s="238"/>
      <c r="BT79" s="238">
        <v>0</v>
      </c>
      <c r="BU79" s="238">
        <v>21.1</v>
      </c>
      <c r="BV79" s="238">
        <v>240</v>
      </c>
      <c r="BW79" s="238"/>
      <c r="BX79" s="238">
        <v>152</v>
      </c>
      <c r="BY79" s="238">
        <v>61.4</v>
      </c>
      <c r="BZ79" s="238">
        <v>32.200000000000003</v>
      </c>
      <c r="CA79" s="238">
        <v>5.88</v>
      </c>
      <c r="CB79" s="238">
        <v>2.95</v>
      </c>
      <c r="CC79" s="238">
        <v>4.42</v>
      </c>
      <c r="CD79" s="238">
        <v>32.200000000000003</v>
      </c>
      <c r="CE79" s="238">
        <v>4.42</v>
      </c>
      <c r="CF79" s="238">
        <v>5.88</v>
      </c>
      <c r="CG79" s="238"/>
      <c r="CH79" s="238"/>
      <c r="CI79" s="238"/>
      <c r="CJ79" s="238"/>
      <c r="CK79" s="238">
        <v>17.559999999999999</v>
      </c>
      <c r="CL79" s="238"/>
      <c r="CM79" s="238"/>
      <c r="CN79" s="238"/>
      <c r="CO79" s="238"/>
      <c r="CP79" s="238"/>
      <c r="CQ79" s="238"/>
      <c r="CR79" s="238"/>
      <c r="CS79" s="238"/>
      <c r="CT79" s="238"/>
      <c r="CU79" s="238"/>
      <c r="CV79" s="238"/>
      <c r="CW79" s="238"/>
      <c r="CX79" s="238"/>
      <c r="CY79" s="238"/>
      <c r="CZ79" s="238"/>
      <c r="DA79" s="238"/>
      <c r="DB79" s="238"/>
      <c r="DC79" s="238"/>
      <c r="DD79" s="238"/>
      <c r="DE79" s="238"/>
      <c r="DF79" s="238"/>
      <c r="DG79" s="238"/>
      <c r="DH79" s="238"/>
      <c r="DI79" s="238"/>
      <c r="DJ79" s="238">
        <v>0</v>
      </c>
      <c r="DK79" s="238">
        <v>0</v>
      </c>
      <c r="DL79" s="238"/>
      <c r="DM79" s="238"/>
      <c r="DN79" s="238"/>
      <c r="DO79" s="238">
        <v>-4.3899999999999997</v>
      </c>
      <c r="DP79" s="238"/>
      <c r="DQ79" s="238"/>
      <c r="DR79" s="238"/>
      <c r="DS79" s="238">
        <v>1</v>
      </c>
      <c r="DT79" s="238"/>
      <c r="DU79" s="238" t="s">
        <v>300</v>
      </c>
      <c r="DW79" s="129">
        <f>SUM(_2025_01_07T12_47_export3[[#This Row],[Ni_wt]:[H_wt]])</f>
        <v>100.00100000000002</v>
      </c>
      <c r="DY79" s="130">
        <f>SUM($AM79:BJ79)</f>
        <v>100</v>
      </c>
    </row>
    <row r="80" spans="1:129" x14ac:dyDescent="0.25">
      <c r="A80" s="129" t="s">
        <v>302</v>
      </c>
      <c r="B80" s="129">
        <v>88</v>
      </c>
      <c r="C80" s="129" t="s">
        <v>295</v>
      </c>
      <c r="D80" s="129">
        <v>2019</v>
      </c>
      <c r="E80" s="129" t="s">
        <v>296</v>
      </c>
      <c r="F80" s="129" t="s">
        <v>297</v>
      </c>
      <c r="G80" s="129" t="s">
        <v>226</v>
      </c>
      <c r="H80" s="129">
        <v>0</v>
      </c>
      <c r="I80" s="129">
        <v>650</v>
      </c>
      <c r="J80" s="129">
        <v>200</v>
      </c>
      <c r="K80" s="129" t="s">
        <v>269</v>
      </c>
      <c r="L80" s="129" t="s">
        <v>239</v>
      </c>
      <c r="N80" s="129">
        <v>8860000</v>
      </c>
      <c r="O80" s="130">
        <v>72.45</v>
      </c>
      <c r="P80" s="130">
        <v>7.11</v>
      </c>
      <c r="Q80" s="130">
        <v>15.7</v>
      </c>
      <c r="R80" s="130">
        <v>3.71</v>
      </c>
      <c r="S80" s="130">
        <v>0.03</v>
      </c>
      <c r="T80" s="130">
        <v>3.1E-2</v>
      </c>
      <c r="U80" s="130">
        <v>0.56000000000000005</v>
      </c>
      <c r="V80" s="130">
        <v>0.11</v>
      </c>
      <c r="W80" s="130">
        <v>2E-3</v>
      </c>
      <c r="X80" s="130">
        <v>0.21</v>
      </c>
      <c r="Y80" s="130">
        <v>5.8000000000000003E-2</v>
      </c>
      <c r="Z80" s="130">
        <v>1.4E-2</v>
      </c>
      <c r="AA80" s="130"/>
      <c r="AB80" s="130">
        <v>2E-3</v>
      </c>
      <c r="AC80" s="130">
        <v>3.0000000000000001E-3</v>
      </c>
      <c r="AD80" s="130">
        <v>1E-3</v>
      </c>
      <c r="AE80" s="130">
        <v>4.4999999999999997E-3</v>
      </c>
      <c r="AF80" s="130"/>
      <c r="AG80" s="130"/>
      <c r="AH80" s="130"/>
      <c r="AI80" s="130">
        <v>4.0000000000000002E-4</v>
      </c>
      <c r="AJ80" s="130">
        <v>6.0000000000000001E-3</v>
      </c>
      <c r="AK80" s="130"/>
      <c r="AL80" s="130">
        <v>1.2E-4</v>
      </c>
      <c r="AM80" s="130">
        <f t="shared" si="25"/>
        <v>75.737756913619336</v>
      </c>
      <c r="AN80" s="130">
        <f t="shared" si="26"/>
        <v>8.3888883733293156</v>
      </c>
      <c r="AO80" s="130">
        <f t="shared" si="27"/>
        <v>10.038008787044493</v>
      </c>
      <c r="AP80" s="130">
        <f t="shared" si="28"/>
        <v>4.0755750093685528</v>
      </c>
      <c r="AQ80" s="130">
        <f t="shared" si="29"/>
        <v>1.0014145705365039E-2</v>
      </c>
      <c r="AR80" s="130">
        <f t="shared" si="30"/>
        <v>3.2274788958667866E-2</v>
      </c>
      <c r="AS80" s="130">
        <f t="shared" si="31"/>
        <v>0.62537070086264601</v>
      </c>
      <c r="AT80" s="130">
        <f t="shared" si="32"/>
        <v>0.25014331340631379</v>
      </c>
      <c r="AU80" s="130">
        <f t="shared" si="33"/>
        <v>2.5633312173888932E-3</v>
      </c>
      <c r="AV80" s="130">
        <f t="shared" si="34"/>
        <v>0.45867568047428486</v>
      </c>
      <c r="AW80" s="130">
        <f t="shared" si="35"/>
        <v>0.29629419616284625</v>
      </c>
      <c r="AX80" s="130">
        <f t="shared" si="36"/>
        <v>1.3516076437999123E-2</v>
      </c>
      <c r="AY80" s="130">
        <f t="shared" si="37"/>
        <v>0</v>
      </c>
      <c r="AZ80" s="130">
        <f t="shared" si="38"/>
        <v>2.4088469842247014E-3</v>
      </c>
      <c r="BA80" s="130">
        <f t="shared" si="39"/>
        <v>5.9431707479693074E-3</v>
      </c>
      <c r="BB80" s="130">
        <f t="shared" si="40"/>
        <v>1.9131067255442203E-3</v>
      </c>
      <c r="BC80" s="130">
        <f t="shared" si="41"/>
        <v>2.5540240249483273E-2</v>
      </c>
      <c r="BD80" s="130">
        <f t="shared" si="42"/>
        <v>0</v>
      </c>
      <c r="BE80" s="130">
        <f t="shared" si="43"/>
        <v>0</v>
      </c>
      <c r="BF80" s="130">
        <f t="shared" si="44"/>
        <v>0</v>
      </c>
      <c r="BG80" s="130">
        <f t="shared" si="45"/>
        <v>1.5338333172050789E-3</v>
      </c>
      <c r="BH80" s="130">
        <f t="shared" si="46"/>
        <v>2.627551721122191E-2</v>
      </c>
      <c r="BI80" s="130">
        <f t="shared" si="47"/>
        <v>0</v>
      </c>
      <c r="BJ80" s="130">
        <f t="shared" si="48"/>
        <v>7.3039681771670415E-3</v>
      </c>
      <c r="BK80" s="130">
        <f t="shared" si="49"/>
        <v>-126.10864419245155</v>
      </c>
      <c r="BL80" s="130">
        <f>IF($K80=$L80,$BK80,IF(OR($K80="graphite",$K80="vitreous carbon"),$BK$406+($BM$389+$I80)*$BJ$406,IF($K80="Pyrolytic Boron Nitride","PBN",IF(COUNTIF($BH$396:$BH$416,$K80)&gt;0,VLOOKUP($K80,$BH$396:$BK$416,4,FALSE)+($BM$389+$I80)*VLOOKUP($K80,$BH$396:$BK$416,3,FALSE),IF(COUNTIF($L$2:$L79,$K80)&gt;0,VLOOKUP($K80,$L$2:$BK79,52,FALSE),"idk")))))</f>
        <v>-64.432312040620616</v>
      </c>
      <c r="BM80" s="130">
        <v>10</v>
      </c>
      <c r="BN80" s="130">
        <v>5</v>
      </c>
      <c r="BO80" s="130">
        <v>1.2</v>
      </c>
      <c r="BP80" s="129" t="s">
        <v>245</v>
      </c>
      <c r="BQ80" s="129" t="s">
        <v>299</v>
      </c>
      <c r="BR80" s="129" t="s">
        <v>247</v>
      </c>
      <c r="BS80" s="129"/>
      <c r="BT80" s="129">
        <v>0</v>
      </c>
      <c r="BU80" s="129">
        <v>21.1</v>
      </c>
      <c r="BV80" s="129">
        <v>240</v>
      </c>
      <c r="BX80" s="129">
        <v>152</v>
      </c>
      <c r="BY80" s="129">
        <v>61.4</v>
      </c>
      <c r="BZ80" s="129">
        <v>32.200000000000003</v>
      </c>
      <c r="CA80" s="129">
        <v>5.88</v>
      </c>
      <c r="CB80" s="129">
        <v>2.95</v>
      </c>
      <c r="CC80" s="129">
        <v>4.42</v>
      </c>
      <c r="CD80" s="129">
        <v>32.200000000000003</v>
      </c>
      <c r="CE80" s="129">
        <v>4.42</v>
      </c>
      <c r="CF80" s="129">
        <v>5.88</v>
      </c>
      <c r="CK80" s="129">
        <v>17.559999999999999</v>
      </c>
      <c r="DJ80" s="129">
        <v>0</v>
      </c>
      <c r="DK80" s="129">
        <v>0</v>
      </c>
      <c r="DL80" s="129"/>
      <c r="DO80" s="129">
        <v>-1.29</v>
      </c>
      <c r="DQ80" s="129">
        <v>616656</v>
      </c>
      <c r="DS80" s="129">
        <v>1</v>
      </c>
      <c r="DU80" s="129" t="s">
        <v>300</v>
      </c>
      <c r="DW80" s="129">
        <f>SUM(_2025_01_07T12_47_export3[[#This Row],[Ni_wt]:[H_wt]])</f>
        <v>100.00201999999999</v>
      </c>
      <c r="DY80" s="130">
        <f>SUM($AM80:BJ80)</f>
        <v>100.00000000000001</v>
      </c>
    </row>
    <row r="81" spans="1:129" x14ac:dyDescent="0.25">
      <c r="A81" s="129" t="s">
        <v>302</v>
      </c>
      <c r="B81" s="129">
        <v>89</v>
      </c>
      <c r="C81" s="129" t="s">
        <v>295</v>
      </c>
      <c r="D81" s="129">
        <v>2019</v>
      </c>
      <c r="E81" s="129" t="s">
        <v>296</v>
      </c>
      <c r="F81" s="129" t="s">
        <v>297</v>
      </c>
      <c r="G81" s="129" t="s">
        <v>226</v>
      </c>
      <c r="H81" s="129">
        <v>0</v>
      </c>
      <c r="I81" s="129">
        <v>650</v>
      </c>
      <c r="J81" s="129">
        <v>500</v>
      </c>
      <c r="K81" s="129" t="s">
        <v>269</v>
      </c>
      <c r="L81" s="129" t="s">
        <v>239</v>
      </c>
      <c r="N81" s="129">
        <v>8860000</v>
      </c>
      <c r="O81" s="130">
        <v>72.45</v>
      </c>
      <c r="P81" s="130">
        <v>7.11</v>
      </c>
      <c r="Q81" s="130">
        <v>15.7</v>
      </c>
      <c r="R81" s="130">
        <v>3.71</v>
      </c>
      <c r="S81" s="130">
        <v>0.03</v>
      </c>
      <c r="T81" s="130">
        <v>3.1E-2</v>
      </c>
      <c r="U81" s="130">
        <v>0.56000000000000005</v>
      </c>
      <c r="V81" s="130">
        <v>0.11</v>
      </c>
      <c r="W81" s="130">
        <v>2E-3</v>
      </c>
      <c r="X81" s="130">
        <v>0.21</v>
      </c>
      <c r="Y81" s="130">
        <v>5.8000000000000003E-2</v>
      </c>
      <c r="Z81" s="130">
        <v>1.4E-2</v>
      </c>
      <c r="AA81" s="130"/>
      <c r="AB81" s="130">
        <v>2E-3</v>
      </c>
      <c r="AC81" s="130">
        <v>3.0000000000000001E-3</v>
      </c>
      <c r="AD81" s="130">
        <v>1E-3</v>
      </c>
      <c r="AE81" s="130">
        <v>4.4999999999999997E-3</v>
      </c>
      <c r="AF81" s="130"/>
      <c r="AG81" s="130"/>
      <c r="AH81" s="130"/>
      <c r="AI81" s="130">
        <v>4.0000000000000002E-4</v>
      </c>
      <c r="AJ81" s="130">
        <v>6.0000000000000001E-3</v>
      </c>
      <c r="AK81" s="130"/>
      <c r="AL81" s="130">
        <v>1.2E-4</v>
      </c>
      <c r="AM81" s="130">
        <f t="shared" si="25"/>
        <v>75.737756913619336</v>
      </c>
      <c r="AN81" s="130">
        <f t="shared" si="26"/>
        <v>8.3888883733293156</v>
      </c>
      <c r="AO81" s="130">
        <f t="shared" si="27"/>
        <v>10.038008787044493</v>
      </c>
      <c r="AP81" s="130">
        <f t="shared" si="28"/>
        <v>4.0755750093685528</v>
      </c>
      <c r="AQ81" s="130">
        <f t="shared" si="29"/>
        <v>1.0014145705365039E-2</v>
      </c>
      <c r="AR81" s="130">
        <f t="shared" si="30"/>
        <v>3.2274788958667866E-2</v>
      </c>
      <c r="AS81" s="130">
        <f t="shared" si="31"/>
        <v>0.62537070086264601</v>
      </c>
      <c r="AT81" s="130">
        <f t="shared" si="32"/>
        <v>0.25014331340631379</v>
      </c>
      <c r="AU81" s="130">
        <f t="shared" si="33"/>
        <v>2.5633312173888932E-3</v>
      </c>
      <c r="AV81" s="130">
        <f t="shared" si="34"/>
        <v>0.45867568047428486</v>
      </c>
      <c r="AW81" s="130">
        <f t="shared" si="35"/>
        <v>0.29629419616284625</v>
      </c>
      <c r="AX81" s="130">
        <f t="shared" si="36"/>
        <v>1.3516076437999123E-2</v>
      </c>
      <c r="AY81" s="130">
        <f t="shared" si="37"/>
        <v>0</v>
      </c>
      <c r="AZ81" s="130">
        <f t="shared" si="38"/>
        <v>2.4088469842247014E-3</v>
      </c>
      <c r="BA81" s="130">
        <f t="shared" si="39"/>
        <v>5.9431707479693074E-3</v>
      </c>
      <c r="BB81" s="130">
        <f t="shared" si="40"/>
        <v>1.9131067255442203E-3</v>
      </c>
      <c r="BC81" s="130">
        <f t="shared" si="41"/>
        <v>2.5540240249483273E-2</v>
      </c>
      <c r="BD81" s="130">
        <f t="shared" si="42"/>
        <v>0</v>
      </c>
      <c r="BE81" s="130">
        <f t="shared" si="43"/>
        <v>0</v>
      </c>
      <c r="BF81" s="130">
        <f t="shared" si="44"/>
        <v>0</v>
      </c>
      <c r="BG81" s="130">
        <f t="shared" si="45"/>
        <v>1.5338333172050789E-3</v>
      </c>
      <c r="BH81" s="130">
        <f t="shared" si="46"/>
        <v>2.627551721122191E-2</v>
      </c>
      <c r="BI81" s="130">
        <f t="shared" si="47"/>
        <v>0</v>
      </c>
      <c r="BJ81" s="130">
        <f t="shared" si="48"/>
        <v>7.3039681771670415E-3</v>
      </c>
      <c r="BK81" s="130">
        <f t="shared" si="49"/>
        <v>-126.10864419245155</v>
      </c>
      <c r="BL81" s="130">
        <f>IF($K81=$L81,$BK81,IF(OR($K81="graphite",$K81="vitreous carbon"),$BK$406+($BM$389+$I81)*$BJ$406,IF($K81="Pyrolytic Boron Nitride","PBN",IF(COUNTIF($BH$396:$BH$416,$K81)&gt;0,VLOOKUP($K81,$BH$396:$BK$416,4,FALSE)+($BM$389+$I81)*VLOOKUP($K81,$BH$396:$BK$416,3,FALSE),IF(COUNTIF($L$2:$L80,$K81)&gt;0,VLOOKUP($K81,$L$2:$BK80,52,FALSE),"idk")))))</f>
        <v>-64.432312040620616</v>
      </c>
      <c r="BM81" s="130">
        <v>10</v>
      </c>
      <c r="BN81" s="130">
        <v>5</v>
      </c>
      <c r="BO81" s="130">
        <v>1.2</v>
      </c>
      <c r="BP81" s="129" t="s">
        <v>245</v>
      </c>
      <c r="BQ81" s="129" t="s">
        <v>299</v>
      </c>
      <c r="BR81" s="129" t="s">
        <v>247</v>
      </c>
      <c r="BS81" s="129"/>
      <c r="BT81" s="129">
        <v>0</v>
      </c>
      <c r="BU81" s="129">
        <v>21.1</v>
      </c>
      <c r="BV81" s="129">
        <v>240</v>
      </c>
      <c r="BX81" s="129">
        <v>152</v>
      </c>
      <c r="BY81" s="129">
        <v>61.4</v>
      </c>
      <c r="BZ81" s="129">
        <v>32.200000000000003</v>
      </c>
      <c r="CA81" s="129">
        <v>5.88</v>
      </c>
      <c r="CB81" s="129">
        <v>2.95</v>
      </c>
      <c r="CC81" s="129">
        <v>4.42</v>
      </c>
      <c r="CD81" s="129">
        <v>32.200000000000003</v>
      </c>
      <c r="CE81" s="129">
        <v>4.42</v>
      </c>
      <c r="CF81" s="129">
        <v>5.88</v>
      </c>
      <c r="CK81" s="129">
        <v>17.559999999999999</v>
      </c>
      <c r="DJ81" s="129">
        <v>0</v>
      </c>
      <c r="DK81" s="129">
        <v>0</v>
      </c>
      <c r="DL81" s="129"/>
      <c r="DO81" s="129">
        <v>-2.37</v>
      </c>
      <c r="DQ81" s="129">
        <v>616656</v>
      </c>
      <c r="DS81" s="129">
        <v>1</v>
      </c>
      <c r="DU81" s="129" t="s">
        <v>300</v>
      </c>
      <c r="DW81" s="129">
        <f>SUM(_2025_01_07T12_47_export3[[#This Row],[Ni_wt]:[H_wt]])</f>
        <v>100.00201999999999</v>
      </c>
      <c r="DY81" s="130">
        <f>SUM($AM81:BJ81)</f>
        <v>100.00000000000001</v>
      </c>
    </row>
    <row r="82" spans="1:129" x14ac:dyDescent="0.25">
      <c r="A82" s="129" t="s">
        <v>302</v>
      </c>
      <c r="B82" s="129">
        <v>90</v>
      </c>
      <c r="C82" s="129" t="s">
        <v>295</v>
      </c>
      <c r="D82" s="129">
        <v>2019</v>
      </c>
      <c r="E82" s="129" t="s">
        <v>296</v>
      </c>
      <c r="F82" s="129" t="s">
        <v>297</v>
      </c>
      <c r="G82" s="129" t="s">
        <v>226</v>
      </c>
      <c r="H82" s="129">
        <v>0</v>
      </c>
      <c r="I82" s="129">
        <v>650</v>
      </c>
      <c r="J82" s="129">
        <v>750</v>
      </c>
      <c r="K82" s="129" t="s">
        <v>269</v>
      </c>
      <c r="L82" s="129" t="s">
        <v>239</v>
      </c>
      <c r="N82" s="129">
        <v>8860000</v>
      </c>
      <c r="O82" s="130">
        <v>72.45</v>
      </c>
      <c r="P82" s="130">
        <v>7.11</v>
      </c>
      <c r="Q82" s="130">
        <v>15.7</v>
      </c>
      <c r="R82" s="130">
        <v>3.71</v>
      </c>
      <c r="S82" s="130">
        <v>0.03</v>
      </c>
      <c r="T82" s="130">
        <v>3.1E-2</v>
      </c>
      <c r="U82" s="130">
        <v>0.56000000000000005</v>
      </c>
      <c r="V82" s="130">
        <v>0.11</v>
      </c>
      <c r="W82" s="130">
        <v>2E-3</v>
      </c>
      <c r="X82" s="130">
        <v>0.21</v>
      </c>
      <c r="Y82" s="130">
        <v>5.8000000000000003E-2</v>
      </c>
      <c r="Z82" s="130">
        <v>1.4E-2</v>
      </c>
      <c r="AA82" s="130"/>
      <c r="AB82" s="130">
        <v>2E-3</v>
      </c>
      <c r="AC82" s="130">
        <v>3.0000000000000001E-3</v>
      </c>
      <c r="AD82" s="130">
        <v>1E-3</v>
      </c>
      <c r="AE82" s="130">
        <v>4.4999999999999997E-3</v>
      </c>
      <c r="AF82" s="130"/>
      <c r="AG82" s="130"/>
      <c r="AH82" s="130"/>
      <c r="AI82" s="130">
        <v>4.0000000000000002E-4</v>
      </c>
      <c r="AJ82" s="130">
        <v>6.0000000000000001E-3</v>
      </c>
      <c r="AK82" s="130"/>
      <c r="AL82" s="130">
        <v>1.2E-4</v>
      </c>
      <c r="AM82" s="130">
        <f t="shared" si="25"/>
        <v>75.737756913619336</v>
      </c>
      <c r="AN82" s="130">
        <f t="shared" si="26"/>
        <v>8.3888883733293156</v>
      </c>
      <c r="AO82" s="130">
        <f t="shared" si="27"/>
        <v>10.038008787044493</v>
      </c>
      <c r="AP82" s="130">
        <f t="shared" si="28"/>
        <v>4.0755750093685528</v>
      </c>
      <c r="AQ82" s="130">
        <f t="shared" si="29"/>
        <v>1.0014145705365039E-2</v>
      </c>
      <c r="AR82" s="130">
        <f t="shared" si="30"/>
        <v>3.2274788958667866E-2</v>
      </c>
      <c r="AS82" s="130">
        <f t="shared" si="31"/>
        <v>0.62537070086264601</v>
      </c>
      <c r="AT82" s="130">
        <f t="shared" si="32"/>
        <v>0.25014331340631379</v>
      </c>
      <c r="AU82" s="130">
        <f t="shared" si="33"/>
        <v>2.5633312173888932E-3</v>
      </c>
      <c r="AV82" s="130">
        <f t="shared" si="34"/>
        <v>0.45867568047428486</v>
      </c>
      <c r="AW82" s="130">
        <f t="shared" si="35"/>
        <v>0.29629419616284625</v>
      </c>
      <c r="AX82" s="130">
        <f t="shared" si="36"/>
        <v>1.3516076437999123E-2</v>
      </c>
      <c r="AY82" s="130">
        <f t="shared" si="37"/>
        <v>0</v>
      </c>
      <c r="AZ82" s="130">
        <f t="shared" si="38"/>
        <v>2.4088469842247014E-3</v>
      </c>
      <c r="BA82" s="130">
        <f t="shared" si="39"/>
        <v>5.9431707479693074E-3</v>
      </c>
      <c r="BB82" s="130">
        <f t="shared" si="40"/>
        <v>1.9131067255442203E-3</v>
      </c>
      <c r="BC82" s="130">
        <f t="shared" si="41"/>
        <v>2.5540240249483273E-2</v>
      </c>
      <c r="BD82" s="130">
        <f t="shared" si="42"/>
        <v>0</v>
      </c>
      <c r="BE82" s="130">
        <f t="shared" si="43"/>
        <v>0</v>
      </c>
      <c r="BF82" s="130">
        <f t="shared" si="44"/>
        <v>0</v>
      </c>
      <c r="BG82" s="130">
        <f t="shared" si="45"/>
        <v>1.5338333172050789E-3</v>
      </c>
      <c r="BH82" s="130">
        <f t="shared" si="46"/>
        <v>2.627551721122191E-2</v>
      </c>
      <c r="BI82" s="130">
        <f t="shared" si="47"/>
        <v>0</v>
      </c>
      <c r="BJ82" s="130">
        <f t="shared" si="48"/>
        <v>7.3039681771670415E-3</v>
      </c>
      <c r="BK82" s="130">
        <f t="shared" si="49"/>
        <v>-126.10864419245155</v>
      </c>
      <c r="BL82" s="130">
        <f>IF($K82=$L82,$BK82,IF(OR($K82="graphite",$K82="vitreous carbon"),$BK$406+($BM$389+$I82)*$BJ$406,IF($K82="Pyrolytic Boron Nitride","PBN",IF(COUNTIF($BH$396:$BH$416,$K82)&gt;0,VLOOKUP($K82,$BH$396:$BK$416,4,FALSE)+($BM$389+$I82)*VLOOKUP($K82,$BH$396:$BK$416,3,FALSE),IF(COUNTIF($L$2:$L81,$K82)&gt;0,VLOOKUP($K82,$L$2:$BK81,52,FALSE),"idk")))))</f>
        <v>-64.432312040620616</v>
      </c>
      <c r="BM82" s="130">
        <v>10</v>
      </c>
      <c r="BN82" s="130">
        <v>5</v>
      </c>
      <c r="BO82" s="130">
        <v>1.2</v>
      </c>
      <c r="BP82" s="129" t="s">
        <v>245</v>
      </c>
      <c r="BQ82" s="129" t="s">
        <v>299</v>
      </c>
      <c r="BR82" s="129" t="s">
        <v>247</v>
      </c>
      <c r="BS82" s="129"/>
      <c r="BT82" s="129">
        <v>0</v>
      </c>
      <c r="BU82" s="129">
        <v>21.1</v>
      </c>
      <c r="BV82" s="129">
        <v>240</v>
      </c>
      <c r="BX82" s="129">
        <v>152</v>
      </c>
      <c r="BY82" s="129">
        <v>61.4</v>
      </c>
      <c r="BZ82" s="129">
        <v>32.200000000000003</v>
      </c>
      <c r="CA82" s="129">
        <v>5.88</v>
      </c>
      <c r="CB82" s="129">
        <v>2.95</v>
      </c>
      <c r="CC82" s="129">
        <v>4.42</v>
      </c>
      <c r="CD82" s="129">
        <v>32.200000000000003</v>
      </c>
      <c r="CE82" s="129">
        <v>4.42</v>
      </c>
      <c r="CF82" s="129">
        <v>5.88</v>
      </c>
      <c r="CK82" s="129">
        <v>17.559999999999999</v>
      </c>
      <c r="DJ82" s="129">
        <v>0</v>
      </c>
      <c r="DK82" s="129">
        <v>0</v>
      </c>
      <c r="DL82" s="129"/>
      <c r="DO82" s="129">
        <v>-4.03</v>
      </c>
      <c r="DQ82" s="129">
        <v>616656</v>
      </c>
      <c r="DS82" s="129">
        <v>1</v>
      </c>
      <c r="DU82" s="129" t="s">
        <v>300</v>
      </c>
      <c r="DW82" s="129">
        <f>SUM(_2025_01_07T12_47_export3[[#This Row],[Ni_wt]:[H_wt]])</f>
        <v>100.00201999999999</v>
      </c>
      <c r="DY82" s="130">
        <f>SUM($AM82:BJ82)</f>
        <v>100.00000000000001</v>
      </c>
    </row>
    <row r="83" spans="1:129" x14ac:dyDescent="0.25">
      <c r="A83" s="129" t="s">
        <v>303</v>
      </c>
      <c r="B83" s="129">
        <v>91</v>
      </c>
      <c r="C83" s="129" t="s">
        <v>295</v>
      </c>
      <c r="D83" s="129">
        <v>2019</v>
      </c>
      <c r="E83" s="129" t="s">
        <v>296</v>
      </c>
      <c r="F83" s="129" t="s">
        <v>297</v>
      </c>
      <c r="G83" s="129" t="s">
        <v>226</v>
      </c>
      <c r="H83" s="129">
        <v>0</v>
      </c>
      <c r="I83" s="129">
        <v>650</v>
      </c>
      <c r="J83" s="129">
        <v>200</v>
      </c>
      <c r="K83" s="129" t="s">
        <v>269</v>
      </c>
      <c r="L83" s="129" t="s">
        <v>291</v>
      </c>
      <c r="N83" s="131"/>
      <c r="O83" s="130">
        <v>74.78</v>
      </c>
      <c r="P83" s="130">
        <v>6.77</v>
      </c>
      <c r="Q83" s="130">
        <v>17.41</v>
      </c>
      <c r="R83" s="130">
        <v>0.7</v>
      </c>
      <c r="S83" s="130">
        <v>1.4999999999999999E-2</v>
      </c>
      <c r="T83" s="130">
        <v>3.5999999999999997E-2</v>
      </c>
      <c r="U83" s="130">
        <v>5.8999999999999997E-2</v>
      </c>
      <c r="V83" s="130">
        <v>5.0000000000000001E-3</v>
      </c>
      <c r="W83" s="130">
        <v>2E-3</v>
      </c>
      <c r="X83" s="130">
        <v>0.16200000000000001</v>
      </c>
      <c r="Y83" s="130">
        <v>2E-3</v>
      </c>
      <c r="Z83" s="130">
        <v>0.01</v>
      </c>
      <c r="AA83" s="130">
        <v>1.0999999999999999E-2</v>
      </c>
      <c r="AB83" s="130">
        <v>2.1999999999999999E-2</v>
      </c>
      <c r="AC83" s="130">
        <v>1E-3</v>
      </c>
      <c r="AD83" s="130">
        <v>8.9999999999999993E-3</v>
      </c>
      <c r="AE83" s="130"/>
      <c r="AF83" s="130">
        <v>1E-3</v>
      </c>
      <c r="AG83" s="130">
        <v>1E-3</v>
      </c>
      <c r="AH83" s="130"/>
      <c r="AI83" s="130">
        <v>5.0000000000000001E-3</v>
      </c>
      <c r="AJ83" s="130"/>
      <c r="AK83" s="130"/>
      <c r="AL83" s="130"/>
      <c r="AM83" s="130">
        <f t="shared" si="25"/>
        <v>79.257167321691369</v>
      </c>
      <c r="AN83" s="130">
        <f t="shared" si="26"/>
        <v>8.0984614680614797</v>
      </c>
      <c r="AO83" s="130">
        <f t="shared" si="27"/>
        <v>11.285627899280749</v>
      </c>
      <c r="AP83" s="130">
        <f t="shared" si="28"/>
        <v>0.77963631069568817</v>
      </c>
      <c r="AQ83" s="130">
        <f t="shared" si="29"/>
        <v>5.0764831282862797E-3</v>
      </c>
      <c r="AR83" s="130">
        <f t="shared" si="30"/>
        <v>3.7999970092476562E-2</v>
      </c>
      <c r="AS83" s="130">
        <f t="shared" si="31"/>
        <v>6.6800628976777188E-2</v>
      </c>
      <c r="AT83" s="130">
        <f t="shared" si="32"/>
        <v>1.1527768704954514E-2</v>
      </c>
      <c r="AU83" s="130">
        <f t="shared" si="33"/>
        <v>2.5988652572356201E-3</v>
      </c>
      <c r="AV83" s="130">
        <f t="shared" si="34"/>
        <v>0.35874055069325023</v>
      </c>
      <c r="AW83" s="130">
        <f t="shared" si="35"/>
        <v>1.0358674426633567E-2</v>
      </c>
      <c r="AX83" s="130">
        <f t="shared" si="36"/>
        <v>9.7881730813429678E-3</v>
      </c>
      <c r="AY83" s="130">
        <f t="shared" si="37"/>
        <v>7.3645704364576478E-3</v>
      </c>
      <c r="AZ83" s="130">
        <f t="shared" si="38"/>
        <v>2.686463444253161E-2</v>
      </c>
      <c r="BA83" s="130">
        <f t="shared" si="39"/>
        <v>2.0085192099429951E-3</v>
      </c>
      <c r="BB83" s="130">
        <f t="shared" si="40"/>
        <v>1.7456643573040564E-2</v>
      </c>
      <c r="BC83" s="130">
        <f t="shared" si="41"/>
        <v>0</v>
      </c>
      <c r="BD83" s="130">
        <f t="shared" si="42"/>
        <v>2.5587758096229768E-3</v>
      </c>
      <c r="BE83" s="130">
        <f t="shared" si="43"/>
        <v>5.2404245940972669E-4</v>
      </c>
      <c r="BF83" s="130">
        <f t="shared" si="44"/>
        <v>0</v>
      </c>
      <c r="BG83" s="130">
        <f t="shared" si="45"/>
        <v>1.9438699978729549E-2</v>
      </c>
      <c r="BH83" s="130">
        <f t="shared" si="46"/>
        <v>0</v>
      </c>
      <c r="BI83" s="130">
        <f t="shared" si="47"/>
        <v>0</v>
      </c>
      <c r="BJ83" s="130">
        <f t="shared" si="48"/>
        <v>0</v>
      </c>
      <c r="BK83" s="130">
        <f t="shared" si="49"/>
        <v>-125.24128635397282</v>
      </c>
      <c r="BL83" s="130">
        <f>IF($K83=$L83,$BK83,IF(OR($K83="graphite",$K83="vitreous carbon"),$BK$406+($BM$389+$I83)*$BJ$406,IF($K83="Pyrolytic Boron Nitride","PBN",IF(COUNTIF($BH$396:$BH$416,$K83)&gt;0,VLOOKUP($K83,$BH$396:$BK$416,4,FALSE)+($BM$389+$I83)*VLOOKUP($K83,$BH$396:$BK$416,3,FALSE),IF(COUNTIF($L$2:$L82,$K83)&gt;0,VLOOKUP($K83,$L$2:$BK82,52,FALSE),"idk")))))</f>
        <v>-64.432312040620616</v>
      </c>
      <c r="BM83" s="130">
        <v>10</v>
      </c>
      <c r="BN83" s="130">
        <v>5</v>
      </c>
      <c r="BO83" s="130">
        <v>1.2</v>
      </c>
      <c r="BP83" s="129" t="s">
        <v>245</v>
      </c>
      <c r="BQ83" s="129" t="s">
        <v>299</v>
      </c>
      <c r="BR83" s="129" t="s">
        <v>247</v>
      </c>
      <c r="BS83" s="129"/>
      <c r="BT83" s="129">
        <v>0</v>
      </c>
      <c r="BU83" s="129">
        <v>21.1</v>
      </c>
      <c r="BV83" s="129">
        <v>240</v>
      </c>
      <c r="BX83" s="129">
        <v>152</v>
      </c>
      <c r="BY83" s="129">
        <v>61.4</v>
      </c>
      <c r="BZ83" s="129">
        <v>32.200000000000003</v>
      </c>
      <c r="CA83" s="129">
        <v>5.88</v>
      </c>
      <c r="CB83" s="129">
        <v>2.95</v>
      </c>
      <c r="CC83" s="129">
        <v>4.42</v>
      </c>
      <c r="CD83" s="129">
        <v>32.200000000000003</v>
      </c>
      <c r="CE83" s="129">
        <v>4.42</v>
      </c>
      <c r="CF83" s="129">
        <v>5.88</v>
      </c>
      <c r="CK83" s="129">
        <v>17.559999999999999</v>
      </c>
      <c r="DJ83" s="129">
        <v>0</v>
      </c>
      <c r="DK83" s="129">
        <v>0</v>
      </c>
      <c r="DL83" s="129"/>
      <c r="DO83" s="129">
        <v>-1.01</v>
      </c>
      <c r="DS83" s="129">
        <v>1</v>
      </c>
      <c r="DU83" s="129" t="s">
        <v>300</v>
      </c>
      <c r="DW83" s="129">
        <f>SUM(_2025_01_07T12_47_export3[[#This Row],[Ni_wt]:[H_wt]])</f>
        <v>100.001</v>
      </c>
      <c r="DY83" s="130">
        <f>SUM($AM83:BJ83)</f>
        <v>99.999999999999972</v>
      </c>
    </row>
    <row r="84" spans="1:129" x14ac:dyDescent="0.25">
      <c r="A84" s="129" t="s">
        <v>303</v>
      </c>
      <c r="B84" s="129">
        <v>92</v>
      </c>
      <c r="C84" s="129" t="s">
        <v>295</v>
      </c>
      <c r="D84" s="129">
        <v>2019</v>
      </c>
      <c r="E84" s="129" t="s">
        <v>296</v>
      </c>
      <c r="F84" s="129" t="s">
        <v>297</v>
      </c>
      <c r="G84" s="129" t="s">
        <v>226</v>
      </c>
      <c r="H84" s="129">
        <v>0</v>
      </c>
      <c r="I84" s="129">
        <v>650</v>
      </c>
      <c r="J84" s="129">
        <v>750</v>
      </c>
      <c r="K84" s="129" t="s">
        <v>269</v>
      </c>
      <c r="L84" s="129" t="s">
        <v>291</v>
      </c>
      <c r="N84" s="131"/>
      <c r="O84" s="130">
        <v>74.78</v>
      </c>
      <c r="P84" s="130">
        <v>6.77</v>
      </c>
      <c r="Q84" s="130">
        <v>17.41</v>
      </c>
      <c r="R84" s="130">
        <v>0.7</v>
      </c>
      <c r="S84" s="130">
        <v>1.4999999999999999E-2</v>
      </c>
      <c r="T84" s="130">
        <v>3.5999999999999997E-2</v>
      </c>
      <c r="U84" s="130">
        <v>5.8999999999999997E-2</v>
      </c>
      <c r="V84" s="130">
        <v>5.0000000000000001E-3</v>
      </c>
      <c r="W84" s="130">
        <v>2E-3</v>
      </c>
      <c r="X84" s="130">
        <v>0.16200000000000001</v>
      </c>
      <c r="Y84" s="130">
        <v>2E-3</v>
      </c>
      <c r="Z84" s="130">
        <v>0.01</v>
      </c>
      <c r="AA84" s="130">
        <v>1.0999999999999999E-2</v>
      </c>
      <c r="AB84" s="130">
        <v>2.1999999999999999E-2</v>
      </c>
      <c r="AC84" s="130">
        <v>1E-3</v>
      </c>
      <c r="AD84" s="130">
        <v>8.9999999999999993E-3</v>
      </c>
      <c r="AE84" s="130"/>
      <c r="AF84" s="130">
        <v>1E-3</v>
      </c>
      <c r="AG84" s="130">
        <v>1E-3</v>
      </c>
      <c r="AH84" s="130"/>
      <c r="AI84" s="130">
        <v>5.0000000000000001E-3</v>
      </c>
      <c r="AJ84" s="130"/>
      <c r="AK84" s="130"/>
      <c r="AL84" s="130"/>
      <c r="AM84" s="130">
        <f t="shared" si="25"/>
        <v>79.257167321691369</v>
      </c>
      <c r="AN84" s="130">
        <f t="shared" si="26"/>
        <v>8.0984614680614797</v>
      </c>
      <c r="AO84" s="130">
        <f t="shared" si="27"/>
        <v>11.285627899280749</v>
      </c>
      <c r="AP84" s="130">
        <f t="shared" si="28"/>
        <v>0.77963631069568817</v>
      </c>
      <c r="AQ84" s="130">
        <f t="shared" si="29"/>
        <v>5.0764831282862797E-3</v>
      </c>
      <c r="AR84" s="130">
        <f t="shared" si="30"/>
        <v>3.7999970092476562E-2</v>
      </c>
      <c r="AS84" s="130">
        <f t="shared" si="31"/>
        <v>6.6800628976777188E-2</v>
      </c>
      <c r="AT84" s="130">
        <f t="shared" si="32"/>
        <v>1.1527768704954514E-2</v>
      </c>
      <c r="AU84" s="130">
        <f t="shared" si="33"/>
        <v>2.5988652572356201E-3</v>
      </c>
      <c r="AV84" s="130">
        <f t="shared" si="34"/>
        <v>0.35874055069325023</v>
      </c>
      <c r="AW84" s="130">
        <f t="shared" si="35"/>
        <v>1.0358674426633567E-2</v>
      </c>
      <c r="AX84" s="130">
        <f t="shared" si="36"/>
        <v>9.7881730813429678E-3</v>
      </c>
      <c r="AY84" s="130">
        <f t="shared" si="37"/>
        <v>7.3645704364576478E-3</v>
      </c>
      <c r="AZ84" s="130">
        <f t="shared" si="38"/>
        <v>2.686463444253161E-2</v>
      </c>
      <c r="BA84" s="130">
        <f t="shared" si="39"/>
        <v>2.0085192099429951E-3</v>
      </c>
      <c r="BB84" s="130">
        <f t="shared" si="40"/>
        <v>1.7456643573040564E-2</v>
      </c>
      <c r="BC84" s="130">
        <f t="shared" si="41"/>
        <v>0</v>
      </c>
      <c r="BD84" s="130">
        <f t="shared" si="42"/>
        <v>2.5587758096229768E-3</v>
      </c>
      <c r="BE84" s="130">
        <f t="shared" si="43"/>
        <v>5.2404245940972669E-4</v>
      </c>
      <c r="BF84" s="130">
        <f t="shared" si="44"/>
        <v>0</v>
      </c>
      <c r="BG84" s="130">
        <f t="shared" si="45"/>
        <v>1.9438699978729549E-2</v>
      </c>
      <c r="BH84" s="130">
        <f t="shared" si="46"/>
        <v>0</v>
      </c>
      <c r="BI84" s="130">
        <f t="shared" si="47"/>
        <v>0</v>
      </c>
      <c r="BJ84" s="130">
        <f t="shared" si="48"/>
        <v>0</v>
      </c>
      <c r="BK84" s="130">
        <f t="shared" si="49"/>
        <v>-125.24128635397282</v>
      </c>
      <c r="BL84" s="130">
        <f>IF($K84=$L84,$BK84,IF(OR($K84="graphite",$K84="vitreous carbon"),$BK$406+($BM$389+$I84)*$BJ$406,IF($K84="Pyrolytic Boron Nitride","PBN",IF(COUNTIF($BH$396:$BH$416,$K84)&gt;0,VLOOKUP($K84,$BH$396:$BK$416,4,FALSE)+($BM$389+$I84)*VLOOKUP($K84,$BH$396:$BK$416,3,FALSE),IF(COUNTIF($L$2:$L83,$K84)&gt;0,VLOOKUP($K84,$L$2:$BK83,52,FALSE),"idk")))))</f>
        <v>-64.432312040620616</v>
      </c>
      <c r="BM84" s="130">
        <v>10</v>
      </c>
      <c r="BN84" s="130">
        <v>5</v>
      </c>
      <c r="BO84" s="130">
        <v>1.2</v>
      </c>
      <c r="BP84" s="129" t="s">
        <v>245</v>
      </c>
      <c r="BQ84" s="129" t="s">
        <v>299</v>
      </c>
      <c r="BR84" s="129" t="s">
        <v>247</v>
      </c>
      <c r="BS84" s="129"/>
      <c r="BT84" s="129">
        <v>0</v>
      </c>
      <c r="BU84" s="129">
        <v>21.1</v>
      </c>
      <c r="BV84" s="129">
        <v>240</v>
      </c>
      <c r="BX84" s="129">
        <v>152</v>
      </c>
      <c r="BY84" s="129">
        <v>61.4</v>
      </c>
      <c r="BZ84" s="129">
        <v>32.200000000000003</v>
      </c>
      <c r="CA84" s="129">
        <v>5.88</v>
      </c>
      <c r="CB84" s="129">
        <v>2.95</v>
      </c>
      <c r="CC84" s="129">
        <v>4.42</v>
      </c>
      <c r="CD84" s="129">
        <v>32.200000000000003</v>
      </c>
      <c r="CE84" s="129">
        <v>4.42</v>
      </c>
      <c r="CF84" s="129">
        <v>5.88</v>
      </c>
      <c r="CK84" s="129">
        <v>17.559999999999999</v>
      </c>
      <c r="DJ84" s="129">
        <v>0</v>
      </c>
      <c r="DK84" s="129">
        <v>0</v>
      </c>
      <c r="DL84" s="129"/>
      <c r="DO84" s="129">
        <v>-3.09</v>
      </c>
      <c r="DS84" s="129">
        <v>1</v>
      </c>
      <c r="DU84" s="129" t="s">
        <v>300</v>
      </c>
      <c r="DW84" s="129">
        <f>SUM(_2025_01_07T12_47_export3[[#This Row],[Ni_wt]:[H_wt]])</f>
        <v>100.001</v>
      </c>
      <c r="DY84" s="130">
        <f>SUM($AM84:BJ84)</f>
        <v>99.999999999999972</v>
      </c>
    </row>
    <row r="85" spans="1:129" ht="16.5" thickBot="1" x14ac:dyDescent="0.3">
      <c r="A85" s="136" t="s">
        <v>303</v>
      </c>
      <c r="B85" s="136">
        <v>93</v>
      </c>
      <c r="C85" s="136" t="s">
        <v>295</v>
      </c>
      <c r="D85" s="136">
        <v>2019</v>
      </c>
      <c r="E85" s="136" t="s">
        <v>296</v>
      </c>
      <c r="F85" s="136" t="s">
        <v>297</v>
      </c>
      <c r="G85" s="136" t="s">
        <v>226</v>
      </c>
      <c r="H85" s="136">
        <v>0</v>
      </c>
      <c r="I85" s="136">
        <v>650</v>
      </c>
      <c r="J85" s="136">
        <v>500</v>
      </c>
      <c r="K85" s="136" t="s">
        <v>269</v>
      </c>
      <c r="L85" s="136" t="s">
        <v>291</v>
      </c>
      <c r="M85" s="136"/>
      <c r="N85" s="139"/>
      <c r="O85" s="137">
        <v>74.78</v>
      </c>
      <c r="P85" s="137">
        <v>6.77</v>
      </c>
      <c r="Q85" s="137">
        <v>17.41</v>
      </c>
      <c r="R85" s="137">
        <v>0.7</v>
      </c>
      <c r="S85" s="137">
        <v>1.4999999999999999E-2</v>
      </c>
      <c r="T85" s="137">
        <v>3.5999999999999997E-2</v>
      </c>
      <c r="U85" s="137">
        <v>5.8999999999999997E-2</v>
      </c>
      <c r="V85" s="137">
        <v>5.0000000000000001E-3</v>
      </c>
      <c r="W85" s="137">
        <v>2E-3</v>
      </c>
      <c r="X85" s="137">
        <v>0.16200000000000001</v>
      </c>
      <c r="Y85" s="137">
        <v>2E-3</v>
      </c>
      <c r="Z85" s="137">
        <v>0.01</v>
      </c>
      <c r="AA85" s="137">
        <v>1.0999999999999999E-2</v>
      </c>
      <c r="AB85" s="137">
        <v>2.1999999999999999E-2</v>
      </c>
      <c r="AC85" s="137">
        <v>1E-3</v>
      </c>
      <c r="AD85" s="137">
        <v>8.9999999999999993E-3</v>
      </c>
      <c r="AE85" s="137"/>
      <c r="AF85" s="137">
        <v>1E-3</v>
      </c>
      <c r="AG85" s="137">
        <v>1E-3</v>
      </c>
      <c r="AH85" s="137"/>
      <c r="AI85" s="137">
        <v>5.0000000000000001E-3</v>
      </c>
      <c r="AJ85" s="137"/>
      <c r="AK85" s="137"/>
      <c r="AL85" s="137"/>
      <c r="AM85" s="137">
        <f t="shared" si="25"/>
        <v>79.257167321691369</v>
      </c>
      <c r="AN85" s="137">
        <f t="shared" si="26"/>
        <v>8.0984614680614797</v>
      </c>
      <c r="AO85" s="137">
        <f t="shared" si="27"/>
        <v>11.285627899280749</v>
      </c>
      <c r="AP85" s="137">
        <f t="shared" si="28"/>
        <v>0.77963631069568817</v>
      </c>
      <c r="AQ85" s="137">
        <f t="shared" si="29"/>
        <v>5.0764831282862797E-3</v>
      </c>
      <c r="AR85" s="137">
        <f t="shared" si="30"/>
        <v>3.7999970092476562E-2</v>
      </c>
      <c r="AS85" s="137">
        <f t="shared" si="31"/>
        <v>6.6800628976777188E-2</v>
      </c>
      <c r="AT85" s="137">
        <f t="shared" si="32"/>
        <v>1.1527768704954514E-2</v>
      </c>
      <c r="AU85" s="137">
        <f t="shared" si="33"/>
        <v>2.5988652572356201E-3</v>
      </c>
      <c r="AV85" s="137">
        <f t="shared" si="34"/>
        <v>0.35874055069325023</v>
      </c>
      <c r="AW85" s="137">
        <f t="shared" si="35"/>
        <v>1.0358674426633567E-2</v>
      </c>
      <c r="AX85" s="137">
        <f t="shared" si="36"/>
        <v>9.7881730813429678E-3</v>
      </c>
      <c r="AY85" s="137">
        <f t="shared" si="37"/>
        <v>7.3645704364576478E-3</v>
      </c>
      <c r="AZ85" s="137">
        <f t="shared" si="38"/>
        <v>2.686463444253161E-2</v>
      </c>
      <c r="BA85" s="137">
        <f t="shared" si="39"/>
        <v>2.0085192099429951E-3</v>
      </c>
      <c r="BB85" s="137">
        <f t="shared" si="40"/>
        <v>1.7456643573040564E-2</v>
      </c>
      <c r="BC85" s="137">
        <f t="shared" si="41"/>
        <v>0</v>
      </c>
      <c r="BD85" s="137">
        <f t="shared" si="42"/>
        <v>2.5587758096229768E-3</v>
      </c>
      <c r="BE85" s="137">
        <f t="shared" si="43"/>
        <v>5.2404245940972669E-4</v>
      </c>
      <c r="BF85" s="137">
        <f t="shared" si="44"/>
        <v>0</v>
      </c>
      <c r="BG85" s="137">
        <f t="shared" si="45"/>
        <v>1.9438699978729549E-2</v>
      </c>
      <c r="BH85" s="137">
        <f t="shared" si="46"/>
        <v>0</v>
      </c>
      <c r="BI85" s="137">
        <f t="shared" si="47"/>
        <v>0</v>
      </c>
      <c r="BJ85" s="137">
        <f t="shared" si="48"/>
        <v>0</v>
      </c>
      <c r="BK85" s="137">
        <f t="shared" si="49"/>
        <v>-125.24128635397282</v>
      </c>
      <c r="BL85" s="137">
        <f>IF($K85=$L85,$BK85,IF(OR($K85="graphite",$K85="vitreous carbon"),$BK$406+($BM$389+$I85)*$BJ$406,IF($K85="Pyrolytic Boron Nitride","PBN",IF(COUNTIF($BH$396:$BH$416,$K85)&gt;0,VLOOKUP($K85,$BH$396:$BK$416,4,FALSE)+($BM$389+$I85)*VLOOKUP($K85,$BH$396:$BK$416,3,FALSE),IF(COUNTIF($L$2:$L84,$K85)&gt;0,VLOOKUP($K85,$L$2:$BK84,52,FALSE),"idk")))))</f>
        <v>-64.432312040620616</v>
      </c>
      <c r="BM85" s="137">
        <v>10</v>
      </c>
      <c r="BN85" s="137">
        <v>5</v>
      </c>
      <c r="BO85" s="137">
        <v>1.2</v>
      </c>
      <c r="BP85" s="136" t="s">
        <v>245</v>
      </c>
      <c r="BQ85" s="136" t="s">
        <v>299</v>
      </c>
      <c r="BR85" s="136" t="s">
        <v>247</v>
      </c>
      <c r="BS85" s="136"/>
      <c r="BT85" s="136">
        <v>0</v>
      </c>
      <c r="BU85" s="136">
        <v>21.1</v>
      </c>
      <c r="BV85" s="136">
        <v>240</v>
      </c>
      <c r="BW85" s="136"/>
      <c r="BX85" s="136">
        <v>152</v>
      </c>
      <c r="BY85" s="136">
        <v>61.4</v>
      </c>
      <c r="BZ85" s="136">
        <v>32.200000000000003</v>
      </c>
      <c r="CA85" s="136">
        <v>5.88</v>
      </c>
      <c r="CB85" s="136">
        <v>2.95</v>
      </c>
      <c r="CC85" s="136">
        <v>4.42</v>
      </c>
      <c r="CD85" s="136">
        <v>32.200000000000003</v>
      </c>
      <c r="CE85" s="136">
        <v>4.42</v>
      </c>
      <c r="CF85" s="136">
        <v>5.88</v>
      </c>
      <c r="CG85" s="136"/>
      <c r="CH85" s="136"/>
      <c r="CI85" s="136"/>
      <c r="CJ85" s="136"/>
      <c r="CK85" s="136">
        <v>17.559999999999999</v>
      </c>
      <c r="CL85" s="136"/>
      <c r="CM85" s="136"/>
      <c r="CN85" s="136"/>
      <c r="CO85" s="136"/>
      <c r="CP85" s="136"/>
      <c r="CQ85" s="136"/>
      <c r="CR85" s="136"/>
      <c r="CS85" s="136"/>
      <c r="CT85" s="136"/>
      <c r="CU85" s="136"/>
      <c r="CV85" s="136"/>
      <c r="CW85" s="136"/>
      <c r="CX85" s="136"/>
      <c r="CY85" s="136"/>
      <c r="CZ85" s="136"/>
      <c r="DA85" s="136"/>
      <c r="DB85" s="136"/>
      <c r="DC85" s="136"/>
      <c r="DD85" s="136"/>
      <c r="DE85" s="136"/>
      <c r="DF85" s="136"/>
      <c r="DG85" s="136"/>
      <c r="DH85" s="136"/>
      <c r="DI85" s="136"/>
      <c r="DJ85" s="136">
        <v>0</v>
      </c>
      <c r="DK85" s="136">
        <v>0</v>
      </c>
      <c r="DL85" s="136"/>
      <c r="DM85" s="136"/>
      <c r="DN85" s="136"/>
      <c r="DO85" s="136">
        <v>-2.31</v>
      </c>
      <c r="DP85" s="136"/>
      <c r="DQ85" s="136"/>
      <c r="DR85" s="136"/>
      <c r="DS85" s="136">
        <v>1</v>
      </c>
      <c r="DT85" s="136"/>
      <c r="DU85" s="136" t="s">
        <v>300</v>
      </c>
      <c r="DW85" s="129">
        <f>SUM(_2025_01_07T12_47_export3[[#This Row],[Ni_wt]:[H_wt]])</f>
        <v>100.001</v>
      </c>
      <c r="DY85" s="130">
        <f>SUM($AM85:BJ85)</f>
        <v>99.999999999999972</v>
      </c>
    </row>
    <row r="86" spans="1:129" x14ac:dyDescent="0.25">
      <c r="A86" s="129" t="s">
        <v>304</v>
      </c>
      <c r="B86" s="129">
        <v>94</v>
      </c>
      <c r="C86" s="129" t="s">
        <v>305</v>
      </c>
      <c r="D86" s="129">
        <v>2009</v>
      </c>
      <c r="E86" s="129" t="s">
        <v>306</v>
      </c>
      <c r="F86" s="129" t="s">
        <v>307</v>
      </c>
      <c r="G86" s="129" t="s">
        <v>226</v>
      </c>
      <c r="H86" s="129">
        <v>0</v>
      </c>
      <c r="I86" s="129">
        <v>500</v>
      </c>
      <c r="J86" s="129">
        <v>1000</v>
      </c>
      <c r="K86" s="129" t="s">
        <v>308</v>
      </c>
      <c r="L86" s="129" t="s">
        <v>308</v>
      </c>
      <c r="N86" s="129">
        <v>8890000</v>
      </c>
      <c r="O86" s="130">
        <f>100-SUM(_2025_01_07T12_47_export3[[#This Row],[Cr_wt]:[H_wt]])</f>
        <v>58.428999999999988</v>
      </c>
      <c r="P86" s="130">
        <v>15.67</v>
      </c>
      <c r="Q86" s="130">
        <v>15.83</v>
      </c>
      <c r="R86" s="130">
        <v>6.28</v>
      </c>
      <c r="S86" s="130">
        <v>3.34</v>
      </c>
      <c r="T86" s="130"/>
      <c r="U86" s="130">
        <v>0.42</v>
      </c>
      <c r="V86" s="130"/>
      <c r="W86" s="130"/>
      <c r="X86" s="130">
        <v>2.9000000000000001E-2</v>
      </c>
      <c r="Y86" s="130">
        <v>2E-3</v>
      </c>
      <c r="Z86" s="130"/>
      <c r="AA86" s="130"/>
      <c r="AB86" s="130"/>
      <c r="AC86" s="130"/>
      <c r="AD86" s="130"/>
      <c r="AE86" s="130"/>
      <c r="AF86" s="130"/>
      <c r="AG86" s="130"/>
      <c r="AH86" s="130"/>
      <c r="AI86" s="130"/>
      <c r="AJ86" s="130"/>
      <c r="AK86" s="130"/>
      <c r="AL86" s="130"/>
      <c r="AM86" s="130">
        <f t="shared" si="25"/>
        <v>62.170640393951501</v>
      </c>
      <c r="AN86" s="130">
        <f t="shared" si="26"/>
        <v>18.818571337592598</v>
      </c>
      <c r="AO86" s="130">
        <f t="shared" si="27"/>
        <v>10.301765800532134</v>
      </c>
      <c r="AP86" s="130">
        <f t="shared" si="28"/>
        <v>7.0219456413920263</v>
      </c>
      <c r="AQ86" s="130">
        <f t="shared" si="29"/>
        <v>1.1348068708715051</v>
      </c>
      <c r="AR86" s="130">
        <f t="shared" si="30"/>
        <v>0</v>
      </c>
      <c r="AS86" s="130">
        <f t="shared" si="31"/>
        <v>0.47739913985532789</v>
      </c>
      <c r="AT86" s="130">
        <f t="shared" si="32"/>
        <v>0</v>
      </c>
      <c r="AU86" s="130">
        <f t="shared" si="33"/>
        <v>0</v>
      </c>
      <c r="AV86" s="130">
        <f t="shared" si="34"/>
        <v>6.4471422940370213E-2</v>
      </c>
      <c r="AW86" s="130">
        <f t="shared" si="35"/>
        <v>1.0399392864538169E-2</v>
      </c>
      <c r="AX86" s="130">
        <f t="shared" si="36"/>
        <v>0</v>
      </c>
      <c r="AY86" s="130">
        <f t="shared" si="37"/>
        <v>0</v>
      </c>
      <c r="AZ86" s="130">
        <f t="shared" si="38"/>
        <v>0</v>
      </c>
      <c r="BA86" s="130">
        <f t="shared" si="39"/>
        <v>0</v>
      </c>
      <c r="BB86" s="130">
        <f t="shared" si="40"/>
        <v>0</v>
      </c>
      <c r="BC86" s="130">
        <f t="shared" si="41"/>
        <v>0</v>
      </c>
      <c r="BD86" s="130">
        <f t="shared" si="42"/>
        <v>0</v>
      </c>
      <c r="BE86" s="130">
        <f t="shared" si="43"/>
        <v>0</v>
      </c>
      <c r="BF86" s="130">
        <f t="shared" si="44"/>
        <v>0</v>
      </c>
      <c r="BG86" s="130">
        <f t="shared" si="45"/>
        <v>0</v>
      </c>
      <c r="BH86" s="130">
        <f t="shared" si="46"/>
        <v>0</v>
      </c>
      <c r="BI86" s="130">
        <f t="shared" si="47"/>
        <v>0</v>
      </c>
      <c r="BJ86" s="130">
        <f t="shared" si="48"/>
        <v>0</v>
      </c>
      <c r="BK86" s="130">
        <f t="shared" si="49"/>
        <v>-134.28076087730219</v>
      </c>
      <c r="BL86" s="130">
        <f>IF($K86=$L86,$BK86,IF(OR($K86="graphite",$K86="vitreous carbon"),$BK$406+($BM$389+$I86)*$BJ$406,IF($K86="Pyrolytic Boron Nitride","PBN",IF(COUNTIF($BH$396:$BH$416,$K86)&gt;0,VLOOKUP($K86,$BH$396:$BK$416,4,FALSE)+($BM$389+$I86)*VLOOKUP($K86,$BH$396:$BK$416,3,FALSE),IF(COUNTIF($L$2:$L85,$K86)&gt;0,VLOOKUP($K86,$L$2:$BK85,52,FALSE),"idk")))))</f>
        <v>-134.28076087730219</v>
      </c>
      <c r="BM86" s="130">
        <v>1.5</v>
      </c>
      <c r="BN86" s="130">
        <v>1</v>
      </c>
      <c r="BO86" s="130">
        <v>2.5000000000000001E-2</v>
      </c>
      <c r="BP86" s="129" t="s">
        <v>228</v>
      </c>
      <c r="BQ86" s="129"/>
      <c r="BR86" s="129" t="s">
        <v>230</v>
      </c>
      <c r="BS86" s="129"/>
      <c r="BT86" s="129">
        <v>0</v>
      </c>
      <c r="BU86" s="129">
        <v>70</v>
      </c>
      <c r="BV86" s="129"/>
      <c r="BZ86" s="129">
        <v>16</v>
      </c>
      <c r="CA86" s="129">
        <v>5</v>
      </c>
      <c r="CC86" s="129">
        <v>1</v>
      </c>
      <c r="CG86" s="129">
        <v>180</v>
      </c>
      <c r="CJ86" s="129">
        <v>1</v>
      </c>
      <c r="CP86" s="129">
        <v>38</v>
      </c>
      <c r="CU86" s="129">
        <v>14</v>
      </c>
      <c r="CV86" s="129">
        <v>210</v>
      </c>
      <c r="CX86" s="129">
        <v>3</v>
      </c>
      <c r="CZ86" s="129">
        <v>94</v>
      </c>
      <c r="DE86" s="129">
        <v>2</v>
      </c>
      <c r="DJ86" s="129">
        <v>0</v>
      </c>
      <c r="DK86" s="129">
        <v>0</v>
      </c>
      <c r="DL86" s="129"/>
      <c r="DO86" s="129">
        <v>-0.22700000000000001</v>
      </c>
      <c r="DQ86" s="129">
        <v>1393063</v>
      </c>
      <c r="DR86" s="129">
        <v>1</v>
      </c>
      <c r="DS86" s="129">
        <v>3</v>
      </c>
      <c r="DT86" s="135" t="s">
        <v>310</v>
      </c>
      <c r="DU86" s="129" t="s">
        <v>309</v>
      </c>
      <c r="DW86" s="129">
        <f>SUM(_2025_01_07T12_47_export3[[#This Row],[Ni_wt]:[H_wt]])</f>
        <v>99.999999999999986</v>
      </c>
      <c r="DY86" s="130">
        <f>SUM($AM86:BJ86)</f>
        <v>100</v>
      </c>
    </row>
    <row r="87" spans="1:129" x14ac:dyDescent="0.25">
      <c r="A87" s="238" t="s">
        <v>304</v>
      </c>
      <c r="B87" s="238">
        <v>95</v>
      </c>
      <c r="C87" s="238" t="s">
        <v>305</v>
      </c>
      <c r="D87" s="238">
        <v>2009</v>
      </c>
      <c r="E87" s="238" t="s">
        <v>306</v>
      </c>
      <c r="F87" s="238" t="s">
        <v>307</v>
      </c>
      <c r="G87" s="238" t="s">
        <v>226</v>
      </c>
      <c r="H87" s="238">
        <v>0</v>
      </c>
      <c r="I87" s="238">
        <v>600</v>
      </c>
      <c r="J87" s="238">
        <v>1000</v>
      </c>
      <c r="K87" s="238" t="s">
        <v>308</v>
      </c>
      <c r="L87" s="238" t="s">
        <v>308</v>
      </c>
      <c r="M87" s="238"/>
      <c r="N87" s="238">
        <v>8890000</v>
      </c>
      <c r="O87" s="239">
        <f>100-SUM(_2025_01_07T12_47_export3[[#This Row],[Cr_wt]:[H_wt]])</f>
        <v>58.428999999999988</v>
      </c>
      <c r="P87" s="239">
        <v>15.67</v>
      </c>
      <c r="Q87" s="239">
        <v>15.83</v>
      </c>
      <c r="R87" s="239">
        <v>6.28</v>
      </c>
      <c r="S87" s="239">
        <v>3.34</v>
      </c>
      <c r="T87" s="239"/>
      <c r="U87" s="239">
        <v>0.42</v>
      </c>
      <c r="V87" s="239"/>
      <c r="W87" s="239"/>
      <c r="X87" s="239">
        <v>2.9000000000000001E-2</v>
      </c>
      <c r="Y87" s="239">
        <v>2E-3</v>
      </c>
      <c r="Z87" s="239"/>
      <c r="AA87" s="239"/>
      <c r="AB87" s="239"/>
      <c r="AC87" s="239"/>
      <c r="AD87" s="239"/>
      <c r="AE87" s="239"/>
      <c r="AF87" s="239"/>
      <c r="AG87" s="239"/>
      <c r="AH87" s="239"/>
      <c r="AI87" s="239"/>
      <c r="AJ87" s="239"/>
      <c r="AK87" s="239"/>
      <c r="AL87" s="239"/>
      <c r="AM87" s="239">
        <f t="shared" si="25"/>
        <v>62.170640393951501</v>
      </c>
      <c r="AN87" s="239">
        <f t="shared" si="26"/>
        <v>18.818571337592598</v>
      </c>
      <c r="AO87" s="239">
        <f t="shared" si="27"/>
        <v>10.301765800532134</v>
      </c>
      <c r="AP87" s="239">
        <f t="shared" si="28"/>
        <v>7.0219456413920263</v>
      </c>
      <c r="AQ87" s="239">
        <f t="shared" si="29"/>
        <v>1.1348068708715051</v>
      </c>
      <c r="AR87" s="239">
        <f t="shared" si="30"/>
        <v>0</v>
      </c>
      <c r="AS87" s="239">
        <f t="shared" si="31"/>
        <v>0.47739913985532789</v>
      </c>
      <c r="AT87" s="239">
        <f t="shared" si="32"/>
        <v>0</v>
      </c>
      <c r="AU87" s="239">
        <f t="shared" si="33"/>
        <v>0</v>
      </c>
      <c r="AV87" s="239">
        <f t="shared" si="34"/>
        <v>6.4471422940370213E-2</v>
      </c>
      <c r="AW87" s="239">
        <f t="shared" si="35"/>
        <v>1.0399392864538169E-2</v>
      </c>
      <c r="AX87" s="239">
        <f t="shared" si="36"/>
        <v>0</v>
      </c>
      <c r="AY87" s="239">
        <f t="shared" si="37"/>
        <v>0</v>
      </c>
      <c r="AZ87" s="239">
        <f t="shared" si="38"/>
        <v>0</v>
      </c>
      <c r="BA87" s="239">
        <f t="shared" si="39"/>
        <v>0</v>
      </c>
      <c r="BB87" s="239">
        <f t="shared" si="40"/>
        <v>0</v>
      </c>
      <c r="BC87" s="239">
        <f t="shared" si="41"/>
        <v>0</v>
      </c>
      <c r="BD87" s="239">
        <f t="shared" si="42"/>
        <v>0</v>
      </c>
      <c r="BE87" s="239">
        <f t="shared" si="43"/>
        <v>0</v>
      </c>
      <c r="BF87" s="239">
        <f t="shared" si="44"/>
        <v>0</v>
      </c>
      <c r="BG87" s="239">
        <f t="shared" si="45"/>
        <v>0</v>
      </c>
      <c r="BH87" s="239">
        <f t="shared" si="46"/>
        <v>0</v>
      </c>
      <c r="BI87" s="239">
        <f t="shared" si="47"/>
        <v>0</v>
      </c>
      <c r="BJ87" s="239">
        <f t="shared" si="48"/>
        <v>0</v>
      </c>
      <c r="BK87" s="239">
        <f t="shared" si="49"/>
        <v>-130.93157850689349</v>
      </c>
      <c r="BL87" s="239">
        <f>IF($K87=$L87,$BK87,IF(OR($K87="graphite",$K87="vitreous carbon"),$BK$406+($BM$389+$I87)*$BJ$406,IF($K87="Pyrolytic Boron Nitride","PBN",IF(COUNTIF($BH$396:$BH$416,$K87)&gt;0,VLOOKUP($K87,$BH$396:$BK$416,4,FALSE)+($BM$389+$I87)*VLOOKUP($K87,$BH$396:$BK$416,3,FALSE),IF(COUNTIF($L$2:$L86,$K87)&gt;0,VLOOKUP($K87,$L$2:$BK86,52,FALSE),"idk")))))</f>
        <v>-130.93157850689349</v>
      </c>
      <c r="BM87" s="239">
        <v>1.5</v>
      </c>
      <c r="BN87" s="239">
        <v>1</v>
      </c>
      <c r="BO87" s="239">
        <v>2.5000000000000001E-2</v>
      </c>
      <c r="BP87" s="238" t="s">
        <v>228</v>
      </c>
      <c r="BQ87" s="238"/>
      <c r="BR87" s="238" t="s">
        <v>230</v>
      </c>
      <c r="BS87" s="238"/>
      <c r="BT87" s="238">
        <v>0</v>
      </c>
      <c r="BU87" s="238">
        <v>70</v>
      </c>
      <c r="BV87" s="238"/>
      <c r="BW87" s="238"/>
      <c r="BX87" s="238"/>
      <c r="BY87" s="238"/>
      <c r="BZ87" s="238">
        <v>16</v>
      </c>
      <c r="CA87" s="238">
        <v>5</v>
      </c>
      <c r="CB87" s="238"/>
      <c r="CC87" s="238">
        <v>1</v>
      </c>
      <c r="CD87" s="238"/>
      <c r="CE87" s="238"/>
      <c r="CF87" s="238"/>
      <c r="CG87" s="238">
        <v>180</v>
      </c>
      <c r="CH87" s="238"/>
      <c r="CI87" s="238"/>
      <c r="CJ87" s="238">
        <v>1</v>
      </c>
      <c r="CK87" s="238"/>
      <c r="CL87" s="238"/>
      <c r="CM87" s="238"/>
      <c r="CN87" s="238"/>
      <c r="CO87" s="238"/>
      <c r="CP87" s="238">
        <v>12</v>
      </c>
      <c r="CQ87" s="238"/>
      <c r="CR87" s="238"/>
      <c r="CS87" s="238"/>
      <c r="CT87" s="238"/>
      <c r="CU87" s="238">
        <v>1.8</v>
      </c>
      <c r="CV87" s="238">
        <v>550</v>
      </c>
      <c r="CW87" s="238"/>
      <c r="CX87" s="238">
        <v>0.84</v>
      </c>
      <c r="CY87" s="238"/>
      <c r="CZ87" s="238">
        <v>16</v>
      </c>
      <c r="DA87" s="238"/>
      <c r="DB87" s="238">
        <v>180</v>
      </c>
      <c r="DC87" s="238"/>
      <c r="DD87" s="238"/>
      <c r="DE87" s="238">
        <v>2</v>
      </c>
      <c r="DF87" s="238"/>
      <c r="DG87" s="238"/>
      <c r="DH87" s="238"/>
      <c r="DI87" s="238"/>
      <c r="DJ87" s="238">
        <v>0</v>
      </c>
      <c r="DK87" s="238">
        <v>0</v>
      </c>
      <c r="DL87" s="238"/>
      <c r="DM87" s="238"/>
      <c r="DN87" s="238"/>
      <c r="DO87" s="238">
        <v>-0.34300000000000003</v>
      </c>
      <c r="DP87" s="238"/>
      <c r="DQ87" s="238">
        <v>1393063</v>
      </c>
      <c r="DR87" s="238">
        <v>1</v>
      </c>
      <c r="DS87" s="238">
        <v>3</v>
      </c>
      <c r="DT87" s="238"/>
      <c r="DU87" s="238" t="s">
        <v>309</v>
      </c>
      <c r="DW87" s="129">
        <f>SUM(_2025_01_07T12_47_export3[[#This Row],[Ni_wt]:[H_wt]])</f>
        <v>99.999999999999986</v>
      </c>
      <c r="DY87" s="130">
        <f>SUM($AM87:BJ87)</f>
        <v>100</v>
      </c>
    </row>
    <row r="88" spans="1:129" x14ac:dyDescent="0.25">
      <c r="A88" s="129" t="s">
        <v>311</v>
      </c>
      <c r="B88" s="129">
        <v>96</v>
      </c>
      <c r="C88" s="129" t="s">
        <v>305</v>
      </c>
      <c r="D88" s="129">
        <v>2009</v>
      </c>
      <c r="E88" s="129" t="s">
        <v>306</v>
      </c>
      <c r="F88" s="129" t="s">
        <v>307</v>
      </c>
      <c r="G88" s="129" t="s">
        <v>226</v>
      </c>
      <c r="H88" s="129">
        <v>0</v>
      </c>
      <c r="I88" s="129">
        <v>500</v>
      </c>
      <c r="J88" s="129">
        <v>1000</v>
      </c>
      <c r="K88" s="129" t="s">
        <v>312</v>
      </c>
      <c r="L88" s="129" t="s">
        <v>312</v>
      </c>
      <c r="N88" s="129">
        <v>8470000</v>
      </c>
      <c r="O88" s="130">
        <f>100-SUM(_2025_01_07T12_47_export3[[#This Row],[Cr_wt]:[H_wt]])</f>
        <v>76.94</v>
      </c>
      <c r="P88" s="130">
        <v>15.75</v>
      </c>
      <c r="Q88" s="130"/>
      <c r="R88" s="130">
        <v>7.02</v>
      </c>
      <c r="S88" s="130"/>
      <c r="T88" s="130"/>
      <c r="U88" s="130">
        <v>0.24</v>
      </c>
      <c r="V88" s="130"/>
      <c r="W88" s="130"/>
      <c r="X88" s="130">
        <v>0.01</v>
      </c>
      <c r="Y88" s="130">
        <v>0.04</v>
      </c>
      <c r="Z88" s="130"/>
      <c r="AA88" s="130"/>
      <c r="AB88" s="130"/>
      <c r="AC88" s="130"/>
      <c r="AD88" s="130"/>
      <c r="AE88" s="130"/>
      <c r="AF88" s="130"/>
      <c r="AG88" s="130"/>
      <c r="AH88" s="130"/>
      <c r="AI88" s="130"/>
      <c r="AJ88" s="130"/>
      <c r="AK88" s="130"/>
      <c r="AL88" s="130"/>
      <c r="AM88" s="130">
        <f t="shared" si="25"/>
        <v>75.015101953020505</v>
      </c>
      <c r="AN88" s="130">
        <f t="shared" si="26"/>
        <v>17.331567618763543</v>
      </c>
      <c r="AO88" s="130">
        <f t="shared" si="27"/>
        <v>0</v>
      </c>
      <c r="AP88" s="130">
        <f t="shared" si="28"/>
        <v>7.1924121510888783</v>
      </c>
      <c r="AQ88" s="130">
        <f t="shared" si="29"/>
        <v>0</v>
      </c>
      <c r="AR88" s="130">
        <f t="shared" si="30"/>
        <v>0</v>
      </c>
      <c r="AS88" s="130">
        <f t="shared" si="31"/>
        <v>0.24996731081199006</v>
      </c>
      <c r="AT88" s="130">
        <f t="shared" si="32"/>
        <v>0</v>
      </c>
      <c r="AU88" s="130">
        <f t="shared" si="33"/>
        <v>0</v>
      </c>
      <c r="AV88" s="130">
        <f t="shared" si="34"/>
        <v>2.0370837866397786E-2</v>
      </c>
      <c r="AW88" s="130">
        <f t="shared" si="35"/>
        <v>0.19058012844866407</v>
      </c>
      <c r="AX88" s="130">
        <f t="shared" si="36"/>
        <v>0</v>
      </c>
      <c r="AY88" s="130">
        <f t="shared" si="37"/>
        <v>0</v>
      </c>
      <c r="AZ88" s="130">
        <f t="shared" si="38"/>
        <v>0</v>
      </c>
      <c r="BA88" s="130">
        <f t="shared" si="39"/>
        <v>0</v>
      </c>
      <c r="BB88" s="130">
        <f t="shared" si="40"/>
        <v>0</v>
      </c>
      <c r="BC88" s="130">
        <f t="shared" si="41"/>
        <v>0</v>
      </c>
      <c r="BD88" s="130">
        <f t="shared" si="42"/>
        <v>0</v>
      </c>
      <c r="BE88" s="130">
        <f t="shared" si="43"/>
        <v>0</v>
      </c>
      <c r="BF88" s="130">
        <f t="shared" si="44"/>
        <v>0</v>
      </c>
      <c r="BG88" s="130">
        <f t="shared" si="45"/>
        <v>0</v>
      </c>
      <c r="BH88" s="130">
        <f t="shared" si="46"/>
        <v>0</v>
      </c>
      <c r="BI88" s="130">
        <f t="shared" si="47"/>
        <v>0</v>
      </c>
      <c r="BJ88" s="130">
        <f t="shared" si="48"/>
        <v>0</v>
      </c>
      <c r="BK88" s="130">
        <f t="shared" si="49"/>
        <v>-134.65141092366517</v>
      </c>
      <c r="BL88" s="130">
        <f>IF($K88=$L88,$BK88,IF(OR($K88="graphite",$K88="vitreous carbon"),$BK$406+($BM$389+$I88)*$BJ$406,IF($K88="Pyrolytic Boron Nitride","PBN",IF(COUNTIF($BH$396:$BH$416,$K88)&gt;0,VLOOKUP($K88,$BH$396:$BK$416,4,FALSE)+($BM$389+$I88)*VLOOKUP($K88,$BH$396:$BK$416,3,FALSE),IF(COUNTIF($L$2:$L87,$K88)&gt;0,VLOOKUP($K88,$L$2:$BK87,52,FALSE),"idk")))))</f>
        <v>-134.65141092366517</v>
      </c>
      <c r="BM88" s="130">
        <v>1.5</v>
      </c>
      <c r="BN88" s="130">
        <v>1</v>
      </c>
      <c r="BO88" s="130">
        <v>2.5000000000000001E-2</v>
      </c>
      <c r="BP88" s="129" t="s">
        <v>228</v>
      </c>
      <c r="BQ88" s="129"/>
      <c r="BR88" s="129" t="s">
        <v>230</v>
      </c>
      <c r="BS88" s="129"/>
      <c r="BT88" s="129">
        <v>0</v>
      </c>
      <c r="BU88" s="129">
        <v>70</v>
      </c>
      <c r="BV88" s="129"/>
      <c r="BZ88" s="129">
        <v>16</v>
      </c>
      <c r="CA88" s="129">
        <v>5</v>
      </c>
      <c r="CC88" s="129">
        <v>1</v>
      </c>
      <c r="CG88" s="129">
        <v>180</v>
      </c>
      <c r="CJ88" s="129">
        <v>1</v>
      </c>
      <c r="CP88" s="129">
        <v>45</v>
      </c>
      <c r="CU88" s="129">
        <v>55</v>
      </c>
      <c r="CV88" s="129">
        <v>250</v>
      </c>
      <c r="CX88" s="129">
        <v>1.2</v>
      </c>
      <c r="CZ88" s="129">
        <v>30</v>
      </c>
      <c r="DB88" s="129">
        <v>140</v>
      </c>
      <c r="DE88" s="129">
        <v>0.28999999999999998</v>
      </c>
      <c r="DJ88" s="129">
        <v>0</v>
      </c>
      <c r="DK88" s="129">
        <v>0</v>
      </c>
      <c r="DL88" s="129"/>
      <c r="DO88" s="129">
        <v>-0.106</v>
      </c>
      <c r="DQ88" s="129">
        <v>1334025</v>
      </c>
      <c r="DR88" s="129">
        <v>1</v>
      </c>
      <c r="DS88" s="129">
        <v>3</v>
      </c>
      <c r="DU88" s="129" t="s">
        <v>309</v>
      </c>
      <c r="DW88" s="129">
        <f>SUM(_2025_01_07T12_47_export3[[#This Row],[Ni_wt]:[H_wt]])</f>
        <v>100</v>
      </c>
      <c r="DY88" s="130">
        <f>SUM($AM88:BJ88)</f>
        <v>99.999999999999972</v>
      </c>
    </row>
    <row r="89" spans="1:129" x14ac:dyDescent="0.25">
      <c r="A89" s="129" t="s">
        <v>311</v>
      </c>
      <c r="B89" s="129">
        <v>97</v>
      </c>
      <c r="C89" s="129" t="s">
        <v>305</v>
      </c>
      <c r="D89" s="129">
        <v>2009</v>
      </c>
      <c r="E89" s="129" t="s">
        <v>306</v>
      </c>
      <c r="F89" s="129" t="s">
        <v>307</v>
      </c>
      <c r="G89" s="129" t="s">
        <v>226</v>
      </c>
      <c r="H89" s="129">
        <v>0</v>
      </c>
      <c r="I89" s="129">
        <v>600</v>
      </c>
      <c r="J89" s="129">
        <v>1000</v>
      </c>
      <c r="K89" s="129" t="s">
        <v>312</v>
      </c>
      <c r="L89" s="129" t="s">
        <v>312</v>
      </c>
      <c r="N89" s="129">
        <v>8470000</v>
      </c>
      <c r="O89" s="130">
        <f>100-SUM(_2025_01_07T12_47_export3[[#This Row],[Cr_wt]:[H_wt]])</f>
        <v>76.94</v>
      </c>
      <c r="P89" s="130">
        <v>15.75</v>
      </c>
      <c r="Q89" s="130"/>
      <c r="R89" s="130">
        <v>7.02</v>
      </c>
      <c r="S89" s="130"/>
      <c r="T89" s="130"/>
      <c r="U89" s="130">
        <v>0.24</v>
      </c>
      <c r="V89" s="130"/>
      <c r="W89" s="130"/>
      <c r="X89" s="130">
        <v>0.01</v>
      </c>
      <c r="Y89" s="130">
        <v>0.04</v>
      </c>
      <c r="Z89" s="130"/>
      <c r="AA89" s="130"/>
      <c r="AB89" s="130"/>
      <c r="AC89" s="130"/>
      <c r="AD89" s="130"/>
      <c r="AE89" s="130"/>
      <c r="AF89" s="130"/>
      <c r="AG89" s="130"/>
      <c r="AH89" s="130"/>
      <c r="AI89" s="130"/>
      <c r="AJ89" s="130"/>
      <c r="AK89" s="130"/>
      <c r="AL89" s="130"/>
      <c r="AM89" s="130">
        <f t="shared" si="25"/>
        <v>75.015101953020505</v>
      </c>
      <c r="AN89" s="130">
        <f t="shared" si="26"/>
        <v>17.331567618763543</v>
      </c>
      <c r="AO89" s="130">
        <f t="shared" si="27"/>
        <v>0</v>
      </c>
      <c r="AP89" s="130">
        <f t="shared" si="28"/>
        <v>7.1924121510888783</v>
      </c>
      <c r="AQ89" s="130">
        <f t="shared" si="29"/>
        <v>0</v>
      </c>
      <c r="AR89" s="130">
        <f t="shared" si="30"/>
        <v>0</v>
      </c>
      <c r="AS89" s="130">
        <f t="shared" si="31"/>
        <v>0.24996731081199006</v>
      </c>
      <c r="AT89" s="130">
        <f t="shared" si="32"/>
        <v>0</v>
      </c>
      <c r="AU89" s="130">
        <f t="shared" si="33"/>
        <v>0</v>
      </c>
      <c r="AV89" s="130">
        <f t="shared" si="34"/>
        <v>2.0370837866397786E-2</v>
      </c>
      <c r="AW89" s="130">
        <f t="shared" si="35"/>
        <v>0.19058012844866407</v>
      </c>
      <c r="AX89" s="130">
        <f t="shared" si="36"/>
        <v>0</v>
      </c>
      <c r="AY89" s="130">
        <f t="shared" si="37"/>
        <v>0</v>
      </c>
      <c r="AZ89" s="130">
        <f t="shared" si="38"/>
        <v>0</v>
      </c>
      <c r="BA89" s="130">
        <f t="shared" si="39"/>
        <v>0</v>
      </c>
      <c r="BB89" s="130">
        <f t="shared" si="40"/>
        <v>0</v>
      </c>
      <c r="BC89" s="130">
        <f t="shared" si="41"/>
        <v>0</v>
      </c>
      <c r="BD89" s="130">
        <f t="shared" si="42"/>
        <v>0</v>
      </c>
      <c r="BE89" s="130">
        <f t="shared" si="43"/>
        <v>0</v>
      </c>
      <c r="BF89" s="130">
        <f t="shared" si="44"/>
        <v>0</v>
      </c>
      <c r="BG89" s="130">
        <f t="shared" si="45"/>
        <v>0</v>
      </c>
      <c r="BH89" s="130">
        <f t="shared" si="46"/>
        <v>0</v>
      </c>
      <c r="BI89" s="130">
        <f t="shared" si="47"/>
        <v>0</v>
      </c>
      <c r="BJ89" s="130">
        <f t="shared" si="48"/>
        <v>0</v>
      </c>
      <c r="BK89" s="130">
        <f t="shared" si="49"/>
        <v>-131.13367674380748</v>
      </c>
      <c r="BL89" s="130">
        <f>IF($K89=$L89,$BK89,IF(OR($K89="graphite",$K89="vitreous carbon"),$BK$406+($BM$389+$I89)*$BJ$406,IF($K89="Pyrolytic Boron Nitride","PBN",IF(COUNTIF($BH$396:$BH$416,$K89)&gt;0,VLOOKUP($K89,$BH$396:$BK$416,4,FALSE)+($BM$389+$I89)*VLOOKUP($K89,$BH$396:$BK$416,3,FALSE),IF(COUNTIF($L$2:$L88,$K89)&gt;0,VLOOKUP($K89,$L$2:$BK88,52,FALSE),"idk")))))</f>
        <v>-131.13367674380748</v>
      </c>
      <c r="BM89" s="130">
        <v>1.5</v>
      </c>
      <c r="BN89" s="130">
        <v>1</v>
      </c>
      <c r="BO89" s="130">
        <v>2.5000000000000001E-2</v>
      </c>
      <c r="BP89" s="129" t="s">
        <v>228</v>
      </c>
      <c r="BQ89" s="129"/>
      <c r="BR89" s="129" t="s">
        <v>230</v>
      </c>
      <c r="BS89" s="129"/>
      <c r="BT89" s="129">
        <v>0</v>
      </c>
      <c r="BU89" s="129">
        <v>70</v>
      </c>
      <c r="BV89" s="129"/>
      <c r="BZ89" s="129">
        <v>16</v>
      </c>
      <c r="CA89" s="129">
        <v>5</v>
      </c>
      <c r="CC89" s="129">
        <v>1</v>
      </c>
      <c r="CG89" s="129">
        <v>180</v>
      </c>
      <c r="CJ89" s="129">
        <v>1</v>
      </c>
      <c r="CP89" s="129">
        <v>89</v>
      </c>
      <c r="CU89" s="129">
        <v>56</v>
      </c>
      <c r="CV89" s="129">
        <v>700</v>
      </c>
      <c r="CX89" s="129">
        <v>2.1</v>
      </c>
      <c r="CZ89" s="129">
        <v>57</v>
      </c>
      <c r="DB89" s="129">
        <v>280</v>
      </c>
      <c r="DE89" s="129">
        <v>0.72</v>
      </c>
      <c r="DJ89" s="129">
        <v>0</v>
      </c>
      <c r="DK89" s="129">
        <v>0</v>
      </c>
      <c r="DL89" s="129"/>
      <c r="DO89" s="129">
        <v>-0.26700000000000002</v>
      </c>
      <c r="DQ89" s="129">
        <v>1334025</v>
      </c>
      <c r="DR89" s="129">
        <v>1</v>
      </c>
      <c r="DS89" s="129">
        <v>3</v>
      </c>
      <c r="DU89" s="129" t="s">
        <v>309</v>
      </c>
      <c r="DW89" s="129">
        <f>SUM(_2025_01_07T12_47_export3[[#This Row],[Ni_wt]:[H_wt]])</f>
        <v>100</v>
      </c>
      <c r="DY89" s="130">
        <f>SUM($AM89:BJ89)</f>
        <v>99.999999999999972</v>
      </c>
    </row>
    <row r="90" spans="1:129" x14ac:dyDescent="0.25">
      <c r="A90" s="129" t="s">
        <v>313</v>
      </c>
      <c r="B90" s="129">
        <v>98</v>
      </c>
      <c r="C90" s="129" t="s">
        <v>305</v>
      </c>
      <c r="D90" s="129">
        <v>2009</v>
      </c>
      <c r="E90" s="129" t="s">
        <v>306</v>
      </c>
      <c r="F90" s="129" t="s">
        <v>307</v>
      </c>
      <c r="G90" s="129" t="s">
        <v>226</v>
      </c>
      <c r="H90" s="129">
        <v>0</v>
      </c>
      <c r="I90" s="129">
        <v>500</v>
      </c>
      <c r="J90" s="129">
        <v>1000</v>
      </c>
      <c r="K90" s="129" t="s">
        <v>314</v>
      </c>
      <c r="L90" s="129" t="s">
        <v>314</v>
      </c>
      <c r="N90" s="129">
        <v>8440000</v>
      </c>
      <c r="O90" s="130">
        <f>100-SUM(_2025_01_07T12_47_export3[[#This Row],[Cr_wt]:[H_wt]])</f>
        <v>65.7</v>
      </c>
      <c r="P90" s="130">
        <v>21.24</v>
      </c>
      <c r="Q90" s="130">
        <v>8.85</v>
      </c>
      <c r="R90" s="130">
        <v>4.03</v>
      </c>
      <c r="S90" s="130"/>
      <c r="T90" s="130"/>
      <c r="U90" s="130">
        <v>0.16</v>
      </c>
      <c r="V90" s="130"/>
      <c r="W90" s="130"/>
      <c r="X90" s="130"/>
      <c r="Y90" s="130">
        <v>0.02</v>
      </c>
      <c r="Z90" s="130"/>
      <c r="AA90" s="130"/>
      <c r="AB90" s="130"/>
      <c r="AC90" s="130"/>
      <c r="AD90" s="130"/>
      <c r="AE90" s="130"/>
      <c r="AF90" s="130"/>
      <c r="AG90" s="130"/>
      <c r="AH90" s="130"/>
      <c r="AI90" s="130"/>
      <c r="AJ90" s="130"/>
      <c r="AK90" s="130"/>
      <c r="AL90" s="130"/>
      <c r="AM90" s="130">
        <f t="shared" si="25"/>
        <v>65.971187042641063</v>
      </c>
      <c r="AN90" s="130">
        <f t="shared" si="26"/>
        <v>24.071558386135255</v>
      </c>
      <c r="AO90" s="130">
        <f t="shared" si="27"/>
        <v>5.4350816142100591</v>
      </c>
      <c r="AP90" s="130">
        <f t="shared" si="28"/>
        <v>4.2524078109734544</v>
      </c>
      <c r="AQ90" s="130">
        <f t="shared" si="29"/>
        <v>0</v>
      </c>
      <c r="AR90" s="130">
        <f t="shared" si="30"/>
        <v>0</v>
      </c>
      <c r="AS90" s="130">
        <f t="shared" si="31"/>
        <v>0.1716265079561588</v>
      </c>
      <c r="AT90" s="130">
        <f t="shared" si="32"/>
        <v>0</v>
      </c>
      <c r="AU90" s="130">
        <f t="shared" si="33"/>
        <v>0</v>
      </c>
      <c r="AV90" s="130">
        <f t="shared" si="34"/>
        <v>0</v>
      </c>
      <c r="AW90" s="130">
        <f t="shared" si="35"/>
        <v>9.8138638084006691E-2</v>
      </c>
      <c r="AX90" s="130">
        <f t="shared" si="36"/>
        <v>0</v>
      </c>
      <c r="AY90" s="130">
        <f t="shared" si="37"/>
        <v>0</v>
      </c>
      <c r="AZ90" s="130">
        <f t="shared" si="38"/>
        <v>0</v>
      </c>
      <c r="BA90" s="130">
        <f t="shared" si="39"/>
        <v>0</v>
      </c>
      <c r="BB90" s="130">
        <f t="shared" si="40"/>
        <v>0</v>
      </c>
      <c r="BC90" s="130">
        <f t="shared" si="41"/>
        <v>0</v>
      </c>
      <c r="BD90" s="130">
        <f t="shared" si="42"/>
        <v>0</v>
      </c>
      <c r="BE90" s="130">
        <f t="shared" si="43"/>
        <v>0</v>
      </c>
      <c r="BF90" s="130">
        <f t="shared" si="44"/>
        <v>0</v>
      </c>
      <c r="BG90" s="130">
        <f t="shared" si="45"/>
        <v>0</v>
      </c>
      <c r="BH90" s="130">
        <f t="shared" si="46"/>
        <v>0</v>
      </c>
      <c r="BI90" s="130">
        <f t="shared" si="47"/>
        <v>0</v>
      </c>
      <c r="BJ90" s="130">
        <f t="shared" si="48"/>
        <v>0</v>
      </c>
      <c r="BK90" s="130">
        <f t="shared" si="49"/>
        <v>-135.59719051295724</v>
      </c>
      <c r="BL90" s="130">
        <f>IF($K90=$L90,$BK90,IF(OR($K90="graphite",$K90="vitreous carbon"),$BK$406+($BM$389+$I90)*$BJ$406,IF($K90="Pyrolytic Boron Nitride","PBN",IF(COUNTIF($BH$396:$BH$416,$K90)&gt;0,VLOOKUP($K90,$BH$396:$BK$416,4,FALSE)+($BM$389+$I90)*VLOOKUP($K90,$BH$396:$BK$416,3,FALSE),IF(COUNTIF($L$2:$L89,$K90)&gt;0,VLOOKUP($K90,$L$2:$BK89,52,FALSE),"idk")))))</f>
        <v>-135.59719051295724</v>
      </c>
      <c r="BM90" s="130">
        <v>1.5</v>
      </c>
      <c r="BN90" s="130">
        <v>1</v>
      </c>
      <c r="BO90" s="130">
        <v>2.5000000000000001E-2</v>
      </c>
      <c r="BP90" s="129" t="s">
        <v>228</v>
      </c>
      <c r="BQ90" s="129"/>
      <c r="BR90" s="129" t="s">
        <v>230</v>
      </c>
      <c r="BS90" s="129"/>
      <c r="BT90" s="129">
        <v>0</v>
      </c>
      <c r="BU90" s="129">
        <v>70</v>
      </c>
      <c r="BV90" s="129"/>
      <c r="BZ90" s="129">
        <v>16</v>
      </c>
      <c r="CA90" s="129">
        <v>5</v>
      </c>
      <c r="CC90" s="129">
        <v>1</v>
      </c>
      <c r="CG90" s="129">
        <v>180</v>
      </c>
      <c r="CJ90" s="129">
        <v>1</v>
      </c>
      <c r="CP90" s="129">
        <v>64</v>
      </c>
      <c r="CU90" s="129">
        <v>29</v>
      </c>
      <c r="CV90" s="129">
        <v>120</v>
      </c>
      <c r="CX90" s="129">
        <v>0.95</v>
      </c>
      <c r="CZ90" s="129">
        <v>9.6999999999999993</v>
      </c>
      <c r="DB90" s="129">
        <v>200</v>
      </c>
      <c r="DE90" s="129">
        <v>0.59</v>
      </c>
      <c r="DJ90" s="129">
        <v>0</v>
      </c>
      <c r="DK90" s="129">
        <v>0</v>
      </c>
      <c r="DL90" s="129"/>
      <c r="DO90" s="129">
        <v>-0.127</v>
      </c>
      <c r="DQ90" s="129">
        <v>1792656</v>
      </c>
      <c r="DR90" s="129">
        <v>1</v>
      </c>
      <c r="DS90" s="129">
        <v>3</v>
      </c>
      <c r="DU90" s="129" t="s">
        <v>309</v>
      </c>
      <c r="DW90" s="129">
        <f>SUM(_2025_01_07T12_47_export3[[#This Row],[Ni_wt]:[H_wt]])</f>
        <v>99.999999999999986</v>
      </c>
      <c r="DY90" s="130">
        <f>SUM($AM90:BJ90)</f>
        <v>100</v>
      </c>
    </row>
    <row r="91" spans="1:129" ht="16.5" thickBot="1" x14ac:dyDescent="0.3">
      <c r="A91" s="136" t="s">
        <v>313</v>
      </c>
      <c r="B91" s="136">
        <v>99</v>
      </c>
      <c r="C91" s="136" t="s">
        <v>305</v>
      </c>
      <c r="D91" s="136">
        <v>2009</v>
      </c>
      <c r="E91" s="136" t="s">
        <v>306</v>
      </c>
      <c r="F91" s="136" t="s">
        <v>307</v>
      </c>
      <c r="G91" s="136" t="s">
        <v>226</v>
      </c>
      <c r="H91" s="136">
        <v>0</v>
      </c>
      <c r="I91" s="136">
        <v>600</v>
      </c>
      <c r="J91" s="136">
        <v>1000</v>
      </c>
      <c r="K91" s="136" t="s">
        <v>314</v>
      </c>
      <c r="L91" s="136" t="s">
        <v>314</v>
      </c>
      <c r="M91" s="136"/>
      <c r="N91" s="136">
        <v>8440000</v>
      </c>
      <c r="O91" s="137">
        <f>100-SUM(_2025_01_07T12_47_export3[[#This Row],[Cr_wt]:[H_wt]])</f>
        <v>65.7</v>
      </c>
      <c r="P91" s="137">
        <v>21.24</v>
      </c>
      <c r="Q91" s="137">
        <v>8.85</v>
      </c>
      <c r="R91" s="137">
        <v>4.03</v>
      </c>
      <c r="S91" s="137"/>
      <c r="T91" s="137"/>
      <c r="U91" s="137">
        <v>0.16</v>
      </c>
      <c r="V91" s="137"/>
      <c r="W91" s="137"/>
      <c r="X91" s="137"/>
      <c r="Y91" s="137">
        <v>0.02</v>
      </c>
      <c r="Z91" s="137"/>
      <c r="AA91" s="137"/>
      <c r="AB91" s="137"/>
      <c r="AC91" s="137"/>
      <c r="AD91" s="137"/>
      <c r="AE91" s="137"/>
      <c r="AF91" s="137"/>
      <c r="AG91" s="137"/>
      <c r="AH91" s="137"/>
      <c r="AI91" s="137"/>
      <c r="AJ91" s="137"/>
      <c r="AK91" s="137"/>
      <c r="AL91" s="137"/>
      <c r="AM91" s="137">
        <f t="shared" si="25"/>
        <v>65.971187042641063</v>
      </c>
      <c r="AN91" s="137">
        <f t="shared" si="26"/>
        <v>24.071558386135255</v>
      </c>
      <c r="AO91" s="137">
        <f t="shared" si="27"/>
        <v>5.4350816142100591</v>
      </c>
      <c r="AP91" s="137">
        <f t="shared" si="28"/>
        <v>4.2524078109734544</v>
      </c>
      <c r="AQ91" s="137">
        <f t="shared" si="29"/>
        <v>0</v>
      </c>
      <c r="AR91" s="137">
        <f t="shared" si="30"/>
        <v>0</v>
      </c>
      <c r="AS91" s="137">
        <f t="shared" si="31"/>
        <v>0.1716265079561588</v>
      </c>
      <c r="AT91" s="137">
        <f t="shared" si="32"/>
        <v>0</v>
      </c>
      <c r="AU91" s="137">
        <f t="shared" si="33"/>
        <v>0</v>
      </c>
      <c r="AV91" s="137">
        <f t="shared" si="34"/>
        <v>0</v>
      </c>
      <c r="AW91" s="137">
        <f t="shared" si="35"/>
        <v>9.8138638084006691E-2</v>
      </c>
      <c r="AX91" s="137">
        <f t="shared" si="36"/>
        <v>0</v>
      </c>
      <c r="AY91" s="137">
        <f t="shared" si="37"/>
        <v>0</v>
      </c>
      <c r="AZ91" s="137">
        <f t="shared" si="38"/>
        <v>0</v>
      </c>
      <c r="BA91" s="137">
        <f t="shared" si="39"/>
        <v>0</v>
      </c>
      <c r="BB91" s="137">
        <f t="shared" si="40"/>
        <v>0</v>
      </c>
      <c r="BC91" s="137">
        <f t="shared" si="41"/>
        <v>0</v>
      </c>
      <c r="BD91" s="137">
        <f t="shared" si="42"/>
        <v>0</v>
      </c>
      <c r="BE91" s="137">
        <f t="shared" si="43"/>
        <v>0</v>
      </c>
      <c r="BF91" s="137">
        <f t="shared" si="44"/>
        <v>0</v>
      </c>
      <c r="BG91" s="137">
        <f t="shared" si="45"/>
        <v>0</v>
      </c>
      <c r="BH91" s="137">
        <f t="shared" si="46"/>
        <v>0</v>
      </c>
      <c r="BI91" s="137">
        <f t="shared" si="47"/>
        <v>0</v>
      </c>
      <c r="BJ91" s="137">
        <f t="shared" si="48"/>
        <v>0</v>
      </c>
      <c r="BK91" s="137">
        <f t="shared" si="49"/>
        <v>-132.16332788628074</v>
      </c>
      <c r="BL91" s="137">
        <f>IF($K91=$L91,$BK91,IF(OR($K91="graphite",$K91="vitreous carbon"),$BK$406+($BM$389+$I91)*$BJ$406,IF($K91="Pyrolytic Boron Nitride","PBN",IF(COUNTIF($BH$396:$BH$416,$K91)&gt;0,VLOOKUP($K91,$BH$396:$BK$416,4,FALSE)+($BM$389+$I91)*VLOOKUP($K91,$BH$396:$BK$416,3,FALSE),IF(COUNTIF($L$2:$L90,$K91)&gt;0,VLOOKUP($K91,$L$2:$BK90,52,FALSE),"idk")))))</f>
        <v>-132.16332788628074</v>
      </c>
      <c r="BM91" s="137">
        <v>1.5</v>
      </c>
      <c r="BN91" s="137">
        <v>1</v>
      </c>
      <c r="BO91" s="137">
        <v>2.5000000000000001E-2</v>
      </c>
      <c r="BP91" s="136" t="s">
        <v>228</v>
      </c>
      <c r="BQ91" s="136"/>
      <c r="BR91" s="136" t="s">
        <v>230</v>
      </c>
      <c r="BS91" s="136"/>
      <c r="BT91" s="136">
        <v>0</v>
      </c>
      <c r="BU91" s="136">
        <v>70</v>
      </c>
      <c r="BV91" s="136"/>
      <c r="BW91" s="136"/>
      <c r="BX91" s="136"/>
      <c r="BY91" s="136"/>
      <c r="BZ91" s="136">
        <v>16</v>
      </c>
      <c r="CA91" s="136">
        <v>5</v>
      </c>
      <c r="CB91" s="136"/>
      <c r="CC91" s="136">
        <v>1</v>
      </c>
      <c r="CD91" s="136"/>
      <c r="CE91" s="136"/>
      <c r="CF91" s="136"/>
      <c r="CG91" s="136">
        <v>180</v>
      </c>
      <c r="CH91" s="136"/>
      <c r="CI91" s="136"/>
      <c r="CJ91" s="136">
        <v>1</v>
      </c>
      <c r="CK91" s="136"/>
      <c r="CL91" s="136"/>
      <c r="CM91" s="136"/>
      <c r="CN91" s="136"/>
      <c r="CO91" s="136"/>
      <c r="CP91" s="136">
        <v>31</v>
      </c>
      <c r="CQ91" s="136"/>
      <c r="CR91" s="136"/>
      <c r="CS91" s="136"/>
      <c r="CT91" s="136"/>
      <c r="CU91" s="136">
        <v>47</v>
      </c>
      <c r="CV91" s="136">
        <v>710</v>
      </c>
      <c r="CW91" s="136"/>
      <c r="CX91" s="136">
        <v>2</v>
      </c>
      <c r="CY91" s="136"/>
      <c r="CZ91" s="136">
        <v>15</v>
      </c>
      <c r="DA91" s="136"/>
      <c r="DB91" s="136">
        <v>160</v>
      </c>
      <c r="DC91" s="136"/>
      <c r="DD91" s="136"/>
      <c r="DE91" s="136">
        <v>0.69</v>
      </c>
      <c r="DF91" s="136"/>
      <c r="DG91" s="136"/>
      <c r="DH91" s="136"/>
      <c r="DI91" s="136"/>
      <c r="DJ91" s="136">
        <v>0</v>
      </c>
      <c r="DK91" s="136">
        <v>0</v>
      </c>
      <c r="DL91" s="136"/>
      <c r="DM91" s="136"/>
      <c r="DN91" s="136"/>
      <c r="DO91" s="136">
        <v>-0.107</v>
      </c>
      <c r="DP91" s="136"/>
      <c r="DQ91" s="136">
        <v>1792656</v>
      </c>
      <c r="DR91" s="136">
        <v>1</v>
      </c>
      <c r="DS91" s="136">
        <v>3</v>
      </c>
      <c r="DT91" s="136"/>
      <c r="DU91" s="136" t="s">
        <v>309</v>
      </c>
      <c r="DW91" s="129">
        <f>SUM(_2025_01_07T12_47_export3[[#This Row],[Ni_wt]:[H_wt]])</f>
        <v>99.999999999999986</v>
      </c>
      <c r="DY91" s="130">
        <f>SUM($AM91:BJ91)</f>
        <v>100</v>
      </c>
    </row>
    <row r="92" spans="1:129" x14ac:dyDescent="0.25">
      <c r="A92" s="129" t="s">
        <v>315</v>
      </c>
      <c r="B92" s="129">
        <v>100</v>
      </c>
      <c r="C92" s="129" t="s">
        <v>316</v>
      </c>
      <c r="D92" s="129">
        <v>2023</v>
      </c>
      <c r="E92" s="129" t="s">
        <v>317</v>
      </c>
      <c r="F92" s="129" t="s">
        <v>318</v>
      </c>
      <c r="G92" s="129" t="s">
        <v>226</v>
      </c>
      <c r="H92" s="129">
        <v>0</v>
      </c>
      <c r="I92" s="129">
        <v>700</v>
      </c>
      <c r="J92" s="129">
        <v>20</v>
      </c>
      <c r="K92" s="129" t="s">
        <v>233</v>
      </c>
      <c r="L92" s="129" t="s">
        <v>298</v>
      </c>
      <c r="N92" s="129">
        <v>8860000</v>
      </c>
      <c r="O92" s="130">
        <f>100-SUM(_2025_01_07T12_47_export3[[#This Row],[Cr_wt]:[H_wt]])</f>
        <v>70.39909999999999</v>
      </c>
      <c r="P92" s="130">
        <v>7.03</v>
      </c>
      <c r="Q92" s="130">
        <v>17.100000000000001</v>
      </c>
      <c r="R92" s="130">
        <v>4.03</v>
      </c>
      <c r="S92" s="130">
        <v>0.02</v>
      </c>
      <c r="T92" s="130"/>
      <c r="U92" s="130">
        <v>0.77</v>
      </c>
      <c r="V92" s="130">
        <v>0.03</v>
      </c>
      <c r="W92" s="130">
        <v>0.01</v>
      </c>
      <c r="X92" s="130">
        <v>0.59</v>
      </c>
      <c r="Y92" s="130">
        <v>1.4999999999999999E-2</v>
      </c>
      <c r="Z92" s="130"/>
      <c r="AA92" s="130"/>
      <c r="AB92" s="130"/>
      <c r="AC92" s="130">
        <v>4.0000000000000001E-3</v>
      </c>
      <c r="AD92" s="130">
        <v>1E-3</v>
      </c>
      <c r="AE92" s="130">
        <v>8.9999999999999998E-4</v>
      </c>
      <c r="AF92" s="130"/>
      <c r="AG92" s="130"/>
      <c r="AH92" s="130"/>
      <c r="AI92" s="130"/>
      <c r="AJ92" s="130"/>
      <c r="AK92" s="130"/>
      <c r="AL92" s="130"/>
      <c r="AM92" s="130">
        <f t="shared" si="25"/>
        <v>73.906899411550725</v>
      </c>
      <c r="AN92" s="130">
        <f t="shared" si="26"/>
        <v>8.3297883514904267</v>
      </c>
      <c r="AO92" s="130">
        <f t="shared" si="27"/>
        <v>10.979633824052589</v>
      </c>
      <c r="AP92" s="130">
        <f t="shared" si="28"/>
        <v>4.4459426271047953</v>
      </c>
      <c r="AQ92" s="130">
        <f t="shared" si="29"/>
        <v>6.7045012170366099E-3</v>
      </c>
      <c r="AR92" s="130">
        <f t="shared" si="30"/>
        <v>0</v>
      </c>
      <c r="AS92" s="130">
        <f t="shared" si="31"/>
        <v>0.86354317368249311</v>
      </c>
      <c r="AT92" s="130">
        <f t="shared" si="32"/>
        <v>6.851115587609316E-2</v>
      </c>
      <c r="AU92" s="130">
        <f t="shared" si="33"/>
        <v>1.287118574985721E-2</v>
      </c>
      <c r="AV92" s="130">
        <f t="shared" si="34"/>
        <v>1.2941429707687506</v>
      </c>
      <c r="AW92" s="130">
        <f t="shared" si="35"/>
        <v>7.6953829539425214E-2</v>
      </c>
      <c r="AX92" s="130">
        <f t="shared" si="36"/>
        <v>0</v>
      </c>
      <c r="AY92" s="130">
        <f t="shared" si="37"/>
        <v>0</v>
      </c>
      <c r="AZ92" s="130">
        <f t="shared" si="38"/>
        <v>0</v>
      </c>
      <c r="BA92" s="130">
        <f t="shared" si="39"/>
        <v>7.9579420322333175E-3</v>
      </c>
      <c r="BB92" s="130">
        <f t="shared" si="40"/>
        <v>1.9212462171676473E-3</v>
      </c>
      <c r="BC92" s="130">
        <f t="shared" si="41"/>
        <v>5.1297807184190374E-3</v>
      </c>
      <c r="BD92" s="130">
        <f t="shared" si="42"/>
        <v>0</v>
      </c>
      <c r="BE92" s="130">
        <f t="shared" si="43"/>
        <v>0</v>
      </c>
      <c r="BF92" s="130">
        <f t="shared" si="44"/>
        <v>0</v>
      </c>
      <c r="BG92" s="130">
        <f t="shared" si="45"/>
        <v>0</v>
      </c>
      <c r="BH92" s="130">
        <f t="shared" si="46"/>
        <v>0</v>
      </c>
      <c r="BI92" s="130">
        <f t="shared" si="47"/>
        <v>0</v>
      </c>
      <c r="BJ92" s="130">
        <f t="shared" si="48"/>
        <v>0</v>
      </c>
      <c r="BK92" s="130">
        <f t="shared" si="49"/>
        <v>-124.89491451689608</v>
      </c>
      <c r="BL92" s="130">
        <f>IF($K92=$L92,$BK92,IF(OR($K92="graphite",$K92="vitreous carbon"),$BK$406+($BM$389+$I92)*$BJ$406,IF($K92="Pyrolytic Boron Nitride","PBN",IF(COUNTIF($BH$396:$BH$416,$K92)&gt;0,VLOOKUP($K92,$BH$396:$BK$416,4,FALSE)+($BM$389+$I92)*VLOOKUP($K92,$BH$396:$BK$416,3,FALSE),IF(COUNTIF($L$2:$L91,$K92)&gt;0,VLOOKUP($K92,$L$2:$BK91,52,FALSE),"idk")))))</f>
        <v>-63.529671587210359</v>
      </c>
      <c r="BM92" s="130">
        <v>20</v>
      </c>
      <c r="BN92" s="130">
        <v>10</v>
      </c>
      <c r="BO92" s="130">
        <v>4</v>
      </c>
      <c r="BP92" s="129" t="s">
        <v>245</v>
      </c>
      <c r="BQ92" s="129"/>
      <c r="BR92" s="129" t="s">
        <v>247</v>
      </c>
      <c r="BS92" s="129"/>
      <c r="BT92" s="129">
        <v>0</v>
      </c>
      <c r="BV92" s="129"/>
      <c r="BZ92" s="129"/>
      <c r="DJ92" s="129">
        <v>0</v>
      </c>
      <c r="DK92" s="129">
        <v>0</v>
      </c>
      <c r="DL92" s="129"/>
      <c r="DM92" s="129">
        <v>-38</v>
      </c>
      <c r="DS92" s="129">
        <v>1</v>
      </c>
      <c r="DT92" s="132" t="s">
        <v>320</v>
      </c>
      <c r="DU92" s="129" t="s">
        <v>319</v>
      </c>
      <c r="DW92" s="129">
        <f>SUM(_2025_01_07T12_47_export3[[#This Row],[Ni_wt]:[H_wt]])</f>
        <v>100.00000000000001</v>
      </c>
      <c r="DY92" s="130">
        <f>SUM($AM92:BJ92)</f>
        <v>99.999999999999986</v>
      </c>
    </row>
    <row r="93" spans="1:129" x14ac:dyDescent="0.25">
      <c r="A93" s="129" t="s">
        <v>315</v>
      </c>
      <c r="B93" s="129">
        <v>101</v>
      </c>
      <c r="C93" s="129" t="s">
        <v>316</v>
      </c>
      <c r="D93" s="129">
        <v>2023</v>
      </c>
      <c r="E93" s="129" t="s">
        <v>317</v>
      </c>
      <c r="F93" s="129" t="s">
        <v>318</v>
      </c>
      <c r="G93" s="129" t="s">
        <v>226</v>
      </c>
      <c r="H93" s="129">
        <v>0</v>
      </c>
      <c r="I93" s="129">
        <v>700</v>
      </c>
      <c r="J93" s="129">
        <v>40</v>
      </c>
      <c r="K93" s="129" t="s">
        <v>233</v>
      </c>
      <c r="L93" s="129" t="s">
        <v>298</v>
      </c>
      <c r="N93" s="129">
        <v>8860000</v>
      </c>
      <c r="O93" s="130">
        <f>100-SUM(_2025_01_07T12_47_export3[[#This Row],[Cr_wt]:[H_wt]])</f>
        <v>70.39909999999999</v>
      </c>
      <c r="P93" s="130">
        <v>7.03</v>
      </c>
      <c r="Q93" s="130">
        <v>17.100000000000001</v>
      </c>
      <c r="R93" s="130">
        <v>4.03</v>
      </c>
      <c r="S93" s="130">
        <v>0.02</v>
      </c>
      <c r="T93" s="130"/>
      <c r="U93" s="130">
        <v>0.77</v>
      </c>
      <c r="V93" s="130">
        <v>0.03</v>
      </c>
      <c r="W93" s="130">
        <v>0.01</v>
      </c>
      <c r="X93" s="130">
        <v>0.59</v>
      </c>
      <c r="Y93" s="130">
        <v>1.4999999999999999E-2</v>
      </c>
      <c r="Z93" s="130"/>
      <c r="AA93" s="130"/>
      <c r="AB93" s="130"/>
      <c r="AC93" s="130">
        <v>4.0000000000000001E-3</v>
      </c>
      <c r="AD93" s="130">
        <v>1E-3</v>
      </c>
      <c r="AE93" s="130">
        <v>8.9999999999999998E-4</v>
      </c>
      <c r="AF93" s="130"/>
      <c r="AG93" s="130"/>
      <c r="AH93" s="130"/>
      <c r="AI93" s="130"/>
      <c r="AJ93" s="130"/>
      <c r="AK93" s="130"/>
      <c r="AL93" s="130"/>
      <c r="AM93" s="130">
        <f t="shared" si="25"/>
        <v>73.906899411550725</v>
      </c>
      <c r="AN93" s="130">
        <f t="shared" si="26"/>
        <v>8.3297883514904267</v>
      </c>
      <c r="AO93" s="130">
        <f t="shared" si="27"/>
        <v>10.979633824052589</v>
      </c>
      <c r="AP93" s="130">
        <f t="shared" si="28"/>
        <v>4.4459426271047953</v>
      </c>
      <c r="AQ93" s="130">
        <f t="shared" si="29"/>
        <v>6.7045012170366099E-3</v>
      </c>
      <c r="AR93" s="130">
        <f t="shared" si="30"/>
        <v>0</v>
      </c>
      <c r="AS93" s="130">
        <f t="shared" si="31"/>
        <v>0.86354317368249311</v>
      </c>
      <c r="AT93" s="130">
        <f t="shared" si="32"/>
        <v>6.851115587609316E-2</v>
      </c>
      <c r="AU93" s="130">
        <f t="shared" si="33"/>
        <v>1.287118574985721E-2</v>
      </c>
      <c r="AV93" s="130">
        <f t="shared" si="34"/>
        <v>1.2941429707687506</v>
      </c>
      <c r="AW93" s="130">
        <f t="shared" si="35"/>
        <v>7.6953829539425214E-2</v>
      </c>
      <c r="AX93" s="130">
        <f t="shared" si="36"/>
        <v>0</v>
      </c>
      <c r="AY93" s="130">
        <f t="shared" si="37"/>
        <v>0</v>
      </c>
      <c r="AZ93" s="130">
        <f t="shared" si="38"/>
        <v>0</v>
      </c>
      <c r="BA93" s="130">
        <f t="shared" si="39"/>
        <v>7.9579420322333175E-3</v>
      </c>
      <c r="BB93" s="130">
        <f t="shared" si="40"/>
        <v>1.9212462171676473E-3</v>
      </c>
      <c r="BC93" s="130">
        <f t="shared" si="41"/>
        <v>5.1297807184190374E-3</v>
      </c>
      <c r="BD93" s="130">
        <f t="shared" si="42"/>
        <v>0</v>
      </c>
      <c r="BE93" s="130">
        <f t="shared" si="43"/>
        <v>0</v>
      </c>
      <c r="BF93" s="130">
        <f t="shared" si="44"/>
        <v>0</v>
      </c>
      <c r="BG93" s="130">
        <f t="shared" si="45"/>
        <v>0</v>
      </c>
      <c r="BH93" s="130">
        <f t="shared" si="46"/>
        <v>0</v>
      </c>
      <c r="BI93" s="130">
        <f t="shared" si="47"/>
        <v>0</v>
      </c>
      <c r="BJ93" s="130">
        <f t="shared" si="48"/>
        <v>0</v>
      </c>
      <c r="BK93" s="130">
        <f t="shared" si="49"/>
        <v>-124.89491451689608</v>
      </c>
      <c r="BL93" s="130">
        <f>IF($K93=$L93,$BK93,IF(OR($K93="graphite",$K93="vitreous carbon"),$BK$406+($BM$389+$I93)*$BJ$406,IF($K93="Pyrolytic Boron Nitride","PBN",IF(COUNTIF($BH$396:$BH$416,$K93)&gt;0,VLOOKUP($K93,$BH$396:$BK$416,4,FALSE)+($BM$389+$I93)*VLOOKUP($K93,$BH$396:$BK$416,3,FALSE),IF(COUNTIF($L$2:$L92,$K93)&gt;0,VLOOKUP($K93,$L$2:$BK92,52,FALSE),"idk")))))</f>
        <v>-63.529671587210359</v>
      </c>
      <c r="BM93" s="130">
        <v>20</v>
      </c>
      <c r="BN93" s="130">
        <v>10</v>
      </c>
      <c r="BO93" s="130">
        <v>4</v>
      </c>
      <c r="BP93" s="129" t="s">
        <v>245</v>
      </c>
      <c r="BQ93" s="129"/>
      <c r="BR93" s="129" t="s">
        <v>247</v>
      </c>
      <c r="BS93" s="129"/>
      <c r="BT93" s="129">
        <v>0</v>
      </c>
      <c r="BV93" s="129"/>
      <c r="BZ93" s="129"/>
      <c r="DJ93" s="129">
        <v>0</v>
      </c>
      <c r="DK93" s="129">
        <v>0</v>
      </c>
      <c r="DL93" s="129"/>
      <c r="DM93" s="129">
        <v>-42</v>
      </c>
      <c r="DS93" s="129">
        <v>1</v>
      </c>
      <c r="DU93" s="129"/>
      <c r="DW93" s="129">
        <f>SUM(_2025_01_07T12_47_export3[[#This Row],[Ni_wt]:[H_wt]])</f>
        <v>100.00000000000001</v>
      </c>
      <c r="DY93" s="130">
        <f>SUM($AM93:BJ93)</f>
        <v>99.999999999999986</v>
      </c>
    </row>
    <row r="94" spans="1:129" ht="16.5" thickBot="1" x14ac:dyDescent="0.3">
      <c r="A94" s="136" t="s">
        <v>315</v>
      </c>
      <c r="B94" s="136">
        <v>102</v>
      </c>
      <c r="C94" s="136" t="s">
        <v>316</v>
      </c>
      <c r="D94" s="136">
        <v>2023</v>
      </c>
      <c r="E94" s="136" t="s">
        <v>317</v>
      </c>
      <c r="F94" s="136" t="s">
        <v>318</v>
      </c>
      <c r="G94" s="136" t="s">
        <v>226</v>
      </c>
      <c r="H94" s="136">
        <v>0</v>
      </c>
      <c r="I94" s="136">
        <v>700</v>
      </c>
      <c r="J94" s="136">
        <v>60</v>
      </c>
      <c r="K94" s="136" t="s">
        <v>233</v>
      </c>
      <c r="L94" s="136" t="s">
        <v>298</v>
      </c>
      <c r="M94" s="136"/>
      <c r="N94" s="136">
        <v>8860000</v>
      </c>
      <c r="O94" s="137">
        <f>100-SUM(_2025_01_07T12_47_export3[[#This Row],[Cr_wt]:[H_wt]])</f>
        <v>70.39909999999999</v>
      </c>
      <c r="P94" s="137">
        <v>7.03</v>
      </c>
      <c r="Q94" s="137">
        <v>17.100000000000001</v>
      </c>
      <c r="R94" s="137">
        <v>4.03</v>
      </c>
      <c r="S94" s="137">
        <v>0.02</v>
      </c>
      <c r="T94" s="137"/>
      <c r="U94" s="137">
        <v>0.77</v>
      </c>
      <c r="V94" s="137">
        <v>0.03</v>
      </c>
      <c r="W94" s="137">
        <v>0.01</v>
      </c>
      <c r="X94" s="137">
        <v>0.59</v>
      </c>
      <c r="Y94" s="137">
        <v>1.4999999999999999E-2</v>
      </c>
      <c r="Z94" s="137"/>
      <c r="AA94" s="137"/>
      <c r="AB94" s="137"/>
      <c r="AC94" s="137">
        <v>4.0000000000000001E-3</v>
      </c>
      <c r="AD94" s="137">
        <v>1E-3</v>
      </c>
      <c r="AE94" s="137">
        <v>8.9999999999999998E-4</v>
      </c>
      <c r="AF94" s="137"/>
      <c r="AG94" s="137"/>
      <c r="AH94" s="137"/>
      <c r="AI94" s="137"/>
      <c r="AJ94" s="137"/>
      <c r="AK94" s="137"/>
      <c r="AL94" s="137"/>
      <c r="AM94" s="137">
        <f t="shared" si="25"/>
        <v>73.906899411550725</v>
      </c>
      <c r="AN94" s="137">
        <f t="shared" si="26"/>
        <v>8.3297883514904267</v>
      </c>
      <c r="AO94" s="137">
        <f t="shared" si="27"/>
        <v>10.979633824052589</v>
      </c>
      <c r="AP94" s="137">
        <f t="shared" si="28"/>
        <v>4.4459426271047953</v>
      </c>
      <c r="AQ94" s="137">
        <f t="shared" si="29"/>
        <v>6.7045012170366099E-3</v>
      </c>
      <c r="AR94" s="137">
        <f t="shared" si="30"/>
        <v>0</v>
      </c>
      <c r="AS94" s="137">
        <f t="shared" si="31"/>
        <v>0.86354317368249311</v>
      </c>
      <c r="AT94" s="137">
        <f t="shared" si="32"/>
        <v>6.851115587609316E-2</v>
      </c>
      <c r="AU94" s="137">
        <f t="shared" si="33"/>
        <v>1.287118574985721E-2</v>
      </c>
      <c r="AV94" s="137">
        <f t="shared" si="34"/>
        <v>1.2941429707687506</v>
      </c>
      <c r="AW94" s="137">
        <f t="shared" si="35"/>
        <v>7.6953829539425214E-2</v>
      </c>
      <c r="AX94" s="137">
        <f t="shared" si="36"/>
        <v>0</v>
      </c>
      <c r="AY94" s="137">
        <f t="shared" si="37"/>
        <v>0</v>
      </c>
      <c r="AZ94" s="137">
        <f t="shared" si="38"/>
        <v>0</v>
      </c>
      <c r="BA94" s="137">
        <f t="shared" si="39"/>
        <v>7.9579420322333175E-3</v>
      </c>
      <c r="BB94" s="137">
        <f t="shared" si="40"/>
        <v>1.9212462171676473E-3</v>
      </c>
      <c r="BC94" s="137">
        <f t="shared" si="41"/>
        <v>5.1297807184190374E-3</v>
      </c>
      <c r="BD94" s="137">
        <f t="shared" si="42"/>
        <v>0</v>
      </c>
      <c r="BE94" s="137">
        <f t="shared" si="43"/>
        <v>0</v>
      </c>
      <c r="BF94" s="137">
        <f t="shared" si="44"/>
        <v>0</v>
      </c>
      <c r="BG94" s="137">
        <f t="shared" si="45"/>
        <v>0</v>
      </c>
      <c r="BH94" s="137">
        <f t="shared" si="46"/>
        <v>0</v>
      </c>
      <c r="BI94" s="137">
        <f t="shared" si="47"/>
        <v>0</v>
      </c>
      <c r="BJ94" s="137">
        <f t="shared" si="48"/>
        <v>0</v>
      </c>
      <c r="BK94" s="137">
        <f t="shared" si="49"/>
        <v>-124.89491451689608</v>
      </c>
      <c r="BL94" s="137">
        <f>IF($K94=$L94,$BK94,IF(OR($K94="graphite",$K94="vitreous carbon"),$BK$406+($BM$389+$I94)*$BJ$406,IF($K94="Pyrolytic Boron Nitride","PBN",IF(COUNTIF($BH$396:$BH$416,$K94)&gt;0,VLOOKUP($K94,$BH$396:$BK$416,4,FALSE)+($BM$389+$I94)*VLOOKUP($K94,$BH$396:$BK$416,3,FALSE),IF(COUNTIF($L$2:$L93,$K94)&gt;0,VLOOKUP($K94,$L$2:$BK93,52,FALSE),"idk")))))</f>
        <v>-63.529671587210359</v>
      </c>
      <c r="BM94" s="137">
        <v>20</v>
      </c>
      <c r="BN94" s="137">
        <v>10</v>
      </c>
      <c r="BO94" s="137">
        <v>4</v>
      </c>
      <c r="BP94" s="136" t="s">
        <v>245</v>
      </c>
      <c r="BQ94" s="136"/>
      <c r="BR94" s="136" t="s">
        <v>247</v>
      </c>
      <c r="BS94" s="136"/>
      <c r="BT94" s="136">
        <v>0</v>
      </c>
      <c r="BU94" s="136"/>
      <c r="BV94" s="136"/>
      <c r="BW94" s="136"/>
      <c r="BX94" s="136"/>
      <c r="BY94" s="136"/>
      <c r="BZ94" s="136"/>
      <c r="CA94" s="136"/>
      <c r="CB94" s="136"/>
      <c r="CC94" s="136"/>
      <c r="CD94" s="136"/>
      <c r="CE94" s="136"/>
      <c r="CF94" s="136"/>
      <c r="CG94" s="136"/>
      <c r="CH94" s="136"/>
      <c r="CI94" s="136"/>
      <c r="CJ94" s="136"/>
      <c r="CK94" s="136"/>
      <c r="CL94" s="136"/>
      <c r="CM94" s="136"/>
      <c r="CN94" s="136"/>
      <c r="CO94" s="136"/>
      <c r="CP94" s="136"/>
      <c r="CQ94" s="136"/>
      <c r="CR94" s="136"/>
      <c r="CS94" s="136"/>
      <c r="CT94" s="136"/>
      <c r="CU94" s="136"/>
      <c r="CV94" s="136"/>
      <c r="CW94" s="136"/>
      <c r="CX94" s="136"/>
      <c r="CY94" s="136"/>
      <c r="CZ94" s="136"/>
      <c r="DA94" s="136"/>
      <c r="DB94" s="136"/>
      <c r="DC94" s="136"/>
      <c r="DD94" s="136"/>
      <c r="DE94" s="136"/>
      <c r="DF94" s="136"/>
      <c r="DG94" s="136"/>
      <c r="DH94" s="136"/>
      <c r="DI94" s="136"/>
      <c r="DJ94" s="136">
        <v>0</v>
      </c>
      <c r="DK94" s="136">
        <v>0</v>
      </c>
      <c r="DL94" s="136"/>
      <c r="DM94" s="136">
        <v>-119</v>
      </c>
      <c r="DN94" s="136"/>
      <c r="DO94" s="136"/>
      <c r="DP94" s="136"/>
      <c r="DQ94" s="136"/>
      <c r="DR94" s="136"/>
      <c r="DS94" s="136">
        <v>1</v>
      </c>
      <c r="DT94" s="136"/>
      <c r="DU94" s="136"/>
      <c r="DW94" s="129">
        <f>SUM(_2025_01_07T12_47_export3[[#This Row],[Ni_wt]:[H_wt]])</f>
        <v>100.00000000000001</v>
      </c>
      <c r="DY94" s="130">
        <f>SUM($AM94:BJ94)</f>
        <v>99.999999999999986</v>
      </c>
    </row>
    <row r="95" spans="1:129" x14ac:dyDescent="0.25">
      <c r="A95" s="129" t="s">
        <v>321</v>
      </c>
      <c r="B95" s="129">
        <v>103</v>
      </c>
      <c r="C95" s="129" t="s">
        <v>272</v>
      </c>
      <c r="D95" s="129">
        <v>2014</v>
      </c>
      <c r="E95" s="129" t="s">
        <v>273</v>
      </c>
      <c r="F95" s="129" t="s">
        <v>322</v>
      </c>
      <c r="G95" s="129" t="s">
        <v>226</v>
      </c>
      <c r="H95" s="129">
        <v>0</v>
      </c>
      <c r="I95" s="129">
        <v>700</v>
      </c>
      <c r="J95" s="129">
        <v>100</v>
      </c>
      <c r="K95" s="129" t="s">
        <v>48</v>
      </c>
      <c r="L95" s="129" t="s">
        <v>275</v>
      </c>
      <c r="N95" s="129">
        <v>9220000</v>
      </c>
      <c r="O95" s="130">
        <v>65</v>
      </c>
      <c r="P95" s="130">
        <v>1.5</v>
      </c>
      <c r="Q95" s="130">
        <v>28.5</v>
      </c>
      <c r="R95" s="130">
        <v>1.5</v>
      </c>
      <c r="S95" s="130">
        <v>3</v>
      </c>
      <c r="T95" s="130">
        <v>3</v>
      </c>
      <c r="U95" s="130">
        <v>3</v>
      </c>
      <c r="V95" s="130">
        <v>0.5</v>
      </c>
      <c r="W95" s="130">
        <v>0.2</v>
      </c>
      <c r="X95" s="130">
        <v>0.1</v>
      </c>
      <c r="Y95" s="130">
        <v>0.01</v>
      </c>
      <c r="Z95" s="130"/>
      <c r="AA95" s="130"/>
      <c r="AB95" s="130"/>
      <c r="AC95" s="130"/>
      <c r="AD95" s="130"/>
      <c r="AE95" s="130"/>
      <c r="AF95" s="130"/>
      <c r="AG95" s="130"/>
      <c r="AH95" s="130"/>
      <c r="AI95" s="130"/>
      <c r="AJ95" s="130"/>
      <c r="AK95" s="130"/>
      <c r="AL95" s="130"/>
      <c r="AM95" s="130">
        <f t="shared" si="25"/>
        <v>68.825839891971</v>
      </c>
      <c r="AN95" s="130">
        <f t="shared" si="26"/>
        <v>1.7926280517425051</v>
      </c>
      <c r="AO95" s="130">
        <f t="shared" si="27"/>
        <v>18.456820707811541</v>
      </c>
      <c r="AP95" s="130">
        <f t="shared" si="28"/>
        <v>1.6690538709151344</v>
      </c>
      <c r="AQ95" s="130">
        <f t="shared" si="29"/>
        <v>1.0143270804201334</v>
      </c>
      <c r="AR95" s="130">
        <f t="shared" si="30"/>
        <v>3.1636402067066096</v>
      </c>
      <c r="AS95" s="130">
        <f t="shared" si="31"/>
        <v>3.3933985690065618</v>
      </c>
      <c r="AT95" s="130">
        <f t="shared" si="32"/>
        <v>1.1516760401607398</v>
      </c>
      <c r="AU95" s="130">
        <f t="shared" si="33"/>
        <v>0.25963835022800719</v>
      </c>
      <c r="AV95" s="130">
        <f t="shared" si="34"/>
        <v>0.22123331835910828</v>
      </c>
      <c r="AW95" s="130">
        <f t="shared" si="35"/>
        <v>5.1743912678662372E-2</v>
      </c>
      <c r="AX95" s="130">
        <f t="shared" si="36"/>
        <v>0</v>
      </c>
      <c r="AY95" s="130">
        <f t="shared" si="37"/>
        <v>0</v>
      </c>
      <c r="AZ95" s="130">
        <f t="shared" si="38"/>
        <v>0</v>
      </c>
      <c r="BA95" s="130">
        <f t="shared" si="39"/>
        <v>0</v>
      </c>
      <c r="BB95" s="130">
        <f t="shared" si="40"/>
        <v>0</v>
      </c>
      <c r="BC95" s="130">
        <f t="shared" si="41"/>
        <v>0</v>
      </c>
      <c r="BD95" s="130">
        <f t="shared" si="42"/>
        <v>0</v>
      </c>
      <c r="BE95" s="130">
        <f t="shared" si="43"/>
        <v>0</v>
      </c>
      <c r="BF95" s="130">
        <f t="shared" si="44"/>
        <v>0</v>
      </c>
      <c r="BG95" s="130">
        <f t="shared" si="45"/>
        <v>0</v>
      </c>
      <c r="BH95" s="130">
        <f t="shared" si="46"/>
        <v>0</v>
      </c>
      <c r="BI95" s="130">
        <f t="shared" si="47"/>
        <v>0</v>
      </c>
      <c r="BJ95" s="130">
        <f t="shared" si="48"/>
        <v>0</v>
      </c>
      <c r="BK95" s="130">
        <f t="shared" si="49"/>
        <v>-123.42862137745254</v>
      </c>
      <c r="BL95" s="130">
        <f>IF($K95=$L95,$BK95,IF(OR($K95="graphite",$K95="vitreous carbon"),$BK$406+($BM$389+$I95)*$BJ$406,IF($K95="Pyrolytic Boron Nitride","PBN",IF(COUNTIF($BH$396:$BH$416,$K95)&gt;0,VLOOKUP($K95,$BH$396:$BK$416,4,FALSE)+($BM$389+$I95)*VLOOKUP($K95,$BH$396:$BK$416,3,FALSE),IF(COUNTIF($L$2:$L94,$K95)&gt;0,VLOOKUP($K95,$L$2:$BK94,52,FALSE),"idk")))))</f>
        <v>-121.74823772574202</v>
      </c>
      <c r="BM95" s="130">
        <v>20</v>
      </c>
      <c r="BN95" s="130">
        <v>20</v>
      </c>
      <c r="BO95" s="130">
        <v>1</v>
      </c>
      <c r="BP95" s="129" t="s">
        <v>245</v>
      </c>
      <c r="BQ95" s="129" t="s">
        <v>276</v>
      </c>
      <c r="BR95" s="129" t="s">
        <v>247</v>
      </c>
      <c r="BS95" s="129">
        <v>1.91</v>
      </c>
      <c r="BT95" s="129">
        <v>0</v>
      </c>
      <c r="BV95" s="129"/>
      <c r="BZ95" s="129"/>
      <c r="DJ95" s="129">
        <v>0</v>
      </c>
      <c r="DK95" s="129">
        <v>0</v>
      </c>
      <c r="DL95" s="129"/>
      <c r="DO95" s="129">
        <v>-27.2</v>
      </c>
      <c r="DQ95" s="129">
        <v>184400</v>
      </c>
      <c r="DS95" s="129">
        <v>3</v>
      </c>
      <c r="DT95" s="155" t="s">
        <v>323</v>
      </c>
      <c r="DU95" s="129" t="s">
        <v>282</v>
      </c>
      <c r="DW95" s="129">
        <f>SUM(_2025_01_07T12_47_export3[[#This Row],[Ni_wt]:[H_wt]])</f>
        <v>106.31</v>
      </c>
      <c r="DY95" s="130">
        <f>SUM($AM95:BJ95)</f>
        <v>100</v>
      </c>
    </row>
    <row r="96" spans="1:129" x14ac:dyDescent="0.25">
      <c r="A96" s="129" t="s">
        <v>321</v>
      </c>
      <c r="B96" s="129">
        <v>104</v>
      </c>
      <c r="C96" s="129" t="s">
        <v>272</v>
      </c>
      <c r="D96" s="129">
        <v>2014</v>
      </c>
      <c r="E96" s="129" t="s">
        <v>273</v>
      </c>
      <c r="F96" s="129" t="s">
        <v>322</v>
      </c>
      <c r="G96" s="129" t="s">
        <v>226</v>
      </c>
      <c r="H96" s="129">
        <v>0</v>
      </c>
      <c r="I96" s="129">
        <v>700</v>
      </c>
      <c r="J96" s="129">
        <v>200</v>
      </c>
      <c r="K96" s="129" t="s">
        <v>48</v>
      </c>
      <c r="L96" s="129" t="s">
        <v>275</v>
      </c>
      <c r="N96" s="129">
        <v>9220000</v>
      </c>
      <c r="O96" s="130">
        <v>65</v>
      </c>
      <c r="P96" s="130">
        <v>1.5</v>
      </c>
      <c r="Q96" s="130">
        <v>28.5</v>
      </c>
      <c r="R96" s="130">
        <v>1.5</v>
      </c>
      <c r="S96" s="130">
        <v>3</v>
      </c>
      <c r="T96" s="130">
        <v>3</v>
      </c>
      <c r="U96" s="130">
        <v>3</v>
      </c>
      <c r="V96" s="130">
        <v>0.5</v>
      </c>
      <c r="W96" s="130">
        <v>0.2</v>
      </c>
      <c r="X96" s="130">
        <v>0.1</v>
      </c>
      <c r="Y96" s="130">
        <v>0.01</v>
      </c>
      <c r="Z96" s="130"/>
      <c r="AA96" s="130"/>
      <c r="AB96" s="130"/>
      <c r="AC96" s="130"/>
      <c r="AD96" s="130"/>
      <c r="AE96" s="130"/>
      <c r="AF96" s="130"/>
      <c r="AG96" s="130"/>
      <c r="AH96" s="130"/>
      <c r="AI96" s="130"/>
      <c r="AJ96" s="130"/>
      <c r="AK96" s="130"/>
      <c r="AL96" s="130"/>
      <c r="AM96" s="130">
        <f t="shared" si="25"/>
        <v>68.825839891971</v>
      </c>
      <c r="AN96" s="130">
        <f t="shared" si="26"/>
        <v>1.7926280517425051</v>
      </c>
      <c r="AO96" s="130">
        <f t="shared" si="27"/>
        <v>18.456820707811541</v>
      </c>
      <c r="AP96" s="130">
        <f t="shared" si="28"/>
        <v>1.6690538709151344</v>
      </c>
      <c r="AQ96" s="130">
        <f t="shared" si="29"/>
        <v>1.0143270804201334</v>
      </c>
      <c r="AR96" s="130">
        <f t="shared" si="30"/>
        <v>3.1636402067066096</v>
      </c>
      <c r="AS96" s="130">
        <f t="shared" si="31"/>
        <v>3.3933985690065618</v>
      </c>
      <c r="AT96" s="130">
        <f t="shared" si="32"/>
        <v>1.1516760401607398</v>
      </c>
      <c r="AU96" s="130">
        <f t="shared" si="33"/>
        <v>0.25963835022800719</v>
      </c>
      <c r="AV96" s="130">
        <f t="shared" si="34"/>
        <v>0.22123331835910828</v>
      </c>
      <c r="AW96" s="130">
        <f t="shared" si="35"/>
        <v>5.1743912678662372E-2</v>
      </c>
      <c r="AX96" s="130">
        <f t="shared" si="36"/>
        <v>0</v>
      </c>
      <c r="AY96" s="130">
        <f t="shared" si="37"/>
        <v>0</v>
      </c>
      <c r="AZ96" s="130">
        <f t="shared" si="38"/>
        <v>0</v>
      </c>
      <c r="BA96" s="130">
        <f t="shared" si="39"/>
        <v>0</v>
      </c>
      <c r="BB96" s="130">
        <f t="shared" si="40"/>
        <v>0</v>
      </c>
      <c r="BC96" s="130">
        <f t="shared" si="41"/>
        <v>0</v>
      </c>
      <c r="BD96" s="130">
        <f t="shared" si="42"/>
        <v>0</v>
      </c>
      <c r="BE96" s="130">
        <f t="shared" si="43"/>
        <v>0</v>
      </c>
      <c r="BF96" s="130">
        <f t="shared" si="44"/>
        <v>0</v>
      </c>
      <c r="BG96" s="130">
        <f t="shared" si="45"/>
        <v>0</v>
      </c>
      <c r="BH96" s="130">
        <f t="shared" si="46"/>
        <v>0</v>
      </c>
      <c r="BI96" s="130">
        <f t="shared" si="47"/>
        <v>0</v>
      </c>
      <c r="BJ96" s="130">
        <f t="shared" si="48"/>
        <v>0</v>
      </c>
      <c r="BK96" s="130">
        <f t="shared" si="49"/>
        <v>-123.42862137745254</v>
      </c>
      <c r="BL96" s="130">
        <f>IF($K96=$L96,$BK96,IF(OR($K96="graphite",$K96="vitreous carbon"),$BK$406+($BM$389+$I96)*$BJ$406,IF($K96="Pyrolytic Boron Nitride","PBN",IF(COUNTIF($BH$396:$BH$416,$K96)&gt;0,VLOOKUP($K96,$BH$396:$BK$416,4,FALSE)+($BM$389+$I96)*VLOOKUP($K96,$BH$396:$BK$416,3,FALSE),IF(COUNTIF($L$2:$L95,$K96)&gt;0,VLOOKUP($K96,$L$2:$BK95,52,FALSE),"idk")))))</f>
        <v>-121.74823772574202</v>
      </c>
      <c r="BM96" s="130">
        <v>20</v>
      </c>
      <c r="BN96" s="130">
        <v>20</v>
      </c>
      <c r="BO96" s="130">
        <v>1</v>
      </c>
      <c r="BP96" s="129" t="s">
        <v>245</v>
      </c>
      <c r="BQ96" s="129" t="s">
        <v>276</v>
      </c>
      <c r="BR96" s="129" t="s">
        <v>247</v>
      </c>
      <c r="BS96" s="129">
        <v>1.91</v>
      </c>
      <c r="BT96" s="129">
        <v>0</v>
      </c>
      <c r="BV96" s="129"/>
      <c r="BZ96" s="129"/>
      <c r="DJ96" s="129">
        <v>0</v>
      </c>
      <c r="DK96" s="129">
        <v>0</v>
      </c>
      <c r="DL96" s="129"/>
      <c r="DO96" s="129">
        <v>-34.4</v>
      </c>
      <c r="DQ96" s="129">
        <v>184400</v>
      </c>
      <c r="DS96" s="129">
        <v>3</v>
      </c>
      <c r="DU96" s="129" t="s">
        <v>282</v>
      </c>
      <c r="DV96" s="134"/>
      <c r="DW96" s="129">
        <f>SUM(_2025_01_07T12_47_export3[[#This Row],[Ni_wt]:[H_wt]])</f>
        <v>106.31</v>
      </c>
      <c r="DY96" s="130">
        <f>SUM($AM96:BJ96)</f>
        <v>100</v>
      </c>
    </row>
    <row r="97" spans="1:184" x14ac:dyDescent="0.25">
      <c r="A97" s="129" t="s">
        <v>321</v>
      </c>
      <c r="B97" s="129">
        <v>105</v>
      </c>
      <c r="C97" s="129" t="s">
        <v>272</v>
      </c>
      <c r="D97" s="129">
        <v>2014</v>
      </c>
      <c r="E97" s="129" t="s">
        <v>273</v>
      </c>
      <c r="F97" s="129" t="s">
        <v>322</v>
      </c>
      <c r="G97" s="129" t="s">
        <v>226</v>
      </c>
      <c r="H97" s="129">
        <v>0</v>
      </c>
      <c r="I97" s="129">
        <v>700</v>
      </c>
      <c r="J97" s="129">
        <v>500</v>
      </c>
      <c r="K97" s="129" t="s">
        <v>48</v>
      </c>
      <c r="L97" s="129" t="s">
        <v>275</v>
      </c>
      <c r="N97" s="129">
        <v>9220000</v>
      </c>
      <c r="O97" s="130">
        <v>65</v>
      </c>
      <c r="P97" s="130">
        <v>1.5</v>
      </c>
      <c r="Q97" s="130">
        <v>28.5</v>
      </c>
      <c r="R97" s="130">
        <v>1.5</v>
      </c>
      <c r="S97" s="130">
        <v>3</v>
      </c>
      <c r="T97" s="130">
        <v>3</v>
      </c>
      <c r="U97" s="130">
        <v>3</v>
      </c>
      <c r="V97" s="130">
        <v>0.5</v>
      </c>
      <c r="W97" s="130">
        <v>0.2</v>
      </c>
      <c r="X97" s="130">
        <v>0.1</v>
      </c>
      <c r="Y97" s="130">
        <v>0.01</v>
      </c>
      <c r="Z97" s="130"/>
      <c r="AA97" s="130"/>
      <c r="AB97" s="130"/>
      <c r="AC97" s="130"/>
      <c r="AD97" s="130"/>
      <c r="AE97" s="130"/>
      <c r="AF97" s="130"/>
      <c r="AG97" s="130"/>
      <c r="AH97" s="130"/>
      <c r="AI97" s="130"/>
      <c r="AJ97" s="130"/>
      <c r="AK97" s="130"/>
      <c r="AL97" s="130"/>
      <c r="AM97" s="130">
        <f t="shared" si="25"/>
        <v>68.825839891971</v>
      </c>
      <c r="AN97" s="130">
        <f t="shared" si="26"/>
        <v>1.7926280517425051</v>
      </c>
      <c r="AO97" s="130">
        <f t="shared" si="27"/>
        <v>18.456820707811541</v>
      </c>
      <c r="AP97" s="130">
        <f t="shared" si="28"/>
        <v>1.6690538709151344</v>
      </c>
      <c r="AQ97" s="130">
        <f t="shared" si="29"/>
        <v>1.0143270804201334</v>
      </c>
      <c r="AR97" s="130">
        <f t="shared" si="30"/>
        <v>3.1636402067066096</v>
      </c>
      <c r="AS97" s="130">
        <f t="shared" si="31"/>
        <v>3.3933985690065618</v>
      </c>
      <c r="AT97" s="130">
        <f t="shared" si="32"/>
        <v>1.1516760401607398</v>
      </c>
      <c r="AU97" s="130">
        <f t="shared" si="33"/>
        <v>0.25963835022800719</v>
      </c>
      <c r="AV97" s="130">
        <f t="shared" si="34"/>
        <v>0.22123331835910828</v>
      </c>
      <c r="AW97" s="130">
        <f t="shared" si="35"/>
        <v>5.1743912678662372E-2</v>
      </c>
      <c r="AX97" s="130">
        <f t="shared" si="36"/>
        <v>0</v>
      </c>
      <c r="AY97" s="130">
        <f t="shared" si="37"/>
        <v>0</v>
      </c>
      <c r="AZ97" s="130">
        <f t="shared" si="38"/>
        <v>0</v>
      </c>
      <c r="BA97" s="130">
        <f t="shared" si="39"/>
        <v>0</v>
      </c>
      <c r="BB97" s="130">
        <f t="shared" si="40"/>
        <v>0</v>
      </c>
      <c r="BC97" s="130">
        <f t="shared" si="41"/>
        <v>0</v>
      </c>
      <c r="BD97" s="130">
        <f t="shared" si="42"/>
        <v>0</v>
      </c>
      <c r="BE97" s="130">
        <f t="shared" si="43"/>
        <v>0</v>
      </c>
      <c r="BF97" s="130">
        <f t="shared" si="44"/>
        <v>0</v>
      </c>
      <c r="BG97" s="130">
        <f t="shared" si="45"/>
        <v>0</v>
      </c>
      <c r="BH97" s="130">
        <f t="shared" si="46"/>
        <v>0</v>
      </c>
      <c r="BI97" s="130">
        <f t="shared" si="47"/>
        <v>0</v>
      </c>
      <c r="BJ97" s="130">
        <f t="shared" si="48"/>
        <v>0</v>
      </c>
      <c r="BK97" s="130">
        <f t="shared" si="49"/>
        <v>-123.42862137745254</v>
      </c>
      <c r="BL97" s="130">
        <f>IF($K97=$L97,$BK97,IF(OR($K97="graphite",$K97="vitreous carbon"),$BK$406+($BM$389+$I97)*$BJ$406,IF($K97="Pyrolytic Boron Nitride","PBN",IF(COUNTIF($BH$396:$BH$416,$K97)&gt;0,VLOOKUP($K97,$BH$396:$BK$416,4,FALSE)+($BM$389+$I97)*VLOOKUP($K97,$BH$396:$BK$416,3,FALSE),IF(COUNTIF($L$2:$L96,$K97)&gt;0,VLOOKUP($K97,$L$2:$BK96,52,FALSE),"idk")))))</f>
        <v>-121.74823772574202</v>
      </c>
      <c r="BM97" s="130">
        <v>20</v>
      </c>
      <c r="BN97" s="130">
        <v>20</v>
      </c>
      <c r="BO97" s="130">
        <v>1</v>
      </c>
      <c r="BP97" s="129" t="s">
        <v>245</v>
      </c>
      <c r="BQ97" s="129" t="s">
        <v>276</v>
      </c>
      <c r="BR97" s="129" t="s">
        <v>247</v>
      </c>
      <c r="BS97" s="129">
        <v>1.91</v>
      </c>
      <c r="BT97" s="129">
        <v>0</v>
      </c>
      <c r="BV97" s="129"/>
      <c r="BZ97" s="129"/>
      <c r="DJ97" s="129">
        <v>0</v>
      </c>
      <c r="DK97" s="129">
        <v>0</v>
      </c>
      <c r="DL97" s="129"/>
      <c r="DO97" s="129">
        <v>-50.1</v>
      </c>
      <c r="DQ97" s="129">
        <v>184400</v>
      </c>
      <c r="DS97" s="129">
        <v>3</v>
      </c>
      <c r="DU97" s="129" t="s">
        <v>282</v>
      </c>
      <c r="DW97" s="129">
        <f>SUM(_2025_01_07T12_47_export3[[#This Row],[Ni_wt]:[H_wt]])</f>
        <v>106.31</v>
      </c>
      <c r="DY97" s="130">
        <f>SUM($AM97:BJ97)</f>
        <v>100</v>
      </c>
    </row>
    <row r="98" spans="1:184" x14ac:dyDescent="0.25">
      <c r="A98" s="238" t="s">
        <v>321</v>
      </c>
      <c r="B98" s="238">
        <v>106</v>
      </c>
      <c r="C98" s="238" t="s">
        <v>272</v>
      </c>
      <c r="D98" s="238">
        <v>2014</v>
      </c>
      <c r="E98" s="238" t="s">
        <v>273</v>
      </c>
      <c r="F98" s="238" t="s">
        <v>322</v>
      </c>
      <c r="G98" s="238" t="s">
        <v>226</v>
      </c>
      <c r="H98" s="238">
        <v>0</v>
      </c>
      <c r="I98" s="238">
        <v>700</v>
      </c>
      <c r="J98" s="238">
        <v>1000</v>
      </c>
      <c r="K98" s="238" t="s">
        <v>48</v>
      </c>
      <c r="L98" s="238" t="s">
        <v>275</v>
      </c>
      <c r="M98" s="238"/>
      <c r="N98" s="238">
        <v>9220000</v>
      </c>
      <c r="O98" s="239">
        <v>65</v>
      </c>
      <c r="P98" s="239">
        <v>1.5</v>
      </c>
      <c r="Q98" s="239">
        <v>28.5</v>
      </c>
      <c r="R98" s="239">
        <v>1.5</v>
      </c>
      <c r="S98" s="239">
        <v>3</v>
      </c>
      <c r="T98" s="239">
        <v>3</v>
      </c>
      <c r="U98" s="239">
        <v>3</v>
      </c>
      <c r="V98" s="239">
        <v>0.5</v>
      </c>
      <c r="W98" s="239">
        <v>0.2</v>
      </c>
      <c r="X98" s="239">
        <v>0.1</v>
      </c>
      <c r="Y98" s="239">
        <v>0.01</v>
      </c>
      <c r="Z98" s="239"/>
      <c r="AA98" s="239"/>
      <c r="AB98" s="239"/>
      <c r="AC98" s="239"/>
      <c r="AD98" s="239"/>
      <c r="AE98" s="239"/>
      <c r="AF98" s="239"/>
      <c r="AG98" s="239"/>
      <c r="AH98" s="239"/>
      <c r="AI98" s="239"/>
      <c r="AJ98" s="239"/>
      <c r="AK98" s="239"/>
      <c r="AL98" s="239"/>
      <c r="AM98" s="239">
        <f t="shared" si="25"/>
        <v>68.825839891971</v>
      </c>
      <c r="AN98" s="239">
        <f t="shared" si="26"/>
        <v>1.7926280517425051</v>
      </c>
      <c r="AO98" s="239">
        <f t="shared" si="27"/>
        <v>18.456820707811541</v>
      </c>
      <c r="AP98" s="239">
        <f t="shared" si="28"/>
        <v>1.6690538709151344</v>
      </c>
      <c r="AQ98" s="239">
        <f t="shared" si="29"/>
        <v>1.0143270804201334</v>
      </c>
      <c r="AR98" s="239">
        <f t="shared" si="30"/>
        <v>3.1636402067066096</v>
      </c>
      <c r="AS98" s="239">
        <f t="shared" si="31"/>
        <v>3.3933985690065618</v>
      </c>
      <c r="AT98" s="239">
        <f t="shared" si="32"/>
        <v>1.1516760401607398</v>
      </c>
      <c r="AU98" s="239">
        <f t="shared" si="33"/>
        <v>0.25963835022800719</v>
      </c>
      <c r="AV98" s="239">
        <f t="shared" si="34"/>
        <v>0.22123331835910828</v>
      </c>
      <c r="AW98" s="239">
        <f t="shared" si="35"/>
        <v>5.1743912678662372E-2</v>
      </c>
      <c r="AX98" s="239">
        <f t="shared" si="36"/>
        <v>0</v>
      </c>
      <c r="AY98" s="239">
        <f t="shared" si="37"/>
        <v>0</v>
      </c>
      <c r="AZ98" s="239">
        <f t="shared" si="38"/>
        <v>0</v>
      </c>
      <c r="BA98" s="239">
        <f t="shared" si="39"/>
        <v>0</v>
      </c>
      <c r="BB98" s="239">
        <f t="shared" si="40"/>
        <v>0</v>
      </c>
      <c r="BC98" s="239">
        <f t="shared" si="41"/>
        <v>0</v>
      </c>
      <c r="BD98" s="239">
        <f t="shared" si="42"/>
        <v>0</v>
      </c>
      <c r="BE98" s="239">
        <f t="shared" si="43"/>
        <v>0</v>
      </c>
      <c r="BF98" s="239">
        <f t="shared" si="44"/>
        <v>0</v>
      </c>
      <c r="BG98" s="239">
        <f t="shared" si="45"/>
        <v>0</v>
      </c>
      <c r="BH98" s="239">
        <f t="shared" si="46"/>
        <v>0</v>
      </c>
      <c r="BI98" s="239">
        <f t="shared" si="47"/>
        <v>0</v>
      </c>
      <c r="BJ98" s="239">
        <f t="shared" si="48"/>
        <v>0</v>
      </c>
      <c r="BK98" s="239">
        <f t="shared" si="49"/>
        <v>-123.42862137745254</v>
      </c>
      <c r="BL98" s="239">
        <f>IF($K98=$L98,$BK98,IF(OR($K98="graphite",$K98="vitreous carbon"),$BK$406+($BM$389+$I98)*$BJ$406,IF($K98="Pyrolytic Boron Nitride","PBN",IF(COUNTIF($BH$396:$BH$416,$K98)&gt;0,VLOOKUP($K98,$BH$396:$BK$416,4,FALSE)+($BM$389+$I98)*VLOOKUP($K98,$BH$396:$BK$416,3,FALSE),IF(COUNTIF($L$2:$L97,$K98)&gt;0,VLOOKUP($K98,$L$2:$BK97,52,FALSE),"idk")))))</f>
        <v>-121.74823772574202</v>
      </c>
      <c r="BM98" s="239">
        <v>20</v>
      </c>
      <c r="BN98" s="239">
        <v>20</v>
      </c>
      <c r="BO98" s="239">
        <v>1</v>
      </c>
      <c r="BP98" s="238" t="s">
        <v>245</v>
      </c>
      <c r="BQ98" s="238" t="s">
        <v>276</v>
      </c>
      <c r="BR98" s="238" t="s">
        <v>247</v>
      </c>
      <c r="BS98" s="238">
        <v>1.91</v>
      </c>
      <c r="BT98" s="238">
        <v>0</v>
      </c>
      <c r="BU98" s="238"/>
      <c r="BV98" s="238"/>
      <c r="BW98" s="238"/>
      <c r="BX98" s="238"/>
      <c r="BY98" s="238"/>
      <c r="BZ98" s="238"/>
      <c r="CA98" s="238"/>
      <c r="CB98" s="238"/>
      <c r="CC98" s="238"/>
      <c r="CD98" s="238"/>
      <c r="CE98" s="238"/>
      <c r="CF98" s="238"/>
      <c r="CG98" s="238"/>
      <c r="CH98" s="238"/>
      <c r="CI98" s="238"/>
      <c r="CJ98" s="238"/>
      <c r="CK98" s="238"/>
      <c r="CL98" s="238"/>
      <c r="CM98" s="238"/>
      <c r="CN98" s="238"/>
      <c r="CO98" s="238"/>
      <c r="CP98" s="238"/>
      <c r="CQ98" s="238"/>
      <c r="CR98" s="238"/>
      <c r="CS98" s="238"/>
      <c r="CT98" s="238"/>
      <c r="CU98" s="238"/>
      <c r="CV98" s="238"/>
      <c r="CW98" s="238"/>
      <c r="CX98" s="238"/>
      <c r="CY98" s="238"/>
      <c r="CZ98" s="238"/>
      <c r="DA98" s="238"/>
      <c r="DB98" s="238"/>
      <c r="DC98" s="238"/>
      <c r="DD98" s="238"/>
      <c r="DE98" s="238"/>
      <c r="DF98" s="238"/>
      <c r="DG98" s="238"/>
      <c r="DH98" s="238"/>
      <c r="DI98" s="238"/>
      <c r="DJ98" s="238">
        <v>0</v>
      </c>
      <c r="DK98" s="238">
        <v>0</v>
      </c>
      <c r="DL98" s="238"/>
      <c r="DM98" s="238"/>
      <c r="DN98" s="238"/>
      <c r="DO98" s="238">
        <v>-59</v>
      </c>
      <c r="DP98" s="238"/>
      <c r="DQ98" s="238">
        <v>184400</v>
      </c>
      <c r="DR98" s="238"/>
      <c r="DS98" s="238">
        <v>3</v>
      </c>
      <c r="DT98" s="238"/>
      <c r="DU98" s="238" t="s">
        <v>282</v>
      </c>
      <c r="DW98" s="129">
        <f>SUM(_2025_01_07T12_47_export3[[#This Row],[Ni_wt]:[H_wt]])</f>
        <v>106.31</v>
      </c>
      <c r="DY98" s="130">
        <f>SUM($AM98:BJ98)</f>
        <v>100</v>
      </c>
    </row>
    <row r="99" spans="1:184" x14ac:dyDescent="0.25">
      <c r="A99" s="129" t="s">
        <v>324</v>
      </c>
      <c r="B99" s="129">
        <v>107</v>
      </c>
      <c r="C99" s="129" t="s">
        <v>272</v>
      </c>
      <c r="D99" s="129">
        <v>2014</v>
      </c>
      <c r="E99" s="129" t="s">
        <v>273</v>
      </c>
      <c r="F99" s="129" t="s">
        <v>322</v>
      </c>
      <c r="G99" s="129" t="s">
        <v>226</v>
      </c>
      <c r="H99" s="129">
        <v>0</v>
      </c>
      <c r="I99" s="129">
        <v>700</v>
      </c>
      <c r="J99" s="129">
        <v>100</v>
      </c>
      <c r="K99" s="129" t="s">
        <v>48</v>
      </c>
      <c r="L99" s="129" t="s">
        <v>239</v>
      </c>
      <c r="N99" s="129">
        <v>8860000</v>
      </c>
      <c r="O99" s="130">
        <v>71</v>
      </c>
      <c r="P99" s="130">
        <v>7</v>
      </c>
      <c r="Q99" s="130">
        <v>16</v>
      </c>
      <c r="R99" s="130">
        <v>3</v>
      </c>
      <c r="S99" s="130">
        <v>0.5</v>
      </c>
      <c r="T99" s="130">
        <v>0.2</v>
      </c>
      <c r="U99" s="130">
        <v>0.8</v>
      </c>
      <c r="V99" s="130">
        <v>0.17</v>
      </c>
      <c r="W99" s="130">
        <v>0.18</v>
      </c>
      <c r="X99" s="130">
        <v>1</v>
      </c>
      <c r="Y99" s="130">
        <v>0.08</v>
      </c>
      <c r="Z99" s="130">
        <v>0.35</v>
      </c>
      <c r="AA99" s="130"/>
      <c r="AB99" s="130"/>
      <c r="AC99" s="130"/>
      <c r="AD99" s="130"/>
      <c r="AE99" s="130"/>
      <c r="AF99" s="130"/>
      <c r="AG99" s="130"/>
      <c r="AH99" s="130"/>
      <c r="AI99" s="130"/>
      <c r="AJ99" s="130"/>
      <c r="AK99" s="130"/>
      <c r="AL99" s="130"/>
      <c r="AM99" s="130">
        <f t="shared" si="25"/>
        <v>73.616065298412209</v>
      </c>
      <c r="AN99" s="130">
        <f t="shared" si="26"/>
        <v>8.1916815023149212</v>
      </c>
      <c r="AO99" s="130">
        <f t="shared" si="27"/>
        <v>10.146309488962684</v>
      </c>
      <c r="AP99" s="130">
        <f t="shared" si="28"/>
        <v>3.268710357746841</v>
      </c>
      <c r="AQ99" s="130">
        <f t="shared" si="29"/>
        <v>0.16553996507087509</v>
      </c>
      <c r="AR99" s="130">
        <f t="shared" si="30"/>
        <v>0.20652466030902325</v>
      </c>
      <c r="AS99" s="130">
        <f t="shared" si="31"/>
        <v>0.88609379191923843</v>
      </c>
      <c r="AT99" s="130">
        <f t="shared" si="32"/>
        <v>0.38342933644214711</v>
      </c>
      <c r="AU99" s="130">
        <f t="shared" si="33"/>
        <v>0.22881655334885451</v>
      </c>
      <c r="AV99" s="130">
        <f t="shared" si="34"/>
        <v>2.1663400199378318</v>
      </c>
      <c r="AW99" s="130">
        <f t="shared" si="35"/>
        <v>0.40534548649494556</v>
      </c>
      <c r="AX99" s="130">
        <f t="shared" si="36"/>
        <v>0.33514353904042166</v>
      </c>
      <c r="AY99" s="130">
        <f t="shared" si="37"/>
        <v>0</v>
      </c>
      <c r="AZ99" s="130">
        <f t="shared" si="38"/>
        <v>0</v>
      </c>
      <c r="BA99" s="130">
        <f t="shared" si="39"/>
        <v>0</v>
      </c>
      <c r="BB99" s="130">
        <f t="shared" si="40"/>
        <v>0</v>
      </c>
      <c r="BC99" s="130">
        <f t="shared" si="41"/>
        <v>0</v>
      </c>
      <c r="BD99" s="130">
        <f t="shared" si="42"/>
        <v>0</v>
      </c>
      <c r="BE99" s="130">
        <f t="shared" si="43"/>
        <v>0</v>
      </c>
      <c r="BF99" s="130">
        <f t="shared" si="44"/>
        <v>0</v>
      </c>
      <c r="BG99" s="130">
        <f t="shared" si="45"/>
        <v>0</v>
      </c>
      <c r="BH99" s="130">
        <f t="shared" si="46"/>
        <v>0</v>
      </c>
      <c r="BI99" s="130">
        <f t="shared" si="47"/>
        <v>0</v>
      </c>
      <c r="BJ99" s="130">
        <f t="shared" si="48"/>
        <v>0</v>
      </c>
      <c r="BK99" s="130">
        <f t="shared" si="49"/>
        <v>-125.16730201123855</v>
      </c>
      <c r="BL99" s="130">
        <f>IF($K99=$L99,$BK99,IF(OR($K99="graphite",$K99="vitreous carbon"),$BK$406+($BM$389+$I99)*$BJ$406,IF($K99="Pyrolytic Boron Nitride","PBN",IF(COUNTIF($BH$396:$BH$416,$K99)&gt;0,VLOOKUP($K99,$BH$396:$BK$416,4,FALSE)+($BM$389+$I99)*VLOOKUP($K99,$BH$396:$BK$416,3,FALSE),IF(COUNTIF($L$2:$L98,$K99)&gt;0,VLOOKUP($K99,$L$2:$BK98,52,FALSE),"idk")))))</f>
        <v>-121.74823772574202</v>
      </c>
      <c r="BM99" s="130">
        <v>20</v>
      </c>
      <c r="BN99" s="130">
        <v>20</v>
      </c>
      <c r="BO99" s="130">
        <v>1</v>
      </c>
      <c r="BP99" s="129" t="s">
        <v>245</v>
      </c>
      <c r="BQ99" s="129" t="s">
        <v>276</v>
      </c>
      <c r="BR99" s="129" t="s">
        <v>247</v>
      </c>
      <c r="BS99" s="129">
        <v>1.91</v>
      </c>
      <c r="BT99" s="129">
        <v>0</v>
      </c>
      <c r="BV99" s="129"/>
      <c r="BZ99" s="129"/>
      <c r="DJ99" s="129">
        <v>0</v>
      </c>
      <c r="DK99" s="129">
        <v>0</v>
      </c>
      <c r="DL99" s="129"/>
      <c r="DO99" s="129">
        <v>-25.4</v>
      </c>
      <c r="DQ99" s="129">
        <v>6202000000000001</v>
      </c>
      <c r="DS99" s="129">
        <v>3</v>
      </c>
      <c r="DU99" s="129" t="s">
        <v>282</v>
      </c>
      <c r="DW99" s="129">
        <f>SUM(_2025_01_07T12_47_export3[[#This Row],[Ni_wt]:[H_wt]])</f>
        <v>100.28</v>
      </c>
      <c r="DY99" s="130">
        <f>SUM($AM99:BJ99)</f>
        <v>100</v>
      </c>
    </row>
    <row r="100" spans="1:184" x14ac:dyDescent="0.25">
      <c r="A100" s="129" t="s">
        <v>324</v>
      </c>
      <c r="B100" s="129">
        <v>108</v>
      </c>
      <c r="C100" s="129" t="s">
        <v>272</v>
      </c>
      <c r="D100" s="129">
        <v>2014</v>
      </c>
      <c r="E100" s="129" t="s">
        <v>273</v>
      </c>
      <c r="F100" s="129" t="s">
        <v>322</v>
      </c>
      <c r="G100" s="129" t="s">
        <v>226</v>
      </c>
      <c r="H100" s="129">
        <v>0</v>
      </c>
      <c r="I100" s="129">
        <v>700</v>
      </c>
      <c r="J100" s="129">
        <v>200</v>
      </c>
      <c r="K100" s="129" t="s">
        <v>48</v>
      </c>
      <c r="L100" s="129" t="s">
        <v>239</v>
      </c>
      <c r="N100" s="129">
        <v>8860000</v>
      </c>
      <c r="O100" s="130">
        <v>71</v>
      </c>
      <c r="P100" s="130">
        <v>7</v>
      </c>
      <c r="Q100" s="130">
        <v>16</v>
      </c>
      <c r="R100" s="130">
        <v>3</v>
      </c>
      <c r="S100" s="130">
        <v>0.5</v>
      </c>
      <c r="T100" s="130">
        <v>0.2</v>
      </c>
      <c r="U100" s="130">
        <v>0.8</v>
      </c>
      <c r="V100" s="130">
        <v>0.17</v>
      </c>
      <c r="W100" s="130">
        <v>0.18</v>
      </c>
      <c r="X100" s="130">
        <v>1</v>
      </c>
      <c r="Y100" s="130">
        <v>0.08</v>
      </c>
      <c r="Z100" s="130">
        <v>0.35</v>
      </c>
      <c r="AA100" s="130"/>
      <c r="AB100" s="130"/>
      <c r="AC100" s="130"/>
      <c r="AD100" s="130"/>
      <c r="AE100" s="130"/>
      <c r="AF100" s="130"/>
      <c r="AG100" s="130"/>
      <c r="AH100" s="130"/>
      <c r="AI100" s="130"/>
      <c r="AJ100" s="130"/>
      <c r="AK100" s="130"/>
      <c r="AL100" s="130"/>
      <c r="AM100" s="130">
        <f t="shared" si="25"/>
        <v>73.616065298412209</v>
      </c>
      <c r="AN100" s="130">
        <f t="shared" si="26"/>
        <v>8.1916815023149212</v>
      </c>
      <c r="AO100" s="130">
        <f t="shared" si="27"/>
        <v>10.146309488962684</v>
      </c>
      <c r="AP100" s="130">
        <f t="shared" si="28"/>
        <v>3.268710357746841</v>
      </c>
      <c r="AQ100" s="130">
        <f t="shared" si="29"/>
        <v>0.16553996507087509</v>
      </c>
      <c r="AR100" s="130">
        <f t="shared" si="30"/>
        <v>0.20652466030902325</v>
      </c>
      <c r="AS100" s="130">
        <f t="shared" si="31"/>
        <v>0.88609379191923843</v>
      </c>
      <c r="AT100" s="130">
        <f t="shared" si="32"/>
        <v>0.38342933644214711</v>
      </c>
      <c r="AU100" s="130">
        <f t="shared" si="33"/>
        <v>0.22881655334885451</v>
      </c>
      <c r="AV100" s="130">
        <f t="shared" si="34"/>
        <v>2.1663400199378318</v>
      </c>
      <c r="AW100" s="130">
        <f t="shared" si="35"/>
        <v>0.40534548649494556</v>
      </c>
      <c r="AX100" s="130">
        <f t="shared" si="36"/>
        <v>0.33514353904042166</v>
      </c>
      <c r="AY100" s="130">
        <f t="shared" si="37"/>
        <v>0</v>
      </c>
      <c r="AZ100" s="130">
        <f t="shared" si="38"/>
        <v>0</v>
      </c>
      <c r="BA100" s="130">
        <f t="shared" si="39"/>
        <v>0</v>
      </c>
      <c r="BB100" s="130">
        <f t="shared" si="40"/>
        <v>0</v>
      </c>
      <c r="BC100" s="130">
        <f t="shared" si="41"/>
        <v>0</v>
      </c>
      <c r="BD100" s="130">
        <f t="shared" si="42"/>
        <v>0</v>
      </c>
      <c r="BE100" s="130">
        <f t="shared" si="43"/>
        <v>0</v>
      </c>
      <c r="BF100" s="130">
        <f t="shared" si="44"/>
        <v>0</v>
      </c>
      <c r="BG100" s="130">
        <f t="shared" si="45"/>
        <v>0</v>
      </c>
      <c r="BH100" s="130">
        <f t="shared" si="46"/>
        <v>0</v>
      </c>
      <c r="BI100" s="130">
        <f t="shared" si="47"/>
        <v>0</v>
      </c>
      <c r="BJ100" s="130">
        <f t="shared" si="48"/>
        <v>0</v>
      </c>
      <c r="BK100" s="130">
        <f t="shared" si="49"/>
        <v>-125.16730201123855</v>
      </c>
      <c r="BL100" s="130">
        <f>IF($K100=$L100,$BK100,IF(OR($K100="graphite",$K100="vitreous carbon"),$BK$406+($BM$389+$I100)*$BJ$406,IF($K100="Pyrolytic Boron Nitride","PBN",IF(COUNTIF($BH$396:$BH$416,$K100)&gt;0,VLOOKUP($K100,$BH$396:$BK$416,4,FALSE)+($BM$389+$I100)*VLOOKUP($K100,$BH$396:$BK$416,3,FALSE),IF(COUNTIF($L$2:$L99,$K100)&gt;0,VLOOKUP($K100,$L$2:$BK99,52,FALSE),"idk")))))</f>
        <v>-121.74823772574202</v>
      </c>
      <c r="BM100" s="130">
        <v>20</v>
      </c>
      <c r="BN100" s="130">
        <v>20</v>
      </c>
      <c r="BO100" s="130">
        <v>1</v>
      </c>
      <c r="BP100" s="129" t="s">
        <v>245</v>
      </c>
      <c r="BQ100" s="129" t="s">
        <v>276</v>
      </c>
      <c r="BR100" s="129" t="s">
        <v>247</v>
      </c>
      <c r="BS100" s="129">
        <v>1.91</v>
      </c>
      <c r="BT100" s="129">
        <v>0</v>
      </c>
      <c r="BV100" s="129"/>
      <c r="BZ100" s="129"/>
      <c r="DJ100" s="129">
        <v>0</v>
      </c>
      <c r="DK100" s="129">
        <v>0</v>
      </c>
      <c r="DL100" s="129"/>
      <c r="DO100" s="129">
        <v>-34.4</v>
      </c>
      <c r="DQ100" s="129">
        <v>6202000000000001</v>
      </c>
      <c r="DS100" s="129">
        <v>3</v>
      </c>
      <c r="DU100" s="129" t="s">
        <v>282</v>
      </c>
      <c r="DW100" s="129">
        <f>SUM(_2025_01_07T12_47_export3[[#This Row],[Ni_wt]:[H_wt]])</f>
        <v>100.28</v>
      </c>
      <c r="DY100" s="130">
        <f>SUM($AM100:BJ100)</f>
        <v>100</v>
      </c>
    </row>
    <row r="101" spans="1:184" x14ac:dyDescent="0.25">
      <c r="A101" s="129" t="s">
        <v>324</v>
      </c>
      <c r="B101" s="129">
        <v>109</v>
      </c>
      <c r="C101" s="129" t="s">
        <v>272</v>
      </c>
      <c r="D101" s="129">
        <v>2014</v>
      </c>
      <c r="E101" s="129" t="s">
        <v>273</v>
      </c>
      <c r="F101" s="129" t="s">
        <v>322</v>
      </c>
      <c r="G101" s="129" t="s">
        <v>226</v>
      </c>
      <c r="H101" s="129">
        <v>0</v>
      </c>
      <c r="I101" s="129">
        <v>700</v>
      </c>
      <c r="J101" s="129">
        <v>500</v>
      </c>
      <c r="K101" s="129" t="s">
        <v>48</v>
      </c>
      <c r="L101" s="129" t="s">
        <v>239</v>
      </c>
      <c r="N101" s="129">
        <v>8860000</v>
      </c>
      <c r="O101" s="130">
        <v>71</v>
      </c>
      <c r="P101" s="130">
        <v>7</v>
      </c>
      <c r="Q101" s="130">
        <v>16</v>
      </c>
      <c r="R101" s="130">
        <v>3</v>
      </c>
      <c r="S101" s="130">
        <v>0.5</v>
      </c>
      <c r="T101" s="130">
        <v>0.2</v>
      </c>
      <c r="U101" s="130">
        <v>0.8</v>
      </c>
      <c r="V101" s="130">
        <v>0.17</v>
      </c>
      <c r="W101" s="130">
        <v>0.18</v>
      </c>
      <c r="X101" s="130">
        <v>1</v>
      </c>
      <c r="Y101" s="130">
        <v>0.08</v>
      </c>
      <c r="Z101" s="130">
        <v>0.35</v>
      </c>
      <c r="AA101" s="130"/>
      <c r="AB101" s="130"/>
      <c r="AC101" s="130"/>
      <c r="AD101" s="130"/>
      <c r="AE101" s="130"/>
      <c r="AF101" s="130"/>
      <c r="AG101" s="130"/>
      <c r="AH101" s="130"/>
      <c r="AI101" s="130"/>
      <c r="AJ101" s="130"/>
      <c r="AK101" s="130"/>
      <c r="AL101" s="130"/>
      <c r="AM101" s="130">
        <f t="shared" si="25"/>
        <v>73.616065298412209</v>
      </c>
      <c r="AN101" s="130">
        <f t="shared" si="26"/>
        <v>8.1916815023149212</v>
      </c>
      <c r="AO101" s="130">
        <f t="shared" si="27"/>
        <v>10.146309488962684</v>
      </c>
      <c r="AP101" s="130">
        <f t="shared" si="28"/>
        <v>3.268710357746841</v>
      </c>
      <c r="AQ101" s="130">
        <f t="shared" si="29"/>
        <v>0.16553996507087509</v>
      </c>
      <c r="AR101" s="130">
        <f t="shared" si="30"/>
        <v>0.20652466030902325</v>
      </c>
      <c r="AS101" s="130">
        <f t="shared" si="31"/>
        <v>0.88609379191923843</v>
      </c>
      <c r="AT101" s="130">
        <f t="shared" si="32"/>
        <v>0.38342933644214711</v>
      </c>
      <c r="AU101" s="130">
        <f t="shared" si="33"/>
        <v>0.22881655334885451</v>
      </c>
      <c r="AV101" s="130">
        <f t="shared" si="34"/>
        <v>2.1663400199378318</v>
      </c>
      <c r="AW101" s="130">
        <f t="shared" si="35"/>
        <v>0.40534548649494556</v>
      </c>
      <c r="AX101" s="130">
        <f t="shared" si="36"/>
        <v>0.33514353904042166</v>
      </c>
      <c r="AY101" s="130">
        <f t="shared" si="37"/>
        <v>0</v>
      </c>
      <c r="AZ101" s="130">
        <f t="shared" si="38"/>
        <v>0</v>
      </c>
      <c r="BA101" s="130">
        <f t="shared" si="39"/>
        <v>0</v>
      </c>
      <c r="BB101" s="130">
        <f t="shared" si="40"/>
        <v>0</v>
      </c>
      <c r="BC101" s="130">
        <f t="shared" si="41"/>
        <v>0</v>
      </c>
      <c r="BD101" s="130">
        <f t="shared" si="42"/>
        <v>0</v>
      </c>
      <c r="BE101" s="130">
        <f t="shared" si="43"/>
        <v>0</v>
      </c>
      <c r="BF101" s="130">
        <f t="shared" si="44"/>
        <v>0</v>
      </c>
      <c r="BG101" s="130">
        <f t="shared" si="45"/>
        <v>0</v>
      </c>
      <c r="BH101" s="130">
        <f t="shared" si="46"/>
        <v>0</v>
      </c>
      <c r="BI101" s="130">
        <f t="shared" si="47"/>
        <v>0</v>
      </c>
      <c r="BJ101" s="130">
        <f t="shared" si="48"/>
        <v>0</v>
      </c>
      <c r="BK101" s="130">
        <f t="shared" si="49"/>
        <v>-125.16730201123855</v>
      </c>
      <c r="BL101" s="130">
        <f>IF($K101=$L101,$BK101,IF(OR($K101="graphite",$K101="vitreous carbon"),$BK$406+($BM$389+$I101)*$BJ$406,IF($K101="Pyrolytic Boron Nitride","PBN",IF(COUNTIF($BH$396:$BH$416,$K101)&gt;0,VLOOKUP($K101,$BH$396:$BK$416,4,FALSE)+($BM$389+$I101)*VLOOKUP($K101,$BH$396:$BK$416,3,FALSE),IF(COUNTIF($L$2:$L100,$K101)&gt;0,VLOOKUP($K101,$L$2:$BK100,52,FALSE),"idk")))))</f>
        <v>-121.74823772574202</v>
      </c>
      <c r="BM101" s="130">
        <v>20</v>
      </c>
      <c r="BN101" s="130">
        <v>20</v>
      </c>
      <c r="BO101" s="130">
        <v>1</v>
      </c>
      <c r="BP101" s="129" t="s">
        <v>245</v>
      </c>
      <c r="BQ101" s="129" t="s">
        <v>276</v>
      </c>
      <c r="BR101" s="129" t="s">
        <v>247</v>
      </c>
      <c r="BS101" s="129">
        <v>1.91</v>
      </c>
      <c r="BT101" s="129">
        <v>0</v>
      </c>
      <c r="BV101" s="129"/>
      <c r="BZ101" s="129"/>
      <c r="DJ101" s="129">
        <v>0</v>
      </c>
      <c r="DK101" s="129">
        <v>0</v>
      </c>
      <c r="DL101" s="129"/>
      <c r="DO101" s="129">
        <v>-46.4</v>
      </c>
      <c r="DQ101" s="129">
        <v>6202000000000001</v>
      </c>
      <c r="DS101" s="129">
        <v>3</v>
      </c>
      <c r="DU101" s="129" t="s">
        <v>282</v>
      </c>
      <c r="DW101" s="129">
        <f>SUM(_2025_01_07T12_47_export3[[#This Row],[Ni_wt]:[H_wt]])</f>
        <v>100.28</v>
      </c>
      <c r="DY101" s="130">
        <f>SUM($AM101:BJ101)</f>
        <v>100</v>
      </c>
      <c r="FZ101" s="130"/>
      <c r="GA101" s="130"/>
      <c r="GB101" s="130"/>
    </row>
    <row r="102" spans="1:184" ht="16.5" thickBot="1" x14ac:dyDescent="0.3">
      <c r="A102" s="136" t="s">
        <v>324</v>
      </c>
      <c r="B102" s="136">
        <v>110</v>
      </c>
      <c r="C102" s="136" t="s">
        <v>272</v>
      </c>
      <c r="D102" s="136">
        <v>2014</v>
      </c>
      <c r="E102" s="136" t="s">
        <v>273</v>
      </c>
      <c r="F102" s="136" t="s">
        <v>322</v>
      </c>
      <c r="G102" s="136" t="s">
        <v>226</v>
      </c>
      <c r="H102" s="136">
        <v>0</v>
      </c>
      <c r="I102" s="136">
        <v>700</v>
      </c>
      <c r="J102" s="136">
        <v>1000</v>
      </c>
      <c r="K102" s="136" t="s">
        <v>48</v>
      </c>
      <c r="L102" s="136" t="s">
        <v>239</v>
      </c>
      <c r="M102" s="136"/>
      <c r="N102" s="136">
        <v>8860000</v>
      </c>
      <c r="O102" s="137">
        <v>71</v>
      </c>
      <c r="P102" s="137">
        <v>7</v>
      </c>
      <c r="Q102" s="137">
        <v>16</v>
      </c>
      <c r="R102" s="137">
        <v>3</v>
      </c>
      <c r="S102" s="137">
        <v>0.5</v>
      </c>
      <c r="T102" s="137">
        <v>0.2</v>
      </c>
      <c r="U102" s="137">
        <v>0.8</v>
      </c>
      <c r="V102" s="137">
        <v>0.17</v>
      </c>
      <c r="W102" s="137">
        <v>0.18</v>
      </c>
      <c r="X102" s="137">
        <v>1</v>
      </c>
      <c r="Y102" s="137">
        <v>0.08</v>
      </c>
      <c r="Z102" s="137">
        <v>0.35</v>
      </c>
      <c r="AA102" s="137"/>
      <c r="AB102" s="137"/>
      <c r="AC102" s="137"/>
      <c r="AD102" s="137"/>
      <c r="AE102" s="137"/>
      <c r="AF102" s="137"/>
      <c r="AG102" s="137"/>
      <c r="AH102" s="137"/>
      <c r="AI102" s="137"/>
      <c r="AJ102" s="137"/>
      <c r="AK102" s="137"/>
      <c r="AL102" s="137"/>
      <c r="AM102" s="137">
        <f t="shared" si="25"/>
        <v>73.616065298412209</v>
      </c>
      <c r="AN102" s="137">
        <f t="shared" si="26"/>
        <v>8.1916815023149212</v>
      </c>
      <c r="AO102" s="137">
        <f t="shared" si="27"/>
        <v>10.146309488962684</v>
      </c>
      <c r="AP102" s="137">
        <f t="shared" si="28"/>
        <v>3.268710357746841</v>
      </c>
      <c r="AQ102" s="137">
        <f t="shared" si="29"/>
        <v>0.16553996507087509</v>
      </c>
      <c r="AR102" s="137">
        <f t="shared" si="30"/>
        <v>0.20652466030902325</v>
      </c>
      <c r="AS102" s="137">
        <f t="shared" si="31"/>
        <v>0.88609379191923843</v>
      </c>
      <c r="AT102" s="137">
        <f t="shared" si="32"/>
        <v>0.38342933644214711</v>
      </c>
      <c r="AU102" s="137">
        <f t="shared" si="33"/>
        <v>0.22881655334885451</v>
      </c>
      <c r="AV102" s="137">
        <f t="shared" si="34"/>
        <v>2.1663400199378318</v>
      </c>
      <c r="AW102" s="137">
        <f t="shared" si="35"/>
        <v>0.40534548649494556</v>
      </c>
      <c r="AX102" s="137">
        <f t="shared" si="36"/>
        <v>0.33514353904042166</v>
      </c>
      <c r="AY102" s="137">
        <f t="shared" si="37"/>
        <v>0</v>
      </c>
      <c r="AZ102" s="137">
        <f t="shared" si="38"/>
        <v>0</v>
      </c>
      <c r="BA102" s="137">
        <f t="shared" si="39"/>
        <v>0</v>
      </c>
      <c r="BB102" s="137">
        <f t="shared" si="40"/>
        <v>0</v>
      </c>
      <c r="BC102" s="137">
        <f t="shared" si="41"/>
        <v>0</v>
      </c>
      <c r="BD102" s="137">
        <f t="shared" si="42"/>
        <v>0</v>
      </c>
      <c r="BE102" s="137">
        <f t="shared" si="43"/>
        <v>0</v>
      </c>
      <c r="BF102" s="137">
        <f t="shared" si="44"/>
        <v>0</v>
      </c>
      <c r="BG102" s="137">
        <f t="shared" si="45"/>
        <v>0</v>
      </c>
      <c r="BH102" s="137">
        <f t="shared" si="46"/>
        <v>0</v>
      </c>
      <c r="BI102" s="137">
        <f t="shared" si="47"/>
        <v>0</v>
      </c>
      <c r="BJ102" s="137">
        <f t="shared" si="48"/>
        <v>0</v>
      </c>
      <c r="BK102" s="137">
        <f t="shared" si="49"/>
        <v>-125.16730201123855</v>
      </c>
      <c r="BL102" s="137">
        <f>IF($K102=$L102,$BK102,IF(OR($K102="graphite",$K102="vitreous carbon"),$BK$406+($BM$389+$I102)*$BJ$406,IF($K102="Pyrolytic Boron Nitride","PBN",IF(COUNTIF($BH$396:$BH$416,$K102)&gt;0,VLOOKUP($K102,$BH$396:$BK$416,4,FALSE)+($BM$389+$I102)*VLOOKUP($K102,$BH$396:$BK$416,3,FALSE),IF(COUNTIF($L$2:$L101,$K102)&gt;0,VLOOKUP($K102,$L$2:$BK101,52,FALSE),"idk")))))</f>
        <v>-121.74823772574202</v>
      </c>
      <c r="BM102" s="137">
        <v>20</v>
      </c>
      <c r="BN102" s="137">
        <v>20</v>
      </c>
      <c r="BO102" s="137">
        <v>1</v>
      </c>
      <c r="BP102" s="136" t="s">
        <v>245</v>
      </c>
      <c r="BQ102" s="136" t="s">
        <v>276</v>
      </c>
      <c r="BR102" s="136" t="s">
        <v>247</v>
      </c>
      <c r="BS102" s="136">
        <v>1.91</v>
      </c>
      <c r="BT102" s="136">
        <v>0</v>
      </c>
      <c r="BU102" s="136"/>
      <c r="BV102" s="136"/>
      <c r="BW102" s="136"/>
      <c r="BX102" s="136"/>
      <c r="BY102" s="136"/>
      <c r="BZ102" s="136"/>
      <c r="CA102" s="136"/>
      <c r="CB102" s="136"/>
      <c r="CC102" s="136"/>
      <c r="CD102" s="136"/>
      <c r="CE102" s="136"/>
      <c r="CF102" s="136"/>
      <c r="CG102" s="136"/>
      <c r="CH102" s="136"/>
      <c r="CI102" s="136"/>
      <c r="CJ102" s="136"/>
      <c r="CK102" s="136"/>
      <c r="CL102" s="136"/>
      <c r="CM102" s="136"/>
      <c r="CN102" s="136"/>
      <c r="CO102" s="136"/>
      <c r="CP102" s="136"/>
      <c r="CQ102" s="136"/>
      <c r="CR102" s="136"/>
      <c r="CS102" s="136"/>
      <c r="CT102" s="136"/>
      <c r="CU102" s="136"/>
      <c r="CV102" s="136"/>
      <c r="CW102" s="136"/>
      <c r="CX102" s="136"/>
      <c r="CY102" s="136"/>
      <c r="CZ102" s="136"/>
      <c r="DA102" s="136"/>
      <c r="DB102" s="136"/>
      <c r="DC102" s="136"/>
      <c r="DD102" s="136"/>
      <c r="DE102" s="136"/>
      <c r="DF102" s="136"/>
      <c r="DG102" s="136"/>
      <c r="DH102" s="136"/>
      <c r="DI102" s="136"/>
      <c r="DJ102" s="136">
        <v>0</v>
      </c>
      <c r="DK102" s="136">
        <v>0</v>
      </c>
      <c r="DL102" s="136"/>
      <c r="DM102" s="136"/>
      <c r="DN102" s="136"/>
      <c r="DO102" s="136">
        <v>-55.2</v>
      </c>
      <c r="DP102" s="136"/>
      <c r="DQ102" s="136">
        <v>6202000000000001</v>
      </c>
      <c r="DR102" s="136"/>
      <c r="DS102" s="136">
        <v>3</v>
      </c>
      <c r="DT102" s="136"/>
      <c r="DU102" s="136" t="s">
        <v>282</v>
      </c>
      <c r="DW102" s="129">
        <f>SUM(_2025_01_07T12_47_export3[[#This Row],[Ni_wt]:[H_wt]])</f>
        <v>100.28</v>
      </c>
      <c r="DY102" s="130">
        <f>SUM($AM102:BJ102)</f>
        <v>100</v>
      </c>
    </row>
    <row r="103" spans="1:184" x14ac:dyDescent="0.25">
      <c r="A103" s="129" t="s">
        <v>325</v>
      </c>
      <c r="B103" s="129">
        <v>111</v>
      </c>
      <c r="C103" s="129" t="s">
        <v>244</v>
      </c>
      <c r="D103" s="129">
        <v>2020</v>
      </c>
      <c r="E103" s="129" t="s">
        <v>326</v>
      </c>
      <c r="F103" s="129" t="s">
        <v>327</v>
      </c>
      <c r="G103" s="129" t="s">
        <v>226</v>
      </c>
      <c r="H103" s="129">
        <v>0</v>
      </c>
      <c r="I103" s="129">
        <v>700</v>
      </c>
      <c r="J103" s="129">
        <v>50</v>
      </c>
      <c r="K103" s="129" t="s">
        <v>48</v>
      </c>
      <c r="L103" s="129" t="s">
        <v>227</v>
      </c>
      <c r="N103" s="129">
        <v>7980000</v>
      </c>
      <c r="O103" s="130">
        <v>10.035</v>
      </c>
      <c r="P103" s="130">
        <v>16.7135</v>
      </c>
      <c r="Q103" s="130">
        <v>2.0314999999999999</v>
      </c>
      <c r="R103" s="130">
        <f>100-SUM(_2025_01_07T12_47_export3[[#This Row],[Ni_wt]:[Mo_wt]],_2025_01_07T12_47_export3[[#This Row],[W_wt]:[H_wt]])</f>
        <v>69.085700000000003</v>
      </c>
      <c r="S103" s="130"/>
      <c r="T103" s="130"/>
      <c r="U103" s="130">
        <v>1.2395</v>
      </c>
      <c r="V103" s="130"/>
      <c r="W103" s="130"/>
      <c r="X103" s="130">
        <v>0.32900000000000001</v>
      </c>
      <c r="Y103" s="130">
        <v>2.5600000000000001E-2</v>
      </c>
      <c r="Z103" s="130">
        <v>0.45450000000000002</v>
      </c>
      <c r="AA103" s="130"/>
      <c r="AB103" s="130"/>
      <c r="AC103" s="130">
        <v>2.9499999999999998E-2</v>
      </c>
      <c r="AD103" s="130">
        <v>1E-3</v>
      </c>
      <c r="AE103" s="130"/>
      <c r="AF103" s="130"/>
      <c r="AG103" s="130"/>
      <c r="AH103" s="130"/>
      <c r="AI103" s="130"/>
      <c r="AJ103" s="130">
        <v>5.5199999999999999E-2</v>
      </c>
      <c r="AK103" s="130"/>
      <c r="AL103" s="130"/>
      <c r="AM103" s="130">
        <f t="shared" si="25"/>
        <v>9.5041637692188754</v>
      </c>
      <c r="AN103" s="130">
        <f t="shared" si="26"/>
        <v>17.865892065261811</v>
      </c>
      <c r="AO103" s="130">
        <f t="shared" si="27"/>
        <v>1.1767581944195717</v>
      </c>
      <c r="AP103" s="130">
        <f t="shared" si="28"/>
        <v>68.758378883601026</v>
      </c>
      <c r="AQ103" s="130">
        <f t="shared" si="29"/>
        <v>0</v>
      </c>
      <c r="AR103" s="130">
        <f t="shared" si="30"/>
        <v>0</v>
      </c>
      <c r="AS103" s="130">
        <f t="shared" si="31"/>
        <v>1.2540605897512282</v>
      </c>
      <c r="AT103" s="130">
        <f t="shared" si="32"/>
        <v>0</v>
      </c>
      <c r="AU103" s="130">
        <f t="shared" si="33"/>
        <v>0</v>
      </c>
      <c r="AV103" s="130">
        <f t="shared" si="34"/>
        <v>0.65103569781125603</v>
      </c>
      <c r="AW103" s="130">
        <f t="shared" si="35"/>
        <v>0.11848342552403532</v>
      </c>
      <c r="AX103" s="130">
        <f t="shared" si="36"/>
        <v>0.39753830029079912</v>
      </c>
      <c r="AY103" s="130">
        <f t="shared" si="37"/>
        <v>0</v>
      </c>
      <c r="AZ103" s="130">
        <f t="shared" si="38"/>
        <v>0</v>
      </c>
      <c r="BA103" s="130">
        <f t="shared" si="39"/>
        <v>5.2947011783124394E-2</v>
      </c>
      <c r="BB103" s="130">
        <f t="shared" si="40"/>
        <v>1.7332518959303669E-3</v>
      </c>
      <c r="BC103" s="130">
        <f t="shared" si="41"/>
        <v>0</v>
      </c>
      <c r="BD103" s="130">
        <f t="shared" si="42"/>
        <v>0</v>
      </c>
      <c r="BE103" s="130">
        <f t="shared" si="43"/>
        <v>0</v>
      </c>
      <c r="BF103" s="130">
        <f t="shared" si="44"/>
        <v>0</v>
      </c>
      <c r="BG103" s="130">
        <f t="shared" si="45"/>
        <v>0</v>
      </c>
      <c r="BH103" s="130">
        <f t="shared" si="46"/>
        <v>0.21900881044234655</v>
      </c>
      <c r="BI103" s="130">
        <f t="shared" si="47"/>
        <v>0</v>
      </c>
      <c r="BJ103" s="130">
        <f t="shared" si="48"/>
        <v>0</v>
      </c>
      <c r="BK103" s="130">
        <f t="shared" si="49"/>
        <v>-137.12067453144158</v>
      </c>
      <c r="BL103" s="130">
        <f>IF($K103=$L103,$BK103,IF(OR($K103="graphite",$K103="vitreous carbon"),$BK$406+($BM$389+$I103)*$BJ$406,IF($K103="Pyrolytic Boron Nitride","PBN",IF(COUNTIF($BH$396:$BH$416,$K103)&gt;0,VLOOKUP($K103,$BH$396:$BK$416,4,FALSE)+($BM$389+$I103)*VLOOKUP($K103,$BH$396:$BK$416,3,FALSE),IF(COUNTIF($L$2:$L102,$K103)&gt;0,VLOOKUP($K103,$L$2:$BK102,52,FALSE),"idk")))))</f>
        <v>-121.74823772574202</v>
      </c>
      <c r="BM103" s="130">
        <v>20</v>
      </c>
      <c r="BN103" s="130">
        <v>10</v>
      </c>
      <c r="BO103" s="130">
        <v>4.5</v>
      </c>
      <c r="BP103" s="129" t="s">
        <v>245</v>
      </c>
      <c r="BQ103" s="129" t="s">
        <v>246</v>
      </c>
      <c r="BR103" s="129" t="s">
        <v>247</v>
      </c>
      <c r="BS103" s="129"/>
      <c r="BT103" s="129">
        <v>4.8</v>
      </c>
      <c r="BV103" s="129"/>
      <c r="BZ103" s="129"/>
      <c r="DJ103" s="129">
        <v>0</v>
      </c>
      <c r="DK103" s="129">
        <v>0</v>
      </c>
      <c r="DL103" s="129"/>
      <c r="DM103" s="129">
        <v>-82.3</v>
      </c>
      <c r="DQ103" s="129">
        <v>13337373</v>
      </c>
      <c r="DR103" s="129">
        <v>4</v>
      </c>
      <c r="DS103" s="129">
        <v>3</v>
      </c>
      <c r="DT103" s="135" t="s">
        <v>249</v>
      </c>
      <c r="DU103" s="129" t="s">
        <v>856</v>
      </c>
      <c r="DW103" s="129">
        <f>SUM(_2025_01_07T12_47_export3[[#This Row],[Ni_wt]:[H_wt]])</f>
        <v>100</v>
      </c>
      <c r="DY103" s="130">
        <f>SUM($AM103:BJ103)</f>
        <v>100</v>
      </c>
    </row>
    <row r="104" spans="1:184" x14ac:dyDescent="0.25">
      <c r="A104" s="129" t="s">
        <v>325</v>
      </c>
      <c r="B104" s="129">
        <v>112</v>
      </c>
      <c r="C104" s="129" t="s">
        <v>244</v>
      </c>
      <c r="D104" s="129">
        <v>2020</v>
      </c>
      <c r="E104" s="129" t="s">
        <v>326</v>
      </c>
      <c r="F104" s="129" t="s">
        <v>327</v>
      </c>
      <c r="G104" s="129" t="s">
        <v>226</v>
      </c>
      <c r="H104" s="129">
        <v>0</v>
      </c>
      <c r="I104" s="129">
        <v>700</v>
      </c>
      <c r="J104" s="129">
        <v>100</v>
      </c>
      <c r="K104" s="129" t="s">
        <v>48</v>
      </c>
      <c r="L104" s="129" t="s">
        <v>227</v>
      </c>
      <c r="N104" s="129">
        <v>7980000</v>
      </c>
      <c r="O104" s="130">
        <v>10.035</v>
      </c>
      <c r="P104" s="130">
        <v>16.7135</v>
      </c>
      <c r="Q104" s="130">
        <v>2.0314999999999999</v>
      </c>
      <c r="R104" s="130">
        <f>100-SUM(_2025_01_07T12_47_export3[[#This Row],[Ni_wt]:[Mo_wt]],_2025_01_07T12_47_export3[[#This Row],[W_wt]:[H_wt]])</f>
        <v>69.085700000000003</v>
      </c>
      <c r="S104" s="130"/>
      <c r="T104" s="130"/>
      <c r="U104" s="130">
        <v>1.2395</v>
      </c>
      <c r="V104" s="130"/>
      <c r="W104" s="130"/>
      <c r="X104" s="130">
        <v>0.32900000000000001</v>
      </c>
      <c r="Y104" s="130">
        <v>2.5600000000000001E-2</v>
      </c>
      <c r="Z104" s="130">
        <v>0.45450000000000002</v>
      </c>
      <c r="AA104" s="130"/>
      <c r="AB104" s="130"/>
      <c r="AC104" s="130">
        <v>2.9499999999999998E-2</v>
      </c>
      <c r="AD104" s="130">
        <v>1E-3</v>
      </c>
      <c r="AE104" s="130"/>
      <c r="AF104" s="130"/>
      <c r="AG104" s="130"/>
      <c r="AH104" s="130"/>
      <c r="AI104" s="130"/>
      <c r="AJ104" s="130">
        <v>5.5199999999999999E-2</v>
      </c>
      <c r="AK104" s="130"/>
      <c r="AL104" s="130"/>
      <c r="AM104" s="130">
        <f t="shared" si="25"/>
        <v>9.5041637692188754</v>
      </c>
      <c r="AN104" s="130">
        <f t="shared" si="26"/>
        <v>17.865892065261811</v>
      </c>
      <c r="AO104" s="130">
        <f t="shared" si="27"/>
        <v>1.1767581944195717</v>
      </c>
      <c r="AP104" s="130">
        <f t="shared" si="28"/>
        <v>68.758378883601026</v>
      </c>
      <c r="AQ104" s="130">
        <f t="shared" si="29"/>
        <v>0</v>
      </c>
      <c r="AR104" s="130">
        <f t="shared" si="30"/>
        <v>0</v>
      </c>
      <c r="AS104" s="130">
        <f t="shared" si="31"/>
        <v>1.2540605897512282</v>
      </c>
      <c r="AT104" s="130">
        <f t="shared" si="32"/>
        <v>0</v>
      </c>
      <c r="AU104" s="130">
        <f t="shared" si="33"/>
        <v>0</v>
      </c>
      <c r="AV104" s="130">
        <f t="shared" si="34"/>
        <v>0.65103569781125603</v>
      </c>
      <c r="AW104" s="130">
        <f t="shared" si="35"/>
        <v>0.11848342552403532</v>
      </c>
      <c r="AX104" s="130">
        <f t="shared" si="36"/>
        <v>0.39753830029079912</v>
      </c>
      <c r="AY104" s="130">
        <f t="shared" si="37"/>
        <v>0</v>
      </c>
      <c r="AZ104" s="130">
        <f t="shared" si="38"/>
        <v>0</v>
      </c>
      <c r="BA104" s="130">
        <f t="shared" si="39"/>
        <v>5.2947011783124394E-2</v>
      </c>
      <c r="BB104" s="130">
        <f t="shared" si="40"/>
        <v>1.7332518959303669E-3</v>
      </c>
      <c r="BC104" s="130">
        <f t="shared" si="41"/>
        <v>0</v>
      </c>
      <c r="BD104" s="130">
        <f t="shared" si="42"/>
        <v>0</v>
      </c>
      <c r="BE104" s="130">
        <f t="shared" si="43"/>
        <v>0</v>
      </c>
      <c r="BF104" s="130">
        <f t="shared" si="44"/>
        <v>0</v>
      </c>
      <c r="BG104" s="130">
        <f t="shared" si="45"/>
        <v>0</v>
      </c>
      <c r="BH104" s="130">
        <f t="shared" si="46"/>
        <v>0.21900881044234655</v>
      </c>
      <c r="BI104" s="130">
        <f t="shared" si="47"/>
        <v>0</v>
      </c>
      <c r="BJ104" s="130">
        <f t="shared" si="48"/>
        <v>0</v>
      </c>
      <c r="BK104" s="130">
        <f t="shared" si="49"/>
        <v>-137.12067453144158</v>
      </c>
      <c r="BL104" s="130">
        <f>IF($K104=$L104,$BK104,IF(OR($K104="graphite",$K104="vitreous carbon"),$BK$406+($BM$389+$I104)*$BJ$406,IF($K104="Pyrolytic Boron Nitride","PBN",IF(COUNTIF($BH$396:$BH$416,$K104)&gt;0,VLOOKUP($K104,$BH$396:$BK$416,4,FALSE)+($BM$389+$I104)*VLOOKUP($K104,$BH$396:$BK$416,3,FALSE),IF(COUNTIF($L$2:$L103,$K104)&gt;0,VLOOKUP($K104,$L$2:$BK103,52,FALSE),"idk")))))</f>
        <v>-121.74823772574202</v>
      </c>
      <c r="BM104" s="130">
        <v>20</v>
      </c>
      <c r="BN104" s="130">
        <v>10</v>
      </c>
      <c r="BO104" s="130">
        <v>4.5</v>
      </c>
      <c r="BP104" s="129" t="s">
        <v>245</v>
      </c>
      <c r="BQ104" s="129" t="s">
        <v>246</v>
      </c>
      <c r="BR104" s="129" t="s">
        <v>247</v>
      </c>
      <c r="BS104" s="129"/>
      <c r="BT104" s="129">
        <v>4.8</v>
      </c>
      <c r="BV104" s="129"/>
      <c r="BZ104" s="129"/>
      <c r="DJ104" s="129">
        <v>0</v>
      </c>
      <c r="DK104" s="129">
        <v>0</v>
      </c>
      <c r="DL104" s="129"/>
      <c r="DM104" s="129">
        <v>-90</v>
      </c>
      <c r="DQ104" s="129">
        <v>13337373</v>
      </c>
      <c r="DR104" s="129">
        <v>4</v>
      </c>
      <c r="DS104" s="129">
        <v>3</v>
      </c>
      <c r="DU104" s="129" t="s">
        <v>856</v>
      </c>
      <c r="DW104" s="129">
        <f>SUM(_2025_01_07T12_47_export3[[#This Row],[Ni_wt]:[H_wt]])</f>
        <v>100</v>
      </c>
      <c r="DY104" s="130">
        <f>SUM($AM104:BJ104)</f>
        <v>100</v>
      </c>
    </row>
    <row r="105" spans="1:184" x14ac:dyDescent="0.25">
      <c r="A105" s="129" t="s">
        <v>325</v>
      </c>
      <c r="B105" s="129">
        <v>113</v>
      </c>
      <c r="C105" s="129" t="s">
        <v>244</v>
      </c>
      <c r="D105" s="129">
        <v>2020</v>
      </c>
      <c r="E105" s="129" t="s">
        <v>326</v>
      </c>
      <c r="F105" s="129" t="s">
        <v>327</v>
      </c>
      <c r="G105" s="129" t="s">
        <v>226</v>
      </c>
      <c r="H105" s="129">
        <v>0</v>
      </c>
      <c r="I105" s="129">
        <v>700</v>
      </c>
      <c r="J105" s="129">
        <v>150</v>
      </c>
      <c r="K105" s="129" t="s">
        <v>48</v>
      </c>
      <c r="L105" s="129" t="s">
        <v>227</v>
      </c>
      <c r="N105" s="129">
        <v>7980000</v>
      </c>
      <c r="O105" s="130">
        <v>10.035</v>
      </c>
      <c r="P105" s="130">
        <v>16.7135</v>
      </c>
      <c r="Q105" s="130">
        <v>2.0314999999999999</v>
      </c>
      <c r="R105" s="130">
        <f>100-SUM(_2025_01_07T12_47_export3[[#This Row],[Ni_wt]:[Mo_wt]],_2025_01_07T12_47_export3[[#This Row],[W_wt]:[H_wt]])</f>
        <v>69.085700000000003</v>
      </c>
      <c r="S105" s="130"/>
      <c r="T105" s="130"/>
      <c r="U105" s="130">
        <v>1.2395</v>
      </c>
      <c r="V105" s="130"/>
      <c r="W105" s="130"/>
      <c r="X105" s="130">
        <v>0.32900000000000001</v>
      </c>
      <c r="Y105" s="130">
        <v>2.5600000000000001E-2</v>
      </c>
      <c r="Z105" s="130">
        <v>0.45450000000000002</v>
      </c>
      <c r="AA105" s="130"/>
      <c r="AB105" s="130"/>
      <c r="AC105" s="130">
        <v>2.9499999999999998E-2</v>
      </c>
      <c r="AD105" s="130">
        <v>1E-3</v>
      </c>
      <c r="AE105" s="130"/>
      <c r="AF105" s="130"/>
      <c r="AG105" s="130"/>
      <c r="AH105" s="130"/>
      <c r="AI105" s="130"/>
      <c r="AJ105" s="130">
        <v>5.5199999999999999E-2</v>
      </c>
      <c r="AK105" s="130"/>
      <c r="AL105" s="130"/>
      <c r="AM105" s="130">
        <f t="shared" si="25"/>
        <v>9.5041637692188754</v>
      </c>
      <c r="AN105" s="130">
        <f t="shared" si="26"/>
        <v>17.865892065261811</v>
      </c>
      <c r="AO105" s="130">
        <f t="shared" si="27"/>
        <v>1.1767581944195717</v>
      </c>
      <c r="AP105" s="130">
        <f t="shared" si="28"/>
        <v>68.758378883601026</v>
      </c>
      <c r="AQ105" s="130">
        <f t="shared" si="29"/>
        <v>0</v>
      </c>
      <c r="AR105" s="130">
        <f t="shared" si="30"/>
        <v>0</v>
      </c>
      <c r="AS105" s="130">
        <f t="shared" si="31"/>
        <v>1.2540605897512282</v>
      </c>
      <c r="AT105" s="130">
        <f t="shared" si="32"/>
        <v>0</v>
      </c>
      <c r="AU105" s="130">
        <f t="shared" si="33"/>
        <v>0</v>
      </c>
      <c r="AV105" s="130">
        <f t="shared" si="34"/>
        <v>0.65103569781125603</v>
      </c>
      <c r="AW105" s="130">
        <f t="shared" si="35"/>
        <v>0.11848342552403532</v>
      </c>
      <c r="AX105" s="130">
        <f t="shared" si="36"/>
        <v>0.39753830029079912</v>
      </c>
      <c r="AY105" s="130">
        <f t="shared" si="37"/>
        <v>0</v>
      </c>
      <c r="AZ105" s="130">
        <f t="shared" si="38"/>
        <v>0</v>
      </c>
      <c r="BA105" s="130">
        <f t="shared" si="39"/>
        <v>5.2947011783124394E-2</v>
      </c>
      <c r="BB105" s="130">
        <f t="shared" si="40"/>
        <v>1.7332518959303669E-3</v>
      </c>
      <c r="BC105" s="130">
        <f t="shared" si="41"/>
        <v>0</v>
      </c>
      <c r="BD105" s="130">
        <f t="shared" si="42"/>
        <v>0</v>
      </c>
      <c r="BE105" s="130">
        <f t="shared" si="43"/>
        <v>0</v>
      </c>
      <c r="BF105" s="130">
        <f t="shared" si="44"/>
        <v>0</v>
      </c>
      <c r="BG105" s="130">
        <f t="shared" si="45"/>
        <v>0</v>
      </c>
      <c r="BH105" s="130">
        <f t="shared" si="46"/>
        <v>0.21900881044234655</v>
      </c>
      <c r="BI105" s="130">
        <f t="shared" si="47"/>
        <v>0</v>
      </c>
      <c r="BJ105" s="130">
        <f t="shared" si="48"/>
        <v>0</v>
      </c>
      <c r="BK105" s="130">
        <f t="shared" si="49"/>
        <v>-137.12067453144158</v>
      </c>
      <c r="BL105" s="130">
        <f>IF($K105=$L105,$BK105,IF(OR($K105="graphite",$K105="vitreous carbon"),$BK$406+($BM$389+$I105)*$BJ$406,IF($K105="Pyrolytic Boron Nitride","PBN",IF(COUNTIF($BH$396:$BH$416,$K105)&gt;0,VLOOKUP($K105,$BH$396:$BK$416,4,FALSE)+($BM$389+$I105)*VLOOKUP($K105,$BH$396:$BK$416,3,FALSE),IF(COUNTIF($L$2:$L104,$K105)&gt;0,VLOOKUP($K105,$L$2:$BK104,52,FALSE),"idk")))))</f>
        <v>-121.74823772574202</v>
      </c>
      <c r="BM105" s="130">
        <v>20</v>
      </c>
      <c r="BN105" s="130">
        <v>10</v>
      </c>
      <c r="BO105" s="130">
        <v>4.5</v>
      </c>
      <c r="BP105" s="129" t="s">
        <v>245</v>
      </c>
      <c r="BQ105" s="129" t="s">
        <v>246</v>
      </c>
      <c r="BR105" s="129" t="s">
        <v>247</v>
      </c>
      <c r="BS105" s="129"/>
      <c r="BT105" s="129">
        <v>4.8</v>
      </c>
      <c r="BV105" s="129"/>
      <c r="BZ105" s="129"/>
      <c r="DJ105" s="129">
        <v>0</v>
      </c>
      <c r="DK105" s="129">
        <v>0</v>
      </c>
      <c r="DL105" s="129"/>
      <c r="DM105" s="129">
        <v>-100</v>
      </c>
      <c r="DQ105" s="129">
        <v>13337373</v>
      </c>
      <c r="DR105" s="129">
        <v>5</v>
      </c>
      <c r="DS105" s="129">
        <v>3</v>
      </c>
      <c r="DU105" s="129" t="s">
        <v>856</v>
      </c>
      <c r="DW105" s="129">
        <f>SUM(_2025_01_07T12_47_export3[[#This Row],[Ni_wt]:[H_wt]])</f>
        <v>100</v>
      </c>
      <c r="DY105" s="130">
        <f>SUM($AM105:BJ105)</f>
        <v>100</v>
      </c>
    </row>
    <row r="106" spans="1:184" x14ac:dyDescent="0.25">
      <c r="A106" s="129" t="s">
        <v>328</v>
      </c>
      <c r="B106" s="129">
        <v>114</v>
      </c>
      <c r="C106" s="129" t="s">
        <v>244</v>
      </c>
      <c r="D106" s="129">
        <v>2020</v>
      </c>
      <c r="E106" s="129" t="s">
        <v>326</v>
      </c>
      <c r="F106" s="129" t="s">
        <v>327</v>
      </c>
      <c r="G106" s="129" t="s">
        <v>226</v>
      </c>
      <c r="H106" s="129">
        <v>0</v>
      </c>
      <c r="I106" s="129">
        <v>700</v>
      </c>
      <c r="J106" s="129">
        <v>50</v>
      </c>
      <c r="K106" s="129" t="s">
        <v>48</v>
      </c>
      <c r="L106" s="129" t="s">
        <v>239</v>
      </c>
      <c r="N106" s="129">
        <v>8860000</v>
      </c>
      <c r="O106" s="130">
        <f>100-SUM(_2025_01_07T12_47_export3[[#This Row],[Cr_wt]:[H_wt]])</f>
        <v>70.5</v>
      </c>
      <c r="P106" s="130">
        <v>6.96</v>
      </c>
      <c r="Q106" s="130">
        <v>16.91</v>
      </c>
      <c r="R106" s="130">
        <v>4.24</v>
      </c>
      <c r="S106" s="130">
        <v>0.1</v>
      </c>
      <c r="T106" s="130">
        <v>0.1</v>
      </c>
      <c r="U106" s="130">
        <v>0.51</v>
      </c>
      <c r="V106" s="130">
        <v>0.14000000000000001</v>
      </c>
      <c r="W106" s="130">
        <v>0.14000000000000001</v>
      </c>
      <c r="X106" s="130">
        <v>0.27</v>
      </c>
      <c r="Y106" s="130">
        <v>0.06</v>
      </c>
      <c r="Z106" s="130">
        <v>0.06</v>
      </c>
      <c r="AA106" s="130"/>
      <c r="AB106" s="130"/>
      <c r="AC106" s="130">
        <v>2E-3</v>
      </c>
      <c r="AD106" s="130">
        <v>2E-3</v>
      </c>
      <c r="AE106" s="130">
        <v>6.0000000000000001E-3</v>
      </c>
      <c r="AF106" s="130"/>
      <c r="AG106" s="130"/>
      <c r="AH106" s="130"/>
      <c r="AI106" s="130"/>
      <c r="AJ106" s="130"/>
      <c r="AK106" s="130"/>
      <c r="AL106" s="130"/>
      <c r="AM106" s="130">
        <f t="shared" si="25"/>
        <v>74.009037145608232</v>
      </c>
      <c r="AN106" s="130">
        <f t="shared" si="26"/>
        <v>8.2464236538262945</v>
      </c>
      <c r="AO106" s="130">
        <f t="shared" si="27"/>
        <v>10.857081924824008</v>
      </c>
      <c r="AP106" s="130">
        <f t="shared" si="28"/>
        <v>4.6773775383457883</v>
      </c>
      <c r="AQ106" s="130">
        <f t="shared" si="29"/>
        <v>3.3520789557534375E-2</v>
      </c>
      <c r="AR106" s="130">
        <f t="shared" si="30"/>
        <v>0.10454982387026673</v>
      </c>
      <c r="AS106" s="130">
        <f t="shared" si="31"/>
        <v>0.57192787978597703</v>
      </c>
      <c r="AT106" s="130">
        <f t="shared" si="32"/>
        <v>0.31970235615065778</v>
      </c>
      <c r="AU106" s="130">
        <f t="shared" si="33"/>
        <v>0.18018737348954977</v>
      </c>
      <c r="AV106" s="130">
        <f t="shared" si="34"/>
        <v>0.59220459330089037</v>
      </c>
      <c r="AW106" s="130">
        <f t="shared" si="35"/>
        <v>0.30779955640340473</v>
      </c>
      <c r="AX106" s="130">
        <f t="shared" si="36"/>
        <v>5.8169514908023467E-2</v>
      </c>
      <c r="AY106" s="130">
        <f t="shared" si="37"/>
        <v>0</v>
      </c>
      <c r="AZ106" s="130">
        <f t="shared" si="38"/>
        <v>0</v>
      </c>
      <c r="BA106" s="130">
        <f t="shared" si="39"/>
        <v>3.9787672719889047E-3</v>
      </c>
      <c r="BB106" s="130">
        <f t="shared" si="40"/>
        <v>3.8422956786247696E-3</v>
      </c>
      <c r="BC106" s="130">
        <f t="shared" si="41"/>
        <v>3.4196786978768649E-2</v>
      </c>
      <c r="BD106" s="130">
        <f t="shared" si="42"/>
        <v>0</v>
      </c>
      <c r="BE106" s="130">
        <f t="shared" si="43"/>
        <v>0</v>
      </c>
      <c r="BF106" s="130">
        <f t="shared" si="44"/>
        <v>0</v>
      </c>
      <c r="BG106" s="130">
        <f t="shared" si="45"/>
        <v>0</v>
      </c>
      <c r="BH106" s="130">
        <f t="shared" si="46"/>
        <v>0</v>
      </c>
      <c r="BI106" s="130">
        <f t="shared" si="47"/>
        <v>0</v>
      </c>
      <c r="BJ106" s="130">
        <f t="shared" si="48"/>
        <v>0</v>
      </c>
      <c r="BK106" s="130">
        <f t="shared" si="49"/>
        <v>-124.55584524236325</v>
      </c>
      <c r="BL106" s="130">
        <f>IF($K106=$L106,$BK106,IF(OR($K106="graphite",$K106="vitreous carbon"),$BK$406+($BM$389+$I106)*$BJ$406,IF($K106="Pyrolytic Boron Nitride","PBN",IF(COUNTIF($BH$396:$BH$416,$K106)&gt;0,VLOOKUP($K106,$BH$396:$BK$416,4,FALSE)+($BM$389+$I106)*VLOOKUP($K106,$BH$396:$BK$416,3,FALSE),IF(COUNTIF($L$2:$L105,$K106)&gt;0,VLOOKUP($K106,$L$2:$BK105,52,FALSE),"idk")))))</f>
        <v>-121.74823772574202</v>
      </c>
      <c r="BM106" s="130">
        <v>20</v>
      </c>
      <c r="BN106" s="130">
        <v>10</v>
      </c>
      <c r="BO106" s="130">
        <v>1.5</v>
      </c>
      <c r="BP106" s="129" t="s">
        <v>245</v>
      </c>
      <c r="BQ106" s="129" t="s">
        <v>246</v>
      </c>
      <c r="BR106" s="129" t="s">
        <v>247</v>
      </c>
      <c r="BS106" s="129"/>
      <c r="BT106" s="129">
        <v>4.8</v>
      </c>
      <c r="BV106" s="129"/>
      <c r="BZ106" s="129"/>
      <c r="DJ106" s="129">
        <v>0</v>
      </c>
      <c r="DK106" s="129">
        <v>0</v>
      </c>
      <c r="DL106" s="129"/>
      <c r="DM106" s="129">
        <v>-24</v>
      </c>
      <c r="DQ106" s="129">
        <v>616656</v>
      </c>
      <c r="DR106" s="129">
        <v>3</v>
      </c>
      <c r="DS106" s="129">
        <v>3</v>
      </c>
      <c r="DU106" s="129" t="s">
        <v>856</v>
      </c>
      <c r="DW106" s="129">
        <f>SUM(_2025_01_07T12_47_export3[[#This Row],[Ni_wt]:[H_wt]])</f>
        <v>99.999999999999972</v>
      </c>
      <c r="DY106" s="130">
        <f>SUM($AM106:BJ106)</f>
        <v>100.00000000000001</v>
      </c>
    </row>
    <row r="107" spans="1:184" x14ac:dyDescent="0.25">
      <c r="A107" s="129" t="s">
        <v>328</v>
      </c>
      <c r="B107" s="129">
        <v>115</v>
      </c>
      <c r="C107" s="129" t="s">
        <v>244</v>
      </c>
      <c r="D107" s="129">
        <v>2020</v>
      </c>
      <c r="E107" s="129" t="s">
        <v>326</v>
      </c>
      <c r="F107" s="129" t="s">
        <v>327</v>
      </c>
      <c r="G107" s="129" t="s">
        <v>226</v>
      </c>
      <c r="H107" s="129">
        <v>0</v>
      </c>
      <c r="I107" s="129">
        <v>700</v>
      </c>
      <c r="J107" s="129">
        <v>100</v>
      </c>
      <c r="K107" s="129" t="s">
        <v>48</v>
      </c>
      <c r="L107" s="129" t="s">
        <v>239</v>
      </c>
      <c r="N107" s="129">
        <v>8860000</v>
      </c>
      <c r="O107" s="130">
        <f>100-SUM(_2025_01_07T12_47_export3[[#This Row],[Cr_wt]:[H_wt]])</f>
        <v>70.5</v>
      </c>
      <c r="P107" s="130">
        <v>6.96</v>
      </c>
      <c r="Q107" s="130">
        <v>16.91</v>
      </c>
      <c r="R107" s="130">
        <v>4.24</v>
      </c>
      <c r="S107" s="130">
        <v>0.1</v>
      </c>
      <c r="T107" s="130">
        <v>0.1</v>
      </c>
      <c r="U107" s="130">
        <v>0.51</v>
      </c>
      <c r="V107" s="130">
        <v>0.14000000000000001</v>
      </c>
      <c r="W107" s="130">
        <v>0.14000000000000001</v>
      </c>
      <c r="X107" s="130">
        <v>0.27</v>
      </c>
      <c r="Y107" s="130">
        <v>0.06</v>
      </c>
      <c r="Z107" s="130">
        <v>0.06</v>
      </c>
      <c r="AA107" s="130"/>
      <c r="AB107" s="130"/>
      <c r="AC107" s="130">
        <v>2E-3</v>
      </c>
      <c r="AD107" s="130">
        <v>2E-3</v>
      </c>
      <c r="AE107" s="130">
        <v>6.0000000000000001E-3</v>
      </c>
      <c r="AF107" s="130"/>
      <c r="AG107" s="130"/>
      <c r="AH107" s="130"/>
      <c r="AI107" s="130"/>
      <c r="AJ107" s="130"/>
      <c r="AK107" s="130"/>
      <c r="AL107" s="130"/>
      <c r="AM107" s="130">
        <f t="shared" si="25"/>
        <v>74.009037145608232</v>
      </c>
      <c r="AN107" s="130">
        <f t="shared" si="26"/>
        <v>8.2464236538262945</v>
      </c>
      <c r="AO107" s="130">
        <f t="shared" si="27"/>
        <v>10.857081924824008</v>
      </c>
      <c r="AP107" s="130">
        <f t="shared" si="28"/>
        <v>4.6773775383457883</v>
      </c>
      <c r="AQ107" s="130">
        <f t="shared" si="29"/>
        <v>3.3520789557534375E-2</v>
      </c>
      <c r="AR107" s="130">
        <f t="shared" si="30"/>
        <v>0.10454982387026673</v>
      </c>
      <c r="AS107" s="130">
        <f t="shared" si="31"/>
        <v>0.57192787978597703</v>
      </c>
      <c r="AT107" s="130">
        <f t="shared" si="32"/>
        <v>0.31970235615065778</v>
      </c>
      <c r="AU107" s="130">
        <f t="shared" si="33"/>
        <v>0.18018737348954977</v>
      </c>
      <c r="AV107" s="130">
        <f t="shared" si="34"/>
        <v>0.59220459330089037</v>
      </c>
      <c r="AW107" s="130">
        <f t="shared" si="35"/>
        <v>0.30779955640340473</v>
      </c>
      <c r="AX107" s="130">
        <f t="shared" si="36"/>
        <v>5.8169514908023467E-2</v>
      </c>
      <c r="AY107" s="130">
        <f t="shared" si="37"/>
        <v>0</v>
      </c>
      <c r="AZ107" s="130">
        <f t="shared" si="38"/>
        <v>0</v>
      </c>
      <c r="BA107" s="130">
        <f t="shared" si="39"/>
        <v>3.9787672719889047E-3</v>
      </c>
      <c r="BB107" s="130">
        <f t="shared" si="40"/>
        <v>3.8422956786247696E-3</v>
      </c>
      <c r="BC107" s="130">
        <f t="shared" si="41"/>
        <v>3.4196786978768649E-2</v>
      </c>
      <c r="BD107" s="130">
        <f t="shared" si="42"/>
        <v>0</v>
      </c>
      <c r="BE107" s="130">
        <f t="shared" si="43"/>
        <v>0</v>
      </c>
      <c r="BF107" s="130">
        <f t="shared" si="44"/>
        <v>0</v>
      </c>
      <c r="BG107" s="130">
        <f t="shared" si="45"/>
        <v>0</v>
      </c>
      <c r="BH107" s="130">
        <f t="shared" si="46"/>
        <v>0</v>
      </c>
      <c r="BI107" s="130">
        <f t="shared" si="47"/>
        <v>0</v>
      </c>
      <c r="BJ107" s="130">
        <f t="shared" si="48"/>
        <v>0</v>
      </c>
      <c r="BK107" s="130">
        <f t="shared" si="49"/>
        <v>-124.55584524236325</v>
      </c>
      <c r="BL107" s="130">
        <f>IF($K107=$L107,$BK107,IF(OR($K107="graphite",$K107="vitreous carbon"),$BK$406+($BM$389+$I107)*$BJ$406,IF($K107="Pyrolytic Boron Nitride","PBN",IF(COUNTIF($BH$396:$BH$416,$K107)&gt;0,VLOOKUP($K107,$BH$396:$BK$416,4,FALSE)+($BM$389+$I107)*VLOOKUP($K107,$BH$396:$BK$416,3,FALSE),IF(COUNTIF($L$2:$L106,$K107)&gt;0,VLOOKUP($K107,$L$2:$BK106,52,FALSE),"idk")))))</f>
        <v>-121.74823772574202</v>
      </c>
      <c r="BM107" s="130">
        <v>20</v>
      </c>
      <c r="BN107" s="130">
        <v>10</v>
      </c>
      <c r="BO107" s="130">
        <v>1.5</v>
      </c>
      <c r="BP107" s="129" t="s">
        <v>245</v>
      </c>
      <c r="BQ107" s="129" t="s">
        <v>246</v>
      </c>
      <c r="BR107" s="129" t="s">
        <v>247</v>
      </c>
      <c r="BS107" s="129"/>
      <c r="BT107" s="129">
        <v>4.8</v>
      </c>
      <c r="BV107" s="129"/>
      <c r="BZ107" s="129"/>
      <c r="DJ107" s="129">
        <v>0</v>
      </c>
      <c r="DK107" s="129">
        <v>0</v>
      </c>
      <c r="DL107" s="129"/>
      <c r="DM107" s="129">
        <v>-27.5</v>
      </c>
      <c r="DQ107" s="129">
        <v>616656</v>
      </c>
      <c r="DR107" s="129">
        <v>3</v>
      </c>
      <c r="DS107" s="129">
        <v>3</v>
      </c>
      <c r="DU107" s="129" t="s">
        <v>856</v>
      </c>
      <c r="DW107" s="129">
        <f>SUM(_2025_01_07T12_47_export3[[#This Row],[Ni_wt]:[H_wt]])</f>
        <v>99.999999999999972</v>
      </c>
      <c r="DY107" s="130">
        <f>SUM($AM107:BJ107)</f>
        <v>100.00000000000001</v>
      </c>
    </row>
    <row r="108" spans="1:184" x14ac:dyDescent="0.25">
      <c r="A108" s="129" t="s">
        <v>328</v>
      </c>
      <c r="B108" s="129">
        <v>116</v>
      </c>
      <c r="C108" s="129" t="s">
        <v>244</v>
      </c>
      <c r="D108" s="129">
        <v>2020</v>
      </c>
      <c r="E108" s="129" t="s">
        <v>326</v>
      </c>
      <c r="F108" s="129" t="s">
        <v>327</v>
      </c>
      <c r="G108" s="129" t="s">
        <v>226</v>
      </c>
      <c r="H108" s="129">
        <v>0</v>
      </c>
      <c r="I108" s="129">
        <v>700</v>
      </c>
      <c r="J108" s="129">
        <v>150</v>
      </c>
      <c r="K108" s="129" t="s">
        <v>48</v>
      </c>
      <c r="L108" s="129" t="s">
        <v>239</v>
      </c>
      <c r="N108" s="129">
        <v>8860000</v>
      </c>
      <c r="O108" s="130">
        <f>100-SUM(_2025_01_07T12_47_export3[[#This Row],[Cr_wt]:[H_wt]])</f>
        <v>70.5</v>
      </c>
      <c r="P108" s="130">
        <v>6.96</v>
      </c>
      <c r="Q108" s="130">
        <v>16.91</v>
      </c>
      <c r="R108" s="130">
        <v>4.24</v>
      </c>
      <c r="S108" s="130">
        <v>0.1</v>
      </c>
      <c r="T108" s="130">
        <v>0.1</v>
      </c>
      <c r="U108" s="130">
        <v>0.51</v>
      </c>
      <c r="V108" s="130">
        <v>0.14000000000000001</v>
      </c>
      <c r="W108" s="130">
        <v>0.14000000000000001</v>
      </c>
      <c r="X108" s="130">
        <v>0.27</v>
      </c>
      <c r="Y108" s="130">
        <v>0.06</v>
      </c>
      <c r="Z108" s="130">
        <v>0.06</v>
      </c>
      <c r="AA108" s="130"/>
      <c r="AB108" s="130"/>
      <c r="AC108" s="130">
        <v>2E-3</v>
      </c>
      <c r="AD108" s="130">
        <v>2E-3</v>
      </c>
      <c r="AE108" s="130">
        <v>6.0000000000000001E-3</v>
      </c>
      <c r="AF108" s="130"/>
      <c r="AG108" s="130"/>
      <c r="AH108" s="130"/>
      <c r="AI108" s="130"/>
      <c r="AJ108" s="130"/>
      <c r="AK108" s="130"/>
      <c r="AL108" s="130"/>
      <c r="AM108" s="130">
        <f t="shared" si="25"/>
        <v>74.009037145608232</v>
      </c>
      <c r="AN108" s="130">
        <f t="shared" si="26"/>
        <v>8.2464236538262945</v>
      </c>
      <c r="AO108" s="130">
        <f t="shared" si="27"/>
        <v>10.857081924824008</v>
      </c>
      <c r="AP108" s="130">
        <f t="shared" si="28"/>
        <v>4.6773775383457883</v>
      </c>
      <c r="AQ108" s="130">
        <f t="shared" si="29"/>
        <v>3.3520789557534375E-2</v>
      </c>
      <c r="AR108" s="130">
        <f t="shared" si="30"/>
        <v>0.10454982387026673</v>
      </c>
      <c r="AS108" s="130">
        <f t="shared" si="31"/>
        <v>0.57192787978597703</v>
      </c>
      <c r="AT108" s="130">
        <f t="shared" si="32"/>
        <v>0.31970235615065778</v>
      </c>
      <c r="AU108" s="130">
        <f t="shared" si="33"/>
        <v>0.18018737348954977</v>
      </c>
      <c r="AV108" s="130">
        <f t="shared" si="34"/>
        <v>0.59220459330089037</v>
      </c>
      <c r="AW108" s="130">
        <f t="shared" si="35"/>
        <v>0.30779955640340473</v>
      </c>
      <c r="AX108" s="130">
        <f t="shared" si="36"/>
        <v>5.8169514908023467E-2</v>
      </c>
      <c r="AY108" s="130">
        <f t="shared" si="37"/>
        <v>0</v>
      </c>
      <c r="AZ108" s="130">
        <f t="shared" si="38"/>
        <v>0</v>
      </c>
      <c r="BA108" s="130">
        <f t="shared" si="39"/>
        <v>3.9787672719889047E-3</v>
      </c>
      <c r="BB108" s="130">
        <f t="shared" si="40"/>
        <v>3.8422956786247696E-3</v>
      </c>
      <c r="BC108" s="130">
        <f t="shared" si="41"/>
        <v>3.4196786978768649E-2</v>
      </c>
      <c r="BD108" s="130">
        <f t="shared" si="42"/>
        <v>0</v>
      </c>
      <c r="BE108" s="130">
        <f t="shared" si="43"/>
        <v>0</v>
      </c>
      <c r="BF108" s="130">
        <f t="shared" si="44"/>
        <v>0</v>
      </c>
      <c r="BG108" s="130">
        <f t="shared" si="45"/>
        <v>0</v>
      </c>
      <c r="BH108" s="130">
        <f t="shared" si="46"/>
        <v>0</v>
      </c>
      <c r="BI108" s="130">
        <f t="shared" si="47"/>
        <v>0</v>
      </c>
      <c r="BJ108" s="130">
        <f t="shared" si="48"/>
        <v>0</v>
      </c>
      <c r="BK108" s="130">
        <f t="shared" si="49"/>
        <v>-124.55584524236325</v>
      </c>
      <c r="BL108" s="130">
        <f>IF($K108=$L108,$BK108,IF(OR($K108="graphite",$K108="vitreous carbon"),$BK$406+($BM$389+$I108)*$BJ$406,IF($K108="Pyrolytic Boron Nitride","PBN",IF(COUNTIF($BH$396:$BH$416,$K108)&gt;0,VLOOKUP($K108,$BH$396:$BK$416,4,FALSE)+($BM$389+$I108)*VLOOKUP($K108,$BH$396:$BK$416,3,FALSE),IF(COUNTIF($L$2:$L107,$K108)&gt;0,VLOOKUP($K108,$L$2:$BK107,52,FALSE),"idk")))))</f>
        <v>-121.74823772574202</v>
      </c>
      <c r="BM108" s="130">
        <v>20</v>
      </c>
      <c r="BN108" s="130">
        <v>10</v>
      </c>
      <c r="BO108" s="130">
        <v>1.5</v>
      </c>
      <c r="BP108" s="129" t="s">
        <v>245</v>
      </c>
      <c r="BQ108" s="129" t="s">
        <v>246</v>
      </c>
      <c r="BR108" s="129" t="s">
        <v>247</v>
      </c>
      <c r="BS108" s="129"/>
      <c r="BT108" s="129">
        <v>4.8</v>
      </c>
      <c r="BV108" s="129"/>
      <c r="BZ108" s="129"/>
      <c r="DJ108" s="129">
        <v>0</v>
      </c>
      <c r="DK108" s="129">
        <v>0</v>
      </c>
      <c r="DL108" s="129"/>
      <c r="DM108" s="129">
        <v>-34</v>
      </c>
      <c r="DQ108" s="129">
        <v>616656</v>
      </c>
      <c r="DR108" s="129">
        <v>4</v>
      </c>
      <c r="DS108" s="129">
        <v>3</v>
      </c>
      <c r="DU108" s="129" t="s">
        <v>856</v>
      </c>
      <c r="DW108" s="129">
        <f>SUM(_2025_01_07T12_47_export3[[#This Row],[Ni_wt]:[H_wt]])</f>
        <v>99.999999999999972</v>
      </c>
      <c r="DY108" s="130">
        <f>SUM($AM108:BJ108)</f>
        <v>100.00000000000001</v>
      </c>
    </row>
    <row r="109" spans="1:184" x14ac:dyDescent="0.25">
      <c r="A109" s="129" t="s">
        <v>329</v>
      </c>
      <c r="B109" s="129">
        <v>117</v>
      </c>
      <c r="C109" s="129" t="s">
        <v>244</v>
      </c>
      <c r="D109" s="129">
        <v>2020</v>
      </c>
      <c r="E109" s="129" t="s">
        <v>326</v>
      </c>
      <c r="F109" s="129" t="s">
        <v>327</v>
      </c>
      <c r="G109" s="129" t="s">
        <v>226</v>
      </c>
      <c r="H109" s="129">
        <v>0</v>
      </c>
      <c r="I109" s="129">
        <v>700</v>
      </c>
      <c r="J109" s="129">
        <v>50</v>
      </c>
      <c r="K109" s="129" t="s">
        <v>48</v>
      </c>
      <c r="L109" s="129" t="s">
        <v>250</v>
      </c>
      <c r="N109" s="129">
        <v>7940000</v>
      </c>
      <c r="O109" s="130">
        <v>31.84</v>
      </c>
      <c r="P109" s="130">
        <v>19.940000000000001</v>
      </c>
      <c r="Q109" s="130"/>
      <c r="R109" s="130">
        <v>45.78</v>
      </c>
      <c r="S109" s="130"/>
      <c r="T109" s="130"/>
      <c r="U109" s="130">
        <v>0.76</v>
      </c>
      <c r="V109" s="130">
        <v>0.47</v>
      </c>
      <c r="W109" s="130">
        <v>0.47</v>
      </c>
      <c r="X109" s="130">
        <v>0.27</v>
      </c>
      <c r="Y109" s="130">
        <v>0.08</v>
      </c>
      <c r="Z109" s="130">
        <v>0.39</v>
      </c>
      <c r="AA109" s="130"/>
      <c r="AB109" s="130"/>
      <c r="AC109" s="130"/>
      <c r="AD109" s="130">
        <v>1E-3</v>
      </c>
      <c r="AE109" s="130"/>
      <c r="AF109" s="130"/>
      <c r="AG109" s="130"/>
      <c r="AH109" s="130"/>
      <c r="AI109" s="130"/>
      <c r="AJ109" s="130"/>
      <c r="AK109" s="130"/>
      <c r="AL109" s="130"/>
      <c r="AM109" s="130">
        <f t="shared" si="25"/>
        <v>29.986568788148585</v>
      </c>
      <c r="AN109" s="130">
        <f t="shared" si="26"/>
        <v>21.195303283362858</v>
      </c>
      <c r="AO109" s="130">
        <f t="shared" si="27"/>
        <v>0</v>
      </c>
      <c r="AP109" s="130">
        <f t="shared" si="28"/>
        <v>45.307535124839411</v>
      </c>
      <c r="AQ109" s="130">
        <f t="shared" si="29"/>
        <v>0</v>
      </c>
      <c r="AR109" s="130">
        <f t="shared" si="30"/>
        <v>0</v>
      </c>
      <c r="AS109" s="130">
        <f t="shared" si="31"/>
        <v>0.76461490930609477</v>
      </c>
      <c r="AT109" s="130">
        <f t="shared" si="32"/>
        <v>0.96288348411689528</v>
      </c>
      <c r="AU109" s="130">
        <f t="shared" si="33"/>
        <v>0.54269054525744387</v>
      </c>
      <c r="AV109" s="130">
        <f t="shared" si="34"/>
        <v>0.53128780806359011</v>
      </c>
      <c r="AW109" s="130">
        <f t="shared" si="35"/>
        <v>0.36818390917460747</v>
      </c>
      <c r="AX109" s="130">
        <f t="shared" si="36"/>
        <v>0.33920861765990246</v>
      </c>
      <c r="AY109" s="130">
        <f t="shared" si="37"/>
        <v>0</v>
      </c>
      <c r="AZ109" s="130">
        <f t="shared" si="38"/>
        <v>0</v>
      </c>
      <c r="BA109" s="130">
        <f t="shared" si="39"/>
        <v>0</v>
      </c>
      <c r="BB109" s="130">
        <f t="shared" si="40"/>
        <v>1.7235300706217008E-3</v>
      </c>
      <c r="BC109" s="130">
        <f t="shared" si="41"/>
        <v>0</v>
      </c>
      <c r="BD109" s="130">
        <f t="shared" si="42"/>
        <v>0</v>
      </c>
      <c r="BE109" s="130">
        <f t="shared" si="43"/>
        <v>0</v>
      </c>
      <c r="BF109" s="130">
        <f t="shared" si="44"/>
        <v>0</v>
      </c>
      <c r="BG109" s="130">
        <f t="shared" si="45"/>
        <v>0</v>
      </c>
      <c r="BH109" s="130">
        <f t="shared" si="46"/>
        <v>0</v>
      </c>
      <c r="BI109" s="130">
        <f t="shared" si="47"/>
        <v>0</v>
      </c>
      <c r="BJ109" s="130">
        <f t="shared" si="48"/>
        <v>0</v>
      </c>
      <c r="BK109" s="130">
        <f t="shared" si="49"/>
        <v>-135.14911813127719</v>
      </c>
      <c r="BL109" s="130">
        <f>IF($K109=$L109,$BK109,IF(OR($K109="graphite",$K109="vitreous carbon"),$BK$406+($BM$389+$I109)*$BJ$406,IF($K109="Pyrolytic Boron Nitride","PBN",IF(COUNTIF($BH$396:$BH$416,$K109)&gt;0,VLOOKUP($K109,$BH$396:$BK$416,4,FALSE)+($BM$389+$I109)*VLOOKUP($K109,$BH$396:$BK$416,3,FALSE),IF(COUNTIF($L$2:$L108,$K109)&gt;0,VLOOKUP($K109,$L$2:$BK108,52,FALSE),"idk")))))</f>
        <v>-121.74823772574202</v>
      </c>
      <c r="BM109" s="130">
        <v>20</v>
      </c>
      <c r="BN109" s="130">
        <v>10</v>
      </c>
      <c r="BO109" s="130">
        <v>3</v>
      </c>
      <c r="BP109" s="129" t="s">
        <v>245</v>
      </c>
      <c r="BQ109" s="129" t="s">
        <v>246</v>
      </c>
      <c r="BR109" s="129" t="s">
        <v>247</v>
      </c>
      <c r="BS109" s="129"/>
      <c r="BT109" s="129">
        <v>4.8</v>
      </c>
      <c r="BV109" s="129"/>
      <c r="BZ109" s="129"/>
      <c r="DJ109" s="129">
        <v>0</v>
      </c>
      <c r="DK109" s="129">
        <v>0</v>
      </c>
      <c r="DL109" s="129"/>
      <c r="DM109" s="129">
        <v>-77</v>
      </c>
      <c r="DQ109" s="129">
        <v>1583236</v>
      </c>
      <c r="DR109" s="129">
        <v>4</v>
      </c>
      <c r="DS109" s="129">
        <v>3</v>
      </c>
      <c r="DU109" s="129" t="s">
        <v>856</v>
      </c>
      <c r="DW109" s="129">
        <f>SUM(_2025_01_07T12_47_export3[[#This Row],[Ni_wt]:[H_wt]])</f>
        <v>100.001</v>
      </c>
      <c r="DY109" s="130">
        <f>SUM($AM109:BJ109)</f>
        <v>100.00000000000001</v>
      </c>
    </row>
    <row r="110" spans="1:184" x14ac:dyDescent="0.25">
      <c r="A110" s="129" t="s">
        <v>329</v>
      </c>
      <c r="B110" s="129">
        <v>118</v>
      </c>
      <c r="C110" s="129" t="s">
        <v>244</v>
      </c>
      <c r="D110" s="129">
        <v>2020</v>
      </c>
      <c r="E110" s="129" t="s">
        <v>326</v>
      </c>
      <c r="F110" s="129" t="s">
        <v>327</v>
      </c>
      <c r="G110" s="129" t="s">
        <v>226</v>
      </c>
      <c r="H110" s="129">
        <v>0</v>
      </c>
      <c r="I110" s="129">
        <v>700</v>
      </c>
      <c r="J110" s="129">
        <v>100</v>
      </c>
      <c r="K110" s="129" t="s">
        <v>48</v>
      </c>
      <c r="L110" s="129" t="s">
        <v>250</v>
      </c>
      <c r="N110" s="129">
        <v>7940000</v>
      </c>
      <c r="O110" s="130">
        <v>31.84</v>
      </c>
      <c r="P110" s="130">
        <v>19.940000000000001</v>
      </c>
      <c r="Q110" s="130"/>
      <c r="R110" s="130">
        <v>45.78</v>
      </c>
      <c r="S110" s="130"/>
      <c r="T110" s="130"/>
      <c r="U110" s="130">
        <v>0.76</v>
      </c>
      <c r="V110" s="130">
        <v>0.47</v>
      </c>
      <c r="W110" s="130">
        <v>0.47</v>
      </c>
      <c r="X110" s="130">
        <v>0.27</v>
      </c>
      <c r="Y110" s="130">
        <v>0.08</v>
      </c>
      <c r="Z110" s="130">
        <v>0.39</v>
      </c>
      <c r="AA110" s="130"/>
      <c r="AB110" s="130"/>
      <c r="AC110" s="130"/>
      <c r="AD110" s="130">
        <v>1E-3</v>
      </c>
      <c r="AE110" s="130"/>
      <c r="AF110" s="130"/>
      <c r="AG110" s="130"/>
      <c r="AH110" s="130"/>
      <c r="AI110" s="130"/>
      <c r="AJ110" s="130"/>
      <c r="AK110" s="130"/>
      <c r="AL110" s="130"/>
      <c r="AM110" s="130">
        <f t="shared" si="25"/>
        <v>29.986568788148585</v>
      </c>
      <c r="AN110" s="130">
        <f t="shared" si="26"/>
        <v>21.195303283362858</v>
      </c>
      <c r="AO110" s="130">
        <f t="shared" si="27"/>
        <v>0</v>
      </c>
      <c r="AP110" s="130">
        <f t="shared" si="28"/>
        <v>45.307535124839411</v>
      </c>
      <c r="AQ110" s="130">
        <f t="shared" si="29"/>
        <v>0</v>
      </c>
      <c r="AR110" s="130">
        <f t="shared" si="30"/>
        <v>0</v>
      </c>
      <c r="AS110" s="130">
        <f t="shared" si="31"/>
        <v>0.76461490930609477</v>
      </c>
      <c r="AT110" s="130">
        <f t="shared" si="32"/>
        <v>0.96288348411689528</v>
      </c>
      <c r="AU110" s="130">
        <f t="shared" si="33"/>
        <v>0.54269054525744387</v>
      </c>
      <c r="AV110" s="130">
        <f t="shared" si="34"/>
        <v>0.53128780806359011</v>
      </c>
      <c r="AW110" s="130">
        <f t="shared" si="35"/>
        <v>0.36818390917460747</v>
      </c>
      <c r="AX110" s="130">
        <f t="shared" si="36"/>
        <v>0.33920861765990246</v>
      </c>
      <c r="AY110" s="130">
        <f t="shared" si="37"/>
        <v>0</v>
      </c>
      <c r="AZ110" s="130">
        <f t="shared" si="38"/>
        <v>0</v>
      </c>
      <c r="BA110" s="130">
        <f t="shared" si="39"/>
        <v>0</v>
      </c>
      <c r="BB110" s="130">
        <f t="shared" si="40"/>
        <v>1.7235300706217008E-3</v>
      </c>
      <c r="BC110" s="130">
        <f t="shared" si="41"/>
        <v>0</v>
      </c>
      <c r="BD110" s="130">
        <f t="shared" si="42"/>
        <v>0</v>
      </c>
      <c r="BE110" s="130">
        <f t="shared" si="43"/>
        <v>0</v>
      </c>
      <c r="BF110" s="130">
        <f t="shared" si="44"/>
        <v>0</v>
      </c>
      <c r="BG110" s="130">
        <f t="shared" si="45"/>
        <v>0</v>
      </c>
      <c r="BH110" s="130">
        <f t="shared" si="46"/>
        <v>0</v>
      </c>
      <c r="BI110" s="130">
        <f t="shared" si="47"/>
        <v>0</v>
      </c>
      <c r="BJ110" s="130">
        <f t="shared" si="48"/>
        <v>0</v>
      </c>
      <c r="BK110" s="130">
        <f t="shared" si="49"/>
        <v>-135.14911813127719</v>
      </c>
      <c r="BL110" s="130">
        <f>IF($K110=$L110,$BK110,IF(OR($K110="graphite",$K110="vitreous carbon"),$BK$406+($BM$389+$I110)*$BJ$406,IF($K110="Pyrolytic Boron Nitride","PBN",IF(COUNTIF($BH$396:$BH$416,$K110)&gt;0,VLOOKUP($K110,$BH$396:$BK$416,4,FALSE)+($BM$389+$I110)*VLOOKUP($K110,$BH$396:$BK$416,3,FALSE),IF(COUNTIF($L$2:$L109,$K110)&gt;0,VLOOKUP($K110,$L$2:$BK109,52,FALSE),"idk")))))</f>
        <v>-121.74823772574202</v>
      </c>
      <c r="BM110" s="130">
        <v>20</v>
      </c>
      <c r="BN110" s="130">
        <v>10</v>
      </c>
      <c r="BO110" s="130">
        <v>3</v>
      </c>
      <c r="BP110" s="129" t="s">
        <v>245</v>
      </c>
      <c r="BQ110" s="129" t="s">
        <v>246</v>
      </c>
      <c r="BR110" s="129" t="s">
        <v>247</v>
      </c>
      <c r="BS110" s="129"/>
      <c r="BT110" s="129">
        <v>4.8</v>
      </c>
      <c r="BV110" s="129"/>
      <c r="BZ110" s="129"/>
      <c r="DJ110" s="129">
        <v>0</v>
      </c>
      <c r="DK110" s="129">
        <v>0</v>
      </c>
      <c r="DL110" s="129"/>
      <c r="DM110" s="129">
        <v>-109</v>
      </c>
      <c r="DQ110" s="129">
        <v>1583236</v>
      </c>
      <c r="DR110" s="129">
        <v>5</v>
      </c>
      <c r="DS110" s="129">
        <v>3</v>
      </c>
      <c r="DU110" s="129" t="s">
        <v>856</v>
      </c>
      <c r="DW110" s="129">
        <f>SUM(_2025_01_07T12_47_export3[[#This Row],[Ni_wt]:[H_wt]])</f>
        <v>100.001</v>
      </c>
      <c r="DY110" s="130">
        <f>SUM($AM110:BJ110)</f>
        <v>100.00000000000001</v>
      </c>
    </row>
    <row r="111" spans="1:184" x14ac:dyDescent="0.25">
      <c r="A111" s="129" t="s">
        <v>329</v>
      </c>
      <c r="B111" s="129">
        <v>119</v>
      </c>
      <c r="C111" s="129" t="s">
        <v>244</v>
      </c>
      <c r="D111" s="129">
        <v>2020</v>
      </c>
      <c r="E111" s="129" t="s">
        <v>326</v>
      </c>
      <c r="F111" s="129" t="s">
        <v>327</v>
      </c>
      <c r="G111" s="129" t="s">
        <v>226</v>
      </c>
      <c r="H111" s="129">
        <v>0</v>
      </c>
      <c r="I111" s="129">
        <v>700</v>
      </c>
      <c r="J111" s="129">
        <v>150</v>
      </c>
      <c r="K111" s="129" t="s">
        <v>48</v>
      </c>
      <c r="L111" s="129" t="s">
        <v>250</v>
      </c>
      <c r="N111" s="129">
        <v>7940000</v>
      </c>
      <c r="O111" s="130">
        <v>31.84</v>
      </c>
      <c r="P111" s="130">
        <v>19.940000000000001</v>
      </c>
      <c r="Q111" s="130"/>
      <c r="R111" s="130">
        <v>45.78</v>
      </c>
      <c r="S111" s="130"/>
      <c r="T111" s="130"/>
      <c r="U111" s="130">
        <v>0.76</v>
      </c>
      <c r="V111" s="130">
        <v>0.47</v>
      </c>
      <c r="W111" s="130">
        <v>0.47</v>
      </c>
      <c r="X111" s="130">
        <v>0.27</v>
      </c>
      <c r="Y111" s="130">
        <v>0.08</v>
      </c>
      <c r="Z111" s="130">
        <v>0.39</v>
      </c>
      <c r="AA111" s="130"/>
      <c r="AB111" s="130"/>
      <c r="AC111" s="130"/>
      <c r="AD111" s="130">
        <v>1E-3</v>
      </c>
      <c r="AE111" s="130"/>
      <c r="AF111" s="130"/>
      <c r="AG111" s="130"/>
      <c r="AH111" s="130"/>
      <c r="AI111" s="130"/>
      <c r="AJ111" s="130"/>
      <c r="AK111" s="130"/>
      <c r="AL111" s="130"/>
      <c r="AM111" s="130">
        <f t="shared" si="25"/>
        <v>29.986568788148585</v>
      </c>
      <c r="AN111" s="130">
        <f t="shared" si="26"/>
        <v>21.195303283362858</v>
      </c>
      <c r="AO111" s="130">
        <f t="shared" si="27"/>
        <v>0</v>
      </c>
      <c r="AP111" s="130">
        <f t="shared" si="28"/>
        <v>45.307535124839411</v>
      </c>
      <c r="AQ111" s="130">
        <f t="shared" si="29"/>
        <v>0</v>
      </c>
      <c r="AR111" s="130">
        <f t="shared" si="30"/>
        <v>0</v>
      </c>
      <c r="AS111" s="130">
        <f t="shared" si="31"/>
        <v>0.76461490930609477</v>
      </c>
      <c r="AT111" s="130">
        <f t="shared" si="32"/>
        <v>0.96288348411689528</v>
      </c>
      <c r="AU111" s="130">
        <f t="shared" si="33"/>
        <v>0.54269054525744387</v>
      </c>
      <c r="AV111" s="130">
        <f t="shared" si="34"/>
        <v>0.53128780806359011</v>
      </c>
      <c r="AW111" s="130">
        <f t="shared" si="35"/>
        <v>0.36818390917460747</v>
      </c>
      <c r="AX111" s="130">
        <f t="shared" si="36"/>
        <v>0.33920861765990246</v>
      </c>
      <c r="AY111" s="130">
        <f t="shared" si="37"/>
        <v>0</v>
      </c>
      <c r="AZ111" s="130">
        <f t="shared" si="38"/>
        <v>0</v>
      </c>
      <c r="BA111" s="130">
        <f t="shared" si="39"/>
        <v>0</v>
      </c>
      <c r="BB111" s="130">
        <f t="shared" si="40"/>
        <v>1.7235300706217008E-3</v>
      </c>
      <c r="BC111" s="130">
        <f t="shared" si="41"/>
        <v>0</v>
      </c>
      <c r="BD111" s="130">
        <f t="shared" si="42"/>
        <v>0</v>
      </c>
      <c r="BE111" s="130">
        <f t="shared" si="43"/>
        <v>0</v>
      </c>
      <c r="BF111" s="130">
        <f t="shared" si="44"/>
        <v>0</v>
      </c>
      <c r="BG111" s="130">
        <f t="shared" si="45"/>
        <v>0</v>
      </c>
      <c r="BH111" s="130">
        <f t="shared" si="46"/>
        <v>0</v>
      </c>
      <c r="BI111" s="130">
        <f t="shared" si="47"/>
        <v>0</v>
      </c>
      <c r="BJ111" s="130">
        <f t="shared" si="48"/>
        <v>0</v>
      </c>
      <c r="BK111" s="130">
        <f t="shared" si="49"/>
        <v>-135.14911813127719</v>
      </c>
      <c r="BL111" s="130">
        <f>IF($K111=$L111,$BK111,IF(OR($K111="graphite",$K111="vitreous carbon"),$BK$406+($BM$389+$I111)*$BJ$406,IF($K111="Pyrolytic Boron Nitride","PBN",IF(COUNTIF($BH$396:$BH$416,$K111)&gt;0,VLOOKUP($K111,$BH$396:$BK$416,4,FALSE)+($BM$389+$I111)*VLOOKUP($K111,$BH$396:$BK$416,3,FALSE),IF(COUNTIF($L$2:$L110,$K111)&gt;0,VLOOKUP($K111,$L$2:$BK110,52,FALSE),"idk")))))</f>
        <v>-121.74823772574202</v>
      </c>
      <c r="BM111" s="130">
        <v>20</v>
      </c>
      <c r="BN111" s="130">
        <v>10</v>
      </c>
      <c r="BO111" s="130">
        <v>3</v>
      </c>
      <c r="BP111" s="129" t="s">
        <v>245</v>
      </c>
      <c r="BQ111" s="129" t="s">
        <v>246</v>
      </c>
      <c r="BR111" s="129" t="s">
        <v>247</v>
      </c>
      <c r="BS111" s="129"/>
      <c r="BT111" s="129">
        <v>4.8</v>
      </c>
      <c r="BV111" s="129"/>
      <c r="BZ111" s="129"/>
      <c r="DJ111" s="129">
        <v>0</v>
      </c>
      <c r="DK111" s="129">
        <v>0</v>
      </c>
      <c r="DL111" s="129"/>
      <c r="DM111" s="129">
        <v>-160</v>
      </c>
      <c r="DQ111" s="129">
        <v>1583236</v>
      </c>
      <c r="DR111" s="129">
        <v>5</v>
      </c>
      <c r="DS111" s="129">
        <v>3</v>
      </c>
      <c r="DU111" s="129" t="s">
        <v>856</v>
      </c>
      <c r="DW111" s="129">
        <f>SUM(_2025_01_07T12_47_export3[[#This Row],[Ni_wt]:[H_wt]])</f>
        <v>100.001</v>
      </c>
      <c r="DY111" s="130">
        <f>SUM($AM111:BJ111)</f>
        <v>100.00000000000001</v>
      </c>
    </row>
    <row r="112" spans="1:184" x14ac:dyDescent="0.25">
      <c r="A112" s="129" t="s">
        <v>330</v>
      </c>
      <c r="B112" s="129">
        <v>120</v>
      </c>
      <c r="C112" s="129" t="s">
        <v>244</v>
      </c>
      <c r="D112" s="129">
        <v>2020</v>
      </c>
      <c r="E112" s="129" t="s">
        <v>326</v>
      </c>
      <c r="F112" s="129" t="s">
        <v>327</v>
      </c>
      <c r="G112" s="129" t="s">
        <v>226</v>
      </c>
      <c r="H112" s="129">
        <v>0</v>
      </c>
      <c r="I112" s="129">
        <v>700</v>
      </c>
      <c r="J112" s="129">
        <v>50</v>
      </c>
      <c r="K112" s="129" t="s">
        <v>48</v>
      </c>
      <c r="L112" s="129" t="s">
        <v>251</v>
      </c>
      <c r="N112" s="129">
        <v>8890000</v>
      </c>
      <c r="O112" s="130">
        <f>100-SUM(_2025_01_07T12_47_export3[[#This Row],[Cr_wt]:[H_wt]])</f>
        <v>99.9</v>
      </c>
      <c r="P112" s="130"/>
      <c r="Q112" s="130"/>
      <c r="R112" s="130">
        <v>0.01</v>
      </c>
      <c r="S112" s="130"/>
      <c r="T112" s="130"/>
      <c r="U112" s="130">
        <v>0.01</v>
      </c>
      <c r="V112" s="130">
        <v>5.0000000000000001E-4</v>
      </c>
      <c r="W112" s="130">
        <v>5.0000000000000001E-4</v>
      </c>
      <c r="X112" s="130">
        <v>0.05</v>
      </c>
      <c r="Y112" s="130">
        <v>0.01</v>
      </c>
      <c r="Z112" s="130">
        <v>0.01</v>
      </c>
      <c r="AA112" s="130"/>
      <c r="AB112" s="130"/>
      <c r="AC112" s="130"/>
      <c r="AD112" s="130">
        <v>1E-3</v>
      </c>
      <c r="AE112" s="130"/>
      <c r="AF112" s="130">
        <v>8.0000000000000002E-3</v>
      </c>
      <c r="AG112" s="130"/>
      <c r="AH112" s="130"/>
      <c r="AI112" s="130"/>
      <c r="AJ112" s="130"/>
      <c r="AK112" s="130"/>
      <c r="AL112" s="130"/>
      <c r="AM112" s="130">
        <f t="shared" si="25"/>
        <v>99.793613718980495</v>
      </c>
      <c r="AN112" s="130">
        <f t="shared" si="26"/>
        <v>0</v>
      </c>
      <c r="AO112" s="130">
        <f t="shared" si="27"/>
        <v>0</v>
      </c>
      <c r="AP112" s="130">
        <f t="shared" si="28"/>
        <v>1.0497314125525641E-2</v>
      </c>
      <c r="AQ112" s="130">
        <f t="shared" si="29"/>
        <v>0</v>
      </c>
      <c r="AR112" s="130">
        <f t="shared" si="30"/>
        <v>0</v>
      </c>
      <c r="AS112" s="130">
        <f t="shared" si="31"/>
        <v>1.0671186638343778E-2</v>
      </c>
      <c r="AT112" s="130">
        <f t="shared" si="32"/>
        <v>1.086499247425143E-3</v>
      </c>
      <c r="AU112" s="130">
        <f t="shared" si="33"/>
        <v>6.1236159798475792E-4</v>
      </c>
      <c r="AV112" s="130">
        <f t="shared" si="34"/>
        <v>0.1043565314899621</v>
      </c>
      <c r="AW112" s="130">
        <f t="shared" si="35"/>
        <v>4.8815569851008087E-2</v>
      </c>
      <c r="AX112" s="130">
        <f t="shared" si="36"/>
        <v>9.2254129647617155E-3</v>
      </c>
      <c r="AY112" s="130">
        <f t="shared" si="37"/>
        <v>0</v>
      </c>
      <c r="AZ112" s="130">
        <f t="shared" si="38"/>
        <v>0</v>
      </c>
      <c r="BA112" s="130">
        <f t="shared" si="39"/>
        <v>0</v>
      </c>
      <c r="BB112" s="130">
        <f t="shared" si="40"/>
        <v>1.8281103645481978E-3</v>
      </c>
      <c r="BC112" s="130">
        <f t="shared" si="41"/>
        <v>0</v>
      </c>
      <c r="BD112" s="130">
        <f t="shared" si="42"/>
        <v>1.9293294739962392E-2</v>
      </c>
      <c r="BE112" s="130">
        <f t="shared" si="43"/>
        <v>0</v>
      </c>
      <c r="BF112" s="130">
        <f t="shared" si="44"/>
        <v>0</v>
      </c>
      <c r="BG112" s="130">
        <f t="shared" si="45"/>
        <v>0</v>
      </c>
      <c r="BH112" s="130">
        <f t="shared" si="46"/>
        <v>0</v>
      </c>
      <c r="BI112" s="130">
        <f t="shared" si="47"/>
        <v>0</v>
      </c>
      <c r="BJ112" s="130">
        <f t="shared" si="48"/>
        <v>0</v>
      </c>
      <c r="BK112" s="130">
        <f t="shared" si="49"/>
        <v>-121.79119159688472</v>
      </c>
      <c r="BL112" s="130">
        <f>IF($K112=$L112,$BK112,IF(OR($K112="graphite",$K112="vitreous carbon"),$BK$406+($BM$389+$I112)*$BJ$406,IF($K112="Pyrolytic Boron Nitride","PBN",IF(COUNTIF($BH$396:$BH$416,$K112)&gt;0,VLOOKUP($K112,$BH$396:$BK$416,4,FALSE)+($BM$389+$I112)*VLOOKUP($K112,$BH$396:$BK$416,3,FALSE),IF(COUNTIF($L$2:$L111,$K112)&gt;0,VLOOKUP($K112,$L$2:$BK111,52,FALSE),"idk")))))</f>
        <v>-121.74823772574202</v>
      </c>
      <c r="BM112" s="130">
        <v>20</v>
      </c>
      <c r="BN112" s="130">
        <v>10</v>
      </c>
      <c r="BO112" s="130">
        <v>4.5</v>
      </c>
      <c r="BP112" s="129" t="s">
        <v>245</v>
      </c>
      <c r="BQ112" s="129" t="s">
        <v>246</v>
      </c>
      <c r="BR112" s="129" t="s">
        <v>247</v>
      </c>
      <c r="BS112" s="129"/>
      <c r="BT112" s="129">
        <v>4.8</v>
      </c>
      <c r="BV112" s="129"/>
      <c r="BZ112" s="129"/>
      <c r="DJ112" s="129">
        <v>0</v>
      </c>
      <c r="DK112" s="129">
        <v>0</v>
      </c>
      <c r="DL112" s="129"/>
      <c r="DM112" s="129">
        <v>-0.01</v>
      </c>
      <c r="DQ112" s="129">
        <v>1583236</v>
      </c>
      <c r="DR112" s="129">
        <v>5</v>
      </c>
      <c r="DS112" s="129">
        <v>3</v>
      </c>
      <c r="DU112" s="129" t="s">
        <v>856</v>
      </c>
      <c r="DW112" s="129">
        <f>SUM(_2025_01_07T12_47_export3[[#This Row],[Ni_wt]:[H_wt]])</f>
        <v>100.00000000000003</v>
      </c>
      <c r="DY112" s="130">
        <f>SUM($AM112:BJ112)</f>
        <v>100.00000000000001</v>
      </c>
    </row>
    <row r="113" spans="1:129" x14ac:dyDescent="0.25">
      <c r="A113" s="129" t="s">
        <v>330</v>
      </c>
      <c r="B113" s="129">
        <v>121</v>
      </c>
      <c r="C113" s="129" t="s">
        <v>244</v>
      </c>
      <c r="D113" s="129">
        <v>2020</v>
      </c>
      <c r="E113" s="129" t="s">
        <v>326</v>
      </c>
      <c r="F113" s="129" t="s">
        <v>327</v>
      </c>
      <c r="G113" s="129" t="s">
        <v>226</v>
      </c>
      <c r="H113" s="129">
        <v>0</v>
      </c>
      <c r="I113" s="129">
        <v>700</v>
      </c>
      <c r="J113" s="129">
        <v>100</v>
      </c>
      <c r="K113" s="129" t="s">
        <v>48</v>
      </c>
      <c r="L113" s="129" t="s">
        <v>251</v>
      </c>
      <c r="N113" s="129">
        <v>8890000</v>
      </c>
      <c r="O113" s="130">
        <f>100-SUM(_2025_01_07T12_47_export3[[#This Row],[Cr_wt]:[H_wt]])</f>
        <v>99.9</v>
      </c>
      <c r="P113" s="130"/>
      <c r="Q113" s="130"/>
      <c r="R113" s="130">
        <v>0.01</v>
      </c>
      <c r="S113" s="130"/>
      <c r="T113" s="130"/>
      <c r="U113" s="130">
        <v>0.01</v>
      </c>
      <c r="V113" s="130">
        <v>5.0000000000000001E-4</v>
      </c>
      <c r="W113" s="130">
        <v>5.0000000000000001E-4</v>
      </c>
      <c r="X113" s="130">
        <v>0.05</v>
      </c>
      <c r="Y113" s="130">
        <v>0.01</v>
      </c>
      <c r="Z113" s="130">
        <v>0.01</v>
      </c>
      <c r="AA113" s="130"/>
      <c r="AB113" s="130"/>
      <c r="AC113" s="130"/>
      <c r="AD113" s="130">
        <v>1E-3</v>
      </c>
      <c r="AE113" s="130"/>
      <c r="AF113" s="130">
        <v>8.0000000000000002E-3</v>
      </c>
      <c r="AG113" s="130"/>
      <c r="AH113" s="130"/>
      <c r="AI113" s="130"/>
      <c r="AJ113" s="130"/>
      <c r="AK113" s="130"/>
      <c r="AL113" s="130"/>
      <c r="AM113" s="130">
        <f t="shared" si="25"/>
        <v>99.793613718980495</v>
      </c>
      <c r="AN113" s="130">
        <f t="shared" si="26"/>
        <v>0</v>
      </c>
      <c r="AO113" s="130">
        <f t="shared" si="27"/>
        <v>0</v>
      </c>
      <c r="AP113" s="130">
        <f t="shared" si="28"/>
        <v>1.0497314125525641E-2</v>
      </c>
      <c r="AQ113" s="130">
        <f t="shared" si="29"/>
        <v>0</v>
      </c>
      <c r="AR113" s="130">
        <f t="shared" si="30"/>
        <v>0</v>
      </c>
      <c r="AS113" s="130">
        <f t="shared" si="31"/>
        <v>1.0671186638343778E-2</v>
      </c>
      <c r="AT113" s="130">
        <f t="shared" si="32"/>
        <v>1.086499247425143E-3</v>
      </c>
      <c r="AU113" s="130">
        <f t="shared" si="33"/>
        <v>6.1236159798475792E-4</v>
      </c>
      <c r="AV113" s="130">
        <f t="shared" si="34"/>
        <v>0.1043565314899621</v>
      </c>
      <c r="AW113" s="130">
        <f t="shared" si="35"/>
        <v>4.8815569851008087E-2</v>
      </c>
      <c r="AX113" s="130">
        <f t="shared" si="36"/>
        <v>9.2254129647617155E-3</v>
      </c>
      <c r="AY113" s="130">
        <f t="shared" si="37"/>
        <v>0</v>
      </c>
      <c r="AZ113" s="130">
        <f t="shared" si="38"/>
        <v>0</v>
      </c>
      <c r="BA113" s="130">
        <f t="shared" si="39"/>
        <v>0</v>
      </c>
      <c r="BB113" s="130">
        <f t="shared" si="40"/>
        <v>1.8281103645481978E-3</v>
      </c>
      <c r="BC113" s="130">
        <f t="shared" si="41"/>
        <v>0</v>
      </c>
      <c r="BD113" s="130">
        <f t="shared" si="42"/>
        <v>1.9293294739962392E-2</v>
      </c>
      <c r="BE113" s="130">
        <f t="shared" si="43"/>
        <v>0</v>
      </c>
      <c r="BF113" s="130">
        <f t="shared" si="44"/>
        <v>0</v>
      </c>
      <c r="BG113" s="130">
        <f t="shared" si="45"/>
        <v>0</v>
      </c>
      <c r="BH113" s="130">
        <f t="shared" si="46"/>
        <v>0</v>
      </c>
      <c r="BI113" s="130">
        <f t="shared" si="47"/>
        <v>0</v>
      </c>
      <c r="BJ113" s="130">
        <f t="shared" si="48"/>
        <v>0</v>
      </c>
      <c r="BK113" s="130">
        <f t="shared" si="49"/>
        <v>-121.79119159688472</v>
      </c>
      <c r="BL113" s="130">
        <f>IF($K113=$L113,$BK113,IF(OR($K113="graphite",$K113="vitreous carbon"),$BK$406+($BM$389+$I113)*$BJ$406,IF($K113="Pyrolytic Boron Nitride","PBN",IF(COUNTIF($BH$396:$BH$416,$K113)&gt;0,VLOOKUP($K113,$BH$396:$BK$416,4,FALSE)+($BM$389+$I113)*VLOOKUP($K113,$BH$396:$BK$416,3,FALSE),IF(COUNTIF($L$2:$L112,$K113)&gt;0,VLOOKUP($K113,$L$2:$BK112,52,FALSE),"idk")))))</f>
        <v>-121.74823772574202</v>
      </c>
      <c r="BM113" s="130">
        <v>20</v>
      </c>
      <c r="BN113" s="130">
        <v>10</v>
      </c>
      <c r="BO113" s="130">
        <v>4.5</v>
      </c>
      <c r="BP113" s="129" t="s">
        <v>245</v>
      </c>
      <c r="BQ113" s="129" t="s">
        <v>246</v>
      </c>
      <c r="BR113" s="129" t="s">
        <v>247</v>
      </c>
      <c r="BS113" s="129"/>
      <c r="BT113" s="129">
        <v>4.8</v>
      </c>
      <c r="BV113" s="129"/>
      <c r="BZ113" s="129"/>
      <c r="DJ113" s="129">
        <v>0</v>
      </c>
      <c r="DK113" s="129">
        <v>0</v>
      </c>
      <c r="DL113" s="129"/>
      <c r="DM113" s="129">
        <v>-0.05</v>
      </c>
      <c r="DQ113" s="129">
        <v>1583236</v>
      </c>
      <c r="DR113" s="129">
        <v>5</v>
      </c>
      <c r="DS113" s="129">
        <v>3</v>
      </c>
      <c r="DU113" s="129" t="s">
        <v>856</v>
      </c>
      <c r="DW113" s="129">
        <f>SUM(_2025_01_07T12_47_export3[[#This Row],[Ni_wt]:[H_wt]])</f>
        <v>100.00000000000003</v>
      </c>
      <c r="DY113" s="130">
        <f>SUM($AM113:BJ113)</f>
        <v>100.00000000000001</v>
      </c>
    </row>
    <row r="114" spans="1:129" ht="16.5" thickBot="1" x14ac:dyDescent="0.3">
      <c r="A114" s="136" t="s">
        <v>330</v>
      </c>
      <c r="B114" s="136">
        <v>122</v>
      </c>
      <c r="C114" s="136" t="s">
        <v>244</v>
      </c>
      <c r="D114" s="136">
        <v>2020</v>
      </c>
      <c r="E114" s="136" t="s">
        <v>326</v>
      </c>
      <c r="F114" s="136" t="s">
        <v>327</v>
      </c>
      <c r="G114" s="136" t="s">
        <v>226</v>
      </c>
      <c r="H114" s="136">
        <v>0</v>
      </c>
      <c r="I114" s="136">
        <v>700</v>
      </c>
      <c r="J114" s="136">
        <v>150</v>
      </c>
      <c r="K114" s="136" t="s">
        <v>48</v>
      </c>
      <c r="L114" s="136" t="s">
        <v>251</v>
      </c>
      <c r="M114" s="136"/>
      <c r="N114" s="136">
        <v>8890000</v>
      </c>
      <c r="O114" s="137">
        <f>100-SUM(_2025_01_07T12_47_export3[[#This Row],[Cr_wt]:[H_wt]])</f>
        <v>99.9</v>
      </c>
      <c r="P114" s="137"/>
      <c r="Q114" s="137"/>
      <c r="R114" s="137">
        <v>0.01</v>
      </c>
      <c r="S114" s="137"/>
      <c r="T114" s="137"/>
      <c r="U114" s="137">
        <v>0.01</v>
      </c>
      <c r="V114" s="137">
        <v>5.0000000000000001E-4</v>
      </c>
      <c r="W114" s="137">
        <v>5.0000000000000001E-4</v>
      </c>
      <c r="X114" s="137">
        <v>0.05</v>
      </c>
      <c r="Y114" s="137">
        <v>0.01</v>
      </c>
      <c r="Z114" s="137">
        <v>0.01</v>
      </c>
      <c r="AA114" s="137"/>
      <c r="AB114" s="137"/>
      <c r="AC114" s="137"/>
      <c r="AD114" s="137">
        <v>1E-3</v>
      </c>
      <c r="AE114" s="137"/>
      <c r="AF114" s="137">
        <v>8.0000000000000002E-3</v>
      </c>
      <c r="AG114" s="137"/>
      <c r="AH114" s="137"/>
      <c r="AI114" s="137"/>
      <c r="AJ114" s="137"/>
      <c r="AK114" s="137"/>
      <c r="AL114" s="137"/>
      <c r="AM114" s="137">
        <f t="shared" si="25"/>
        <v>99.793613718980495</v>
      </c>
      <c r="AN114" s="137">
        <f t="shared" si="26"/>
        <v>0</v>
      </c>
      <c r="AO114" s="137">
        <f t="shared" si="27"/>
        <v>0</v>
      </c>
      <c r="AP114" s="137">
        <f t="shared" si="28"/>
        <v>1.0497314125525641E-2</v>
      </c>
      <c r="AQ114" s="137">
        <f t="shared" si="29"/>
        <v>0</v>
      </c>
      <c r="AR114" s="137">
        <f t="shared" si="30"/>
        <v>0</v>
      </c>
      <c r="AS114" s="137">
        <f t="shared" si="31"/>
        <v>1.0671186638343778E-2</v>
      </c>
      <c r="AT114" s="137">
        <f t="shared" si="32"/>
        <v>1.086499247425143E-3</v>
      </c>
      <c r="AU114" s="137">
        <f t="shared" si="33"/>
        <v>6.1236159798475792E-4</v>
      </c>
      <c r="AV114" s="137">
        <f t="shared" si="34"/>
        <v>0.1043565314899621</v>
      </c>
      <c r="AW114" s="137">
        <f t="shared" si="35"/>
        <v>4.8815569851008087E-2</v>
      </c>
      <c r="AX114" s="137">
        <f t="shared" si="36"/>
        <v>9.2254129647617155E-3</v>
      </c>
      <c r="AY114" s="137">
        <f t="shared" si="37"/>
        <v>0</v>
      </c>
      <c r="AZ114" s="137">
        <f t="shared" si="38"/>
        <v>0</v>
      </c>
      <c r="BA114" s="137">
        <f t="shared" si="39"/>
        <v>0</v>
      </c>
      <c r="BB114" s="137">
        <f t="shared" si="40"/>
        <v>1.8281103645481978E-3</v>
      </c>
      <c r="BC114" s="137">
        <f t="shared" si="41"/>
        <v>0</v>
      </c>
      <c r="BD114" s="137">
        <f t="shared" si="42"/>
        <v>1.9293294739962392E-2</v>
      </c>
      <c r="BE114" s="137">
        <f t="shared" si="43"/>
        <v>0</v>
      </c>
      <c r="BF114" s="137">
        <f t="shared" si="44"/>
        <v>0</v>
      </c>
      <c r="BG114" s="137">
        <f t="shared" si="45"/>
        <v>0</v>
      </c>
      <c r="BH114" s="137">
        <f t="shared" si="46"/>
        <v>0</v>
      </c>
      <c r="BI114" s="137">
        <f t="shared" si="47"/>
        <v>0</v>
      </c>
      <c r="BJ114" s="137">
        <f t="shared" si="48"/>
        <v>0</v>
      </c>
      <c r="BK114" s="137">
        <f t="shared" si="49"/>
        <v>-121.79119159688472</v>
      </c>
      <c r="BL114" s="137">
        <f>IF($K114=$L114,$BK114,IF(OR($K114="graphite",$K114="vitreous carbon"),$BK$406+($BM$389+$I114)*$BJ$406,IF($K114="Pyrolytic Boron Nitride","PBN",IF(COUNTIF($BH$396:$BH$416,$K114)&gt;0,VLOOKUP($K114,$BH$396:$BK$416,4,FALSE)+($BM$389+$I114)*VLOOKUP($K114,$BH$396:$BK$416,3,FALSE),IF(COUNTIF($L$2:$L113,$K114)&gt;0,VLOOKUP($K114,$L$2:$BK113,52,FALSE),"idk")))))</f>
        <v>-121.74823772574202</v>
      </c>
      <c r="BM114" s="137">
        <v>20</v>
      </c>
      <c r="BN114" s="137">
        <v>10</v>
      </c>
      <c r="BO114" s="137">
        <v>4.5</v>
      </c>
      <c r="BP114" s="136" t="s">
        <v>245</v>
      </c>
      <c r="BQ114" s="136" t="s">
        <v>246</v>
      </c>
      <c r="BR114" s="136" t="s">
        <v>247</v>
      </c>
      <c r="BS114" s="136"/>
      <c r="BT114" s="136">
        <v>4.8</v>
      </c>
      <c r="BU114" s="136"/>
      <c r="BV114" s="136"/>
      <c r="BW114" s="136"/>
      <c r="BX114" s="136"/>
      <c r="BY114" s="136"/>
      <c r="BZ114" s="136"/>
      <c r="CA114" s="136"/>
      <c r="CB114" s="136"/>
      <c r="CC114" s="136"/>
      <c r="CD114" s="136"/>
      <c r="CE114" s="136"/>
      <c r="CF114" s="136"/>
      <c r="CG114" s="136"/>
      <c r="CH114" s="136"/>
      <c r="CI114" s="136"/>
      <c r="CJ114" s="136"/>
      <c r="CK114" s="136"/>
      <c r="CL114" s="136"/>
      <c r="CM114" s="136"/>
      <c r="CN114" s="136"/>
      <c r="CO114" s="136"/>
      <c r="CP114" s="136"/>
      <c r="CQ114" s="136"/>
      <c r="CR114" s="136"/>
      <c r="CS114" s="136"/>
      <c r="CT114" s="136"/>
      <c r="CU114" s="136"/>
      <c r="CV114" s="136"/>
      <c r="CW114" s="136"/>
      <c r="CX114" s="136"/>
      <c r="CY114" s="136"/>
      <c r="CZ114" s="136"/>
      <c r="DA114" s="136"/>
      <c r="DB114" s="136"/>
      <c r="DC114" s="136"/>
      <c r="DD114" s="136"/>
      <c r="DE114" s="136"/>
      <c r="DF114" s="136"/>
      <c r="DG114" s="136"/>
      <c r="DH114" s="136"/>
      <c r="DI114" s="136"/>
      <c r="DJ114" s="136">
        <v>0</v>
      </c>
      <c r="DK114" s="136">
        <v>0</v>
      </c>
      <c r="DL114" s="136"/>
      <c r="DM114" s="136">
        <v>-0.1</v>
      </c>
      <c r="DN114" s="136"/>
      <c r="DO114" s="136"/>
      <c r="DP114" s="136"/>
      <c r="DQ114" s="136">
        <v>1583236</v>
      </c>
      <c r="DR114" s="136">
        <v>5</v>
      </c>
      <c r="DS114" s="136">
        <v>3</v>
      </c>
      <c r="DT114" s="136"/>
      <c r="DU114" s="136" t="s">
        <v>856</v>
      </c>
      <c r="DW114" s="129">
        <f>SUM(_2025_01_07T12_47_export3[[#This Row],[Ni_wt]:[H_wt]])</f>
        <v>100.00000000000003</v>
      </c>
      <c r="DY114" s="130">
        <f>SUM($AM114:BJ114)</f>
        <v>100.00000000000001</v>
      </c>
    </row>
    <row r="115" spans="1:129" x14ac:dyDescent="0.25">
      <c r="A115" s="129" t="s">
        <v>331</v>
      </c>
      <c r="B115" s="129">
        <v>123</v>
      </c>
      <c r="C115" s="129" t="s">
        <v>332</v>
      </c>
      <c r="D115" s="129">
        <v>2023</v>
      </c>
      <c r="E115" s="129" t="s">
        <v>333</v>
      </c>
      <c r="F115" s="129" t="s">
        <v>334</v>
      </c>
      <c r="G115" s="129" t="s">
        <v>226</v>
      </c>
      <c r="H115" s="129">
        <v>0</v>
      </c>
      <c r="I115" s="129">
        <v>650</v>
      </c>
      <c r="J115" s="129">
        <v>1</v>
      </c>
      <c r="K115" s="129" t="s">
        <v>48</v>
      </c>
      <c r="L115" s="129" t="s">
        <v>227</v>
      </c>
      <c r="N115" s="129">
        <v>7980000</v>
      </c>
      <c r="O115" s="130">
        <v>10.24</v>
      </c>
      <c r="P115" s="130">
        <v>16.36</v>
      </c>
      <c r="Q115" s="130">
        <v>2.13</v>
      </c>
      <c r="R115" s="130">
        <f>100-SUM(_2025_01_07T12_47_export3[[#This Row],[Ni_wt]:[Mo_wt]],_2025_01_07T12_47_export3[[#This Row],[W_wt]:[H_wt]])</f>
        <v>68.569999999999993</v>
      </c>
      <c r="S115" s="130"/>
      <c r="T115" s="130"/>
      <c r="U115" s="130">
        <v>1.79</v>
      </c>
      <c r="V115" s="130"/>
      <c r="W115" s="130"/>
      <c r="X115" s="130">
        <v>0.53</v>
      </c>
      <c r="Y115" s="130"/>
      <c r="Z115" s="130">
        <v>0.38</v>
      </c>
      <c r="AA115" s="130"/>
      <c r="AB115" s="130"/>
      <c r="AC115" s="130"/>
      <c r="AD115" s="130"/>
      <c r="AE115" s="130"/>
      <c r="AF115" s="130"/>
      <c r="AG115" s="130"/>
      <c r="AH115" s="130"/>
      <c r="AI115" s="130"/>
      <c r="AJ115" s="130"/>
      <c r="AK115" s="130"/>
      <c r="AL115" s="130"/>
      <c r="AM115" s="130">
        <f t="shared" si="25"/>
        <v>9.7121634373592212</v>
      </c>
      <c r="AN115" s="130">
        <f t="shared" si="26"/>
        <v>17.512981573369338</v>
      </c>
      <c r="AO115" s="130">
        <f t="shared" si="27"/>
        <v>1.2355761002867862</v>
      </c>
      <c r="AP115" s="130">
        <f t="shared" si="28"/>
        <v>68.34253864729861</v>
      </c>
      <c r="AQ115" s="130">
        <f t="shared" si="29"/>
        <v>0</v>
      </c>
      <c r="AR115" s="130">
        <f t="shared" si="30"/>
        <v>0</v>
      </c>
      <c r="AS115" s="130">
        <f t="shared" si="31"/>
        <v>1.8136125438122068</v>
      </c>
      <c r="AT115" s="130">
        <f t="shared" si="32"/>
        <v>0</v>
      </c>
      <c r="AU115" s="130">
        <f t="shared" si="33"/>
        <v>0</v>
      </c>
      <c r="AV115" s="130">
        <f t="shared" si="34"/>
        <v>1.0502779925903094</v>
      </c>
      <c r="AW115" s="130">
        <f t="shared" si="35"/>
        <v>0</v>
      </c>
      <c r="AX115" s="130">
        <f t="shared" si="36"/>
        <v>0.3328497052835378</v>
      </c>
      <c r="AY115" s="130">
        <f t="shared" si="37"/>
        <v>0</v>
      </c>
      <c r="AZ115" s="130">
        <f t="shared" si="38"/>
        <v>0</v>
      </c>
      <c r="BA115" s="130">
        <f t="shared" si="39"/>
        <v>0</v>
      </c>
      <c r="BB115" s="130">
        <f t="shared" si="40"/>
        <v>0</v>
      </c>
      <c r="BC115" s="130">
        <f t="shared" si="41"/>
        <v>0</v>
      </c>
      <c r="BD115" s="130">
        <f t="shared" si="42"/>
        <v>0</v>
      </c>
      <c r="BE115" s="130">
        <f t="shared" si="43"/>
        <v>0</v>
      </c>
      <c r="BF115" s="130">
        <f t="shared" si="44"/>
        <v>0</v>
      </c>
      <c r="BG115" s="130">
        <f t="shared" si="45"/>
        <v>0</v>
      </c>
      <c r="BH115" s="130">
        <f t="shared" si="46"/>
        <v>0</v>
      </c>
      <c r="BI115" s="130">
        <f t="shared" si="47"/>
        <v>0</v>
      </c>
      <c r="BJ115" s="130">
        <f t="shared" si="48"/>
        <v>0</v>
      </c>
      <c r="BK115" s="130">
        <f t="shared" si="49"/>
        <v>-139.01511483330577</v>
      </c>
      <c r="BL115" s="130">
        <f>IF($K115=$L115,$BK115,IF(OR($K115="graphite",$K115="vitreous carbon"),$BK$406+($BM$389+$I115)*$BJ$406,IF($K115="Pyrolytic Boron Nitride","PBN",IF(COUNTIF($BH$396:$BH$416,$K115)&gt;0,VLOOKUP($K115,$BH$396:$BK$416,4,FALSE)+($BM$389+$I115)*VLOOKUP($K115,$BH$396:$BK$416,3,FALSE),IF(COUNTIF($L$2:$L114,$K115)&gt;0,VLOOKUP($K115,$L$2:$BK114,52,FALSE),"idk")))))</f>
        <v>-123.53565520208147</v>
      </c>
      <c r="BM115" s="130"/>
      <c r="BN115" s="130"/>
      <c r="BO115" s="140">
        <v>2.5000000000000001E-2</v>
      </c>
      <c r="BP115" s="129" t="s">
        <v>245</v>
      </c>
      <c r="BQ115" s="129" t="s">
        <v>246</v>
      </c>
      <c r="BR115" s="129" t="s">
        <v>247</v>
      </c>
      <c r="BS115" s="129"/>
      <c r="BT115" s="129">
        <v>5</v>
      </c>
      <c r="BV115" s="129"/>
      <c r="BZ115" s="129"/>
      <c r="DJ115" s="129">
        <v>0</v>
      </c>
      <c r="DK115" s="129">
        <v>0</v>
      </c>
      <c r="DL115" s="129"/>
      <c r="DM115" s="129">
        <v>-3.4</v>
      </c>
      <c r="DQ115" s="129">
        <v>1369368</v>
      </c>
      <c r="DR115" s="129">
        <v>1</v>
      </c>
      <c r="DS115" s="129">
        <v>1</v>
      </c>
      <c r="DT115" s="134" t="s">
        <v>336</v>
      </c>
      <c r="DU115" s="129" t="s">
        <v>335</v>
      </c>
      <c r="DW115" s="129">
        <f>SUM(_2025_01_07T12_47_export3[[#This Row],[Ni_wt]:[H_wt]])</f>
        <v>100</v>
      </c>
      <c r="DY115" s="130">
        <f>SUM($AM115:BJ115)</f>
        <v>100.00000000000001</v>
      </c>
    </row>
    <row r="116" spans="1:129" x14ac:dyDescent="0.25">
      <c r="A116" s="129" t="s">
        <v>331</v>
      </c>
      <c r="B116" s="129">
        <v>124</v>
      </c>
      <c r="C116" s="129" t="s">
        <v>332</v>
      </c>
      <c r="D116" s="129">
        <v>2023</v>
      </c>
      <c r="E116" s="129" t="s">
        <v>333</v>
      </c>
      <c r="F116" s="129" t="s">
        <v>334</v>
      </c>
      <c r="G116" s="129" t="s">
        <v>226</v>
      </c>
      <c r="H116" s="129">
        <v>0</v>
      </c>
      <c r="I116" s="129">
        <v>650</v>
      </c>
      <c r="J116" s="129">
        <v>8</v>
      </c>
      <c r="K116" s="129" t="s">
        <v>48</v>
      </c>
      <c r="L116" s="129" t="s">
        <v>227</v>
      </c>
      <c r="N116" s="129">
        <v>7980000</v>
      </c>
      <c r="O116" s="130">
        <v>10.24</v>
      </c>
      <c r="P116" s="130">
        <v>16.36</v>
      </c>
      <c r="Q116" s="130">
        <v>2.13</v>
      </c>
      <c r="R116" s="130">
        <f>100-SUM(_2025_01_07T12_47_export3[[#This Row],[Ni_wt]:[Mo_wt]],_2025_01_07T12_47_export3[[#This Row],[W_wt]:[H_wt]])</f>
        <v>68.569999999999993</v>
      </c>
      <c r="S116" s="130"/>
      <c r="T116" s="130"/>
      <c r="U116" s="130">
        <v>1.79</v>
      </c>
      <c r="V116" s="130"/>
      <c r="W116" s="130"/>
      <c r="X116" s="130">
        <v>0.53</v>
      </c>
      <c r="Y116" s="130"/>
      <c r="Z116" s="130">
        <v>0.38</v>
      </c>
      <c r="AA116" s="130"/>
      <c r="AB116" s="130"/>
      <c r="AC116" s="130"/>
      <c r="AD116" s="130"/>
      <c r="AE116" s="130"/>
      <c r="AF116" s="130"/>
      <c r="AG116" s="130"/>
      <c r="AH116" s="130"/>
      <c r="AI116" s="130"/>
      <c r="AJ116" s="130"/>
      <c r="AK116" s="130"/>
      <c r="AL116" s="130"/>
      <c r="AM116" s="130">
        <f t="shared" si="25"/>
        <v>9.7121634373592212</v>
      </c>
      <c r="AN116" s="130">
        <f t="shared" si="26"/>
        <v>17.512981573369338</v>
      </c>
      <c r="AO116" s="130">
        <f t="shared" si="27"/>
        <v>1.2355761002867862</v>
      </c>
      <c r="AP116" s="130">
        <f t="shared" si="28"/>
        <v>68.34253864729861</v>
      </c>
      <c r="AQ116" s="130">
        <f t="shared" si="29"/>
        <v>0</v>
      </c>
      <c r="AR116" s="130">
        <f t="shared" si="30"/>
        <v>0</v>
      </c>
      <c r="AS116" s="130">
        <f t="shared" si="31"/>
        <v>1.8136125438122068</v>
      </c>
      <c r="AT116" s="130">
        <f t="shared" si="32"/>
        <v>0</v>
      </c>
      <c r="AU116" s="130">
        <f t="shared" si="33"/>
        <v>0</v>
      </c>
      <c r="AV116" s="130">
        <f t="shared" si="34"/>
        <v>1.0502779925903094</v>
      </c>
      <c r="AW116" s="130">
        <f t="shared" si="35"/>
        <v>0</v>
      </c>
      <c r="AX116" s="130">
        <f t="shared" si="36"/>
        <v>0.3328497052835378</v>
      </c>
      <c r="AY116" s="130">
        <f t="shared" si="37"/>
        <v>0</v>
      </c>
      <c r="AZ116" s="130">
        <f t="shared" si="38"/>
        <v>0</v>
      </c>
      <c r="BA116" s="130">
        <f t="shared" si="39"/>
        <v>0</v>
      </c>
      <c r="BB116" s="130">
        <f t="shared" si="40"/>
        <v>0</v>
      </c>
      <c r="BC116" s="130">
        <f t="shared" si="41"/>
        <v>0</v>
      </c>
      <c r="BD116" s="130">
        <f t="shared" si="42"/>
        <v>0</v>
      </c>
      <c r="BE116" s="130">
        <f t="shared" si="43"/>
        <v>0</v>
      </c>
      <c r="BF116" s="130">
        <f t="shared" si="44"/>
        <v>0</v>
      </c>
      <c r="BG116" s="130">
        <f t="shared" si="45"/>
        <v>0</v>
      </c>
      <c r="BH116" s="130">
        <f t="shared" si="46"/>
        <v>0</v>
      </c>
      <c r="BI116" s="130">
        <f t="shared" si="47"/>
        <v>0</v>
      </c>
      <c r="BJ116" s="130">
        <f t="shared" si="48"/>
        <v>0</v>
      </c>
      <c r="BK116" s="130">
        <f t="shared" si="49"/>
        <v>-139.01511483330577</v>
      </c>
      <c r="BL116" s="130">
        <f>IF($K116=$L116,$BK116,IF(OR($K116="graphite",$K116="vitreous carbon"),$BK$406+($BM$389+$I116)*$BJ$406,IF($K116="Pyrolytic Boron Nitride","PBN",IF(COUNTIF($BH$396:$BH$416,$K116)&gt;0,VLOOKUP($K116,$BH$396:$BK$416,4,FALSE)+($BM$389+$I116)*VLOOKUP($K116,$BH$396:$BK$416,3,FALSE),IF(COUNTIF($L$2:$L115,$K116)&gt;0,VLOOKUP($K116,$L$2:$BK115,52,FALSE),"idk")))))</f>
        <v>-123.53565520208147</v>
      </c>
      <c r="BM116" s="130"/>
      <c r="BN116" s="130"/>
      <c r="BO116" s="140">
        <v>2.5000000000000001E-2</v>
      </c>
      <c r="BP116" s="129" t="s">
        <v>245</v>
      </c>
      <c r="BQ116" s="129" t="s">
        <v>246</v>
      </c>
      <c r="BR116" s="129" t="s">
        <v>247</v>
      </c>
      <c r="BS116" s="129"/>
      <c r="BT116" s="129">
        <v>5</v>
      </c>
      <c r="BV116" s="129"/>
      <c r="BZ116" s="129"/>
      <c r="DJ116" s="129">
        <v>0</v>
      </c>
      <c r="DK116" s="129">
        <v>0</v>
      </c>
      <c r="DL116" s="129"/>
      <c r="DM116" s="129">
        <v>-15.5</v>
      </c>
      <c r="DQ116" s="129">
        <v>1369368</v>
      </c>
      <c r="DR116" s="129">
        <v>2</v>
      </c>
      <c r="DS116" s="129">
        <v>1</v>
      </c>
      <c r="DU116" s="129" t="s">
        <v>335</v>
      </c>
      <c r="DW116" s="129">
        <f>SUM(_2025_01_07T12_47_export3[[#This Row],[Ni_wt]:[H_wt]])</f>
        <v>100</v>
      </c>
      <c r="DY116" s="130">
        <f>SUM($AM116:BJ116)</f>
        <v>100.00000000000001</v>
      </c>
    </row>
    <row r="117" spans="1:129" hidden="1" x14ac:dyDescent="0.25">
      <c r="A117" s="129" t="s">
        <v>331</v>
      </c>
      <c r="B117" s="129">
        <v>125</v>
      </c>
      <c r="C117" s="129" t="s">
        <v>332</v>
      </c>
      <c r="D117" s="129">
        <v>2023</v>
      </c>
      <c r="E117" s="129" t="s">
        <v>333</v>
      </c>
      <c r="F117" s="129" t="s">
        <v>334</v>
      </c>
      <c r="G117" s="129" t="s">
        <v>226</v>
      </c>
      <c r="H117" s="129">
        <v>0</v>
      </c>
      <c r="I117" s="129">
        <v>650</v>
      </c>
      <c r="J117" s="129">
        <v>1</v>
      </c>
      <c r="K117" s="129" t="s">
        <v>48</v>
      </c>
      <c r="L117" s="129" t="s">
        <v>227</v>
      </c>
      <c r="N117" s="129">
        <v>7980000</v>
      </c>
      <c r="O117" s="130">
        <v>10.24</v>
      </c>
      <c r="P117" s="130">
        <v>16.36</v>
      </c>
      <c r="Q117" s="130">
        <v>2.13</v>
      </c>
      <c r="R117" s="130">
        <f>100-SUM(_2025_01_07T12_47_export3[[#This Row],[Ni_wt]:[Mo_wt]],_2025_01_07T12_47_export3[[#This Row],[W_wt]:[H_wt]])</f>
        <v>68.569999999999993</v>
      </c>
      <c r="S117" s="130"/>
      <c r="T117" s="130"/>
      <c r="U117" s="130">
        <v>1.79</v>
      </c>
      <c r="V117" s="130"/>
      <c r="W117" s="130"/>
      <c r="X117" s="130">
        <v>0.53</v>
      </c>
      <c r="Y117" s="130"/>
      <c r="Z117" s="130">
        <v>0.38</v>
      </c>
      <c r="AA117" s="130"/>
      <c r="AB117" s="130"/>
      <c r="AC117" s="130"/>
      <c r="AD117" s="130"/>
      <c r="AE117" s="130"/>
      <c r="AF117" s="130"/>
      <c r="AG117" s="130"/>
      <c r="AH117" s="130"/>
      <c r="AI117" s="130"/>
      <c r="AJ117" s="130"/>
      <c r="AK117" s="130"/>
      <c r="AL117" s="130"/>
      <c r="AM117" s="130">
        <f t="shared" si="25"/>
        <v>9.7121634373592212</v>
      </c>
      <c r="AN117" s="130">
        <f t="shared" si="26"/>
        <v>17.512981573369338</v>
      </c>
      <c r="AO117" s="130">
        <f t="shared" si="27"/>
        <v>1.2355761002867862</v>
      </c>
      <c r="AP117" s="130">
        <f t="shared" si="28"/>
        <v>68.34253864729861</v>
      </c>
      <c r="AQ117" s="130">
        <f t="shared" si="29"/>
        <v>0</v>
      </c>
      <c r="AR117" s="130">
        <f t="shared" si="30"/>
        <v>0</v>
      </c>
      <c r="AS117" s="130">
        <f t="shared" si="31"/>
        <v>1.8136125438122068</v>
      </c>
      <c r="AT117" s="130">
        <f t="shared" si="32"/>
        <v>0</v>
      </c>
      <c r="AU117" s="130">
        <f t="shared" si="33"/>
        <v>0</v>
      </c>
      <c r="AV117" s="130">
        <f t="shared" si="34"/>
        <v>1.0502779925903094</v>
      </c>
      <c r="AW117" s="130">
        <f t="shared" si="35"/>
        <v>0</v>
      </c>
      <c r="AX117" s="130">
        <f t="shared" si="36"/>
        <v>0.3328497052835378</v>
      </c>
      <c r="AY117" s="130">
        <f t="shared" si="37"/>
        <v>0</v>
      </c>
      <c r="AZ117" s="130">
        <f t="shared" si="38"/>
        <v>0</v>
      </c>
      <c r="BA117" s="130">
        <f t="shared" si="39"/>
        <v>0</v>
      </c>
      <c r="BB117" s="130">
        <f t="shared" si="40"/>
        <v>0</v>
      </c>
      <c r="BC117" s="130">
        <f t="shared" si="41"/>
        <v>0</v>
      </c>
      <c r="BD117" s="130">
        <f t="shared" si="42"/>
        <v>0</v>
      </c>
      <c r="BE117" s="130">
        <f t="shared" si="43"/>
        <v>0</v>
      </c>
      <c r="BF117" s="130">
        <f t="shared" si="44"/>
        <v>0</v>
      </c>
      <c r="BG117" s="130">
        <f t="shared" si="45"/>
        <v>0</v>
      </c>
      <c r="BH117" s="130">
        <f t="shared" si="46"/>
        <v>0</v>
      </c>
      <c r="BI117" s="130">
        <f t="shared" si="47"/>
        <v>0</v>
      </c>
      <c r="BJ117" s="130">
        <f t="shared" si="48"/>
        <v>0</v>
      </c>
      <c r="BK117" s="130">
        <f t="shared" si="49"/>
        <v>-139.01511483330577</v>
      </c>
      <c r="BL117" s="130">
        <f>IF($K117=$L117,$BK117,IF(OR($K117="graphite",$K117="vitreous carbon"),$BK$406+($BM$389+$I117)*$BJ$406,IF($K117="Pyrolytic Boron Nitride","PBN",IF(COUNTIF($BH$396:$BH$416,$K117)&gt;0,VLOOKUP($K117,$BH$396:$BK$416,4,FALSE)+($BM$389+$I117)*VLOOKUP($K117,$BH$396:$BK$416,3,FALSE),IF(COUNTIF($L$2:$L116,$K117)&gt;0,VLOOKUP($K117,$L$2:$BK116,52,FALSE),"idk")))))</f>
        <v>-123.53565520208147</v>
      </c>
      <c r="BM117" s="130"/>
      <c r="BN117" s="130"/>
      <c r="BO117" s="140">
        <v>2.5000000000000001E-2</v>
      </c>
      <c r="BP117" s="129" t="s">
        <v>245</v>
      </c>
      <c r="BQ117" s="129" t="s">
        <v>246</v>
      </c>
      <c r="BR117" s="129" t="s">
        <v>247</v>
      </c>
      <c r="BS117" s="129"/>
      <c r="BT117" s="129">
        <v>5</v>
      </c>
      <c r="BV117" s="129"/>
      <c r="BZ117" s="129"/>
      <c r="DJ117" s="129">
        <v>1</v>
      </c>
      <c r="DK117" s="129">
        <v>3</v>
      </c>
      <c r="DL117" s="129"/>
      <c r="DM117" s="129">
        <v>-5.8</v>
      </c>
      <c r="DQ117" s="129">
        <v>1369368</v>
      </c>
      <c r="DR117" s="129">
        <v>1</v>
      </c>
      <c r="DS117" s="129">
        <v>1</v>
      </c>
      <c r="DU117" s="129" t="s">
        <v>335</v>
      </c>
      <c r="DW117" s="129">
        <f>SUM(_2025_01_07T12_47_export3[[#This Row],[Ni_wt]:[H_wt]])</f>
        <v>100</v>
      </c>
      <c r="DY117" s="130">
        <f>SUM($AM117:BJ117)</f>
        <v>100.00000000000001</v>
      </c>
    </row>
    <row r="118" spans="1:129" hidden="1" x14ac:dyDescent="0.25">
      <c r="A118" s="129" t="s">
        <v>331</v>
      </c>
      <c r="B118" s="129">
        <v>126</v>
      </c>
      <c r="C118" s="129" t="s">
        <v>332</v>
      </c>
      <c r="D118" s="129">
        <v>2023</v>
      </c>
      <c r="E118" s="129" t="s">
        <v>333</v>
      </c>
      <c r="F118" s="129" t="s">
        <v>334</v>
      </c>
      <c r="G118" s="129" t="s">
        <v>226</v>
      </c>
      <c r="H118" s="129">
        <v>0</v>
      </c>
      <c r="I118" s="129">
        <v>650</v>
      </c>
      <c r="J118" s="129">
        <v>8</v>
      </c>
      <c r="K118" s="129" t="s">
        <v>48</v>
      </c>
      <c r="L118" s="129" t="s">
        <v>227</v>
      </c>
      <c r="N118" s="129">
        <v>7980000</v>
      </c>
      <c r="O118" s="130">
        <v>10.24</v>
      </c>
      <c r="P118" s="130">
        <v>16.36</v>
      </c>
      <c r="Q118" s="130">
        <v>2.13</v>
      </c>
      <c r="R118" s="130">
        <f>100-SUM(_2025_01_07T12_47_export3[[#This Row],[Ni_wt]:[Mo_wt]],_2025_01_07T12_47_export3[[#This Row],[W_wt]:[H_wt]])</f>
        <v>68.569999999999993</v>
      </c>
      <c r="S118" s="130"/>
      <c r="T118" s="130"/>
      <c r="U118" s="130">
        <v>1.79</v>
      </c>
      <c r="V118" s="130"/>
      <c r="W118" s="130"/>
      <c r="X118" s="130">
        <v>0.53</v>
      </c>
      <c r="Y118" s="130"/>
      <c r="Z118" s="130">
        <v>0.38</v>
      </c>
      <c r="AA118" s="130"/>
      <c r="AB118" s="130"/>
      <c r="AC118" s="130"/>
      <c r="AD118" s="130"/>
      <c r="AE118" s="130"/>
      <c r="AF118" s="130"/>
      <c r="AG118" s="130"/>
      <c r="AH118" s="130"/>
      <c r="AI118" s="130"/>
      <c r="AJ118" s="130"/>
      <c r="AK118" s="130"/>
      <c r="AL118" s="130"/>
      <c r="AM118" s="130">
        <f t="shared" si="25"/>
        <v>9.7121634373592212</v>
      </c>
      <c r="AN118" s="130">
        <f t="shared" si="26"/>
        <v>17.512981573369338</v>
      </c>
      <c r="AO118" s="130">
        <f t="shared" si="27"/>
        <v>1.2355761002867862</v>
      </c>
      <c r="AP118" s="130">
        <f t="shared" si="28"/>
        <v>68.34253864729861</v>
      </c>
      <c r="AQ118" s="130">
        <f t="shared" si="29"/>
        <v>0</v>
      </c>
      <c r="AR118" s="130">
        <f t="shared" si="30"/>
        <v>0</v>
      </c>
      <c r="AS118" s="130">
        <f t="shared" si="31"/>
        <v>1.8136125438122068</v>
      </c>
      <c r="AT118" s="130">
        <f t="shared" si="32"/>
        <v>0</v>
      </c>
      <c r="AU118" s="130">
        <f t="shared" si="33"/>
        <v>0</v>
      </c>
      <c r="AV118" s="130">
        <f t="shared" si="34"/>
        <v>1.0502779925903094</v>
      </c>
      <c r="AW118" s="130">
        <f t="shared" si="35"/>
        <v>0</v>
      </c>
      <c r="AX118" s="130">
        <f t="shared" si="36"/>
        <v>0.3328497052835378</v>
      </c>
      <c r="AY118" s="130">
        <f t="shared" si="37"/>
        <v>0</v>
      </c>
      <c r="AZ118" s="130">
        <f t="shared" si="38"/>
        <v>0</v>
      </c>
      <c r="BA118" s="130">
        <f t="shared" si="39"/>
        <v>0</v>
      </c>
      <c r="BB118" s="130">
        <f t="shared" si="40"/>
        <v>0</v>
      </c>
      <c r="BC118" s="130">
        <f t="shared" si="41"/>
        <v>0</v>
      </c>
      <c r="BD118" s="130">
        <f t="shared" si="42"/>
        <v>0</v>
      </c>
      <c r="BE118" s="130">
        <f t="shared" si="43"/>
        <v>0</v>
      </c>
      <c r="BF118" s="130">
        <f t="shared" si="44"/>
        <v>0</v>
      </c>
      <c r="BG118" s="130">
        <f t="shared" si="45"/>
        <v>0</v>
      </c>
      <c r="BH118" s="130">
        <f t="shared" si="46"/>
        <v>0</v>
      </c>
      <c r="BI118" s="130">
        <f t="shared" si="47"/>
        <v>0</v>
      </c>
      <c r="BJ118" s="130">
        <f t="shared" si="48"/>
        <v>0</v>
      </c>
      <c r="BK118" s="130">
        <f t="shared" si="49"/>
        <v>-139.01511483330577</v>
      </c>
      <c r="BL118" s="130">
        <f>IF($K118=$L118,$BK118,IF(OR($K118="graphite",$K118="vitreous carbon"),$BK$406+($BM$389+$I118)*$BJ$406,IF($K118="Pyrolytic Boron Nitride","PBN",IF(COUNTIF($BH$396:$BH$416,$K118)&gt;0,VLOOKUP($K118,$BH$396:$BK$416,4,FALSE)+($BM$389+$I118)*VLOOKUP($K118,$BH$396:$BK$416,3,FALSE),IF(COUNTIF($L$2:$L117,$K118)&gt;0,VLOOKUP($K118,$L$2:$BK117,52,FALSE),"idk")))))</f>
        <v>-123.53565520208147</v>
      </c>
      <c r="BM118" s="130"/>
      <c r="BN118" s="130"/>
      <c r="BO118" s="140">
        <v>2.5000000000000001E-2</v>
      </c>
      <c r="BP118" s="129" t="s">
        <v>245</v>
      </c>
      <c r="BQ118" s="129" t="s">
        <v>246</v>
      </c>
      <c r="BR118" s="129" t="s">
        <v>247</v>
      </c>
      <c r="BS118" s="129"/>
      <c r="BT118" s="129">
        <v>5</v>
      </c>
      <c r="BV118" s="129"/>
      <c r="BZ118" s="129"/>
      <c r="DJ118" s="129">
        <v>1</v>
      </c>
      <c r="DK118" s="129">
        <v>3</v>
      </c>
      <c r="DL118" s="129"/>
      <c r="DM118" s="129">
        <v>-22.4</v>
      </c>
      <c r="DQ118" s="129">
        <v>1369368</v>
      </c>
      <c r="DR118" s="129">
        <v>3</v>
      </c>
      <c r="DS118" s="129">
        <v>1</v>
      </c>
      <c r="DU118" s="129" t="s">
        <v>335</v>
      </c>
      <c r="DW118" s="129">
        <f>SUM(_2025_01_07T12_47_export3[[#This Row],[Ni_wt]:[H_wt]])</f>
        <v>100</v>
      </c>
      <c r="DY118" s="130">
        <f>SUM($AM118:BJ118)</f>
        <v>100.00000000000001</v>
      </c>
    </row>
    <row r="119" spans="1:129" x14ac:dyDescent="0.25">
      <c r="A119" s="129" t="s">
        <v>337</v>
      </c>
      <c r="B119" s="129">
        <v>127</v>
      </c>
      <c r="C119" s="129" t="s">
        <v>332</v>
      </c>
      <c r="D119" s="129">
        <v>2023</v>
      </c>
      <c r="E119" s="129" t="s">
        <v>333</v>
      </c>
      <c r="F119" s="129" t="s">
        <v>334</v>
      </c>
      <c r="G119" s="129" t="s">
        <v>226</v>
      </c>
      <c r="H119" s="129">
        <v>0</v>
      </c>
      <c r="I119" s="129">
        <v>650</v>
      </c>
      <c r="J119" s="129">
        <v>4</v>
      </c>
      <c r="K119" s="129" t="s">
        <v>48</v>
      </c>
      <c r="L119" s="129" t="s">
        <v>250</v>
      </c>
      <c r="N119" s="129">
        <v>7940000</v>
      </c>
      <c r="O119" s="130">
        <v>30.48</v>
      </c>
      <c r="P119" s="130">
        <v>20.82</v>
      </c>
      <c r="Q119" s="130"/>
      <c r="R119" s="130">
        <v>46.2</v>
      </c>
      <c r="S119" s="130"/>
      <c r="T119" s="130"/>
      <c r="U119" s="130">
        <v>0.61</v>
      </c>
      <c r="V119" s="130">
        <v>0.54</v>
      </c>
      <c r="W119" s="130">
        <v>0.52</v>
      </c>
      <c r="X119" s="130">
        <v>0.32</v>
      </c>
      <c r="Y119" s="130"/>
      <c r="Z119" s="130">
        <v>0.06</v>
      </c>
      <c r="AA119" s="130"/>
      <c r="AB119" s="130"/>
      <c r="AC119" s="130"/>
      <c r="AD119" s="130"/>
      <c r="AE119" s="130"/>
      <c r="AF119" s="130"/>
      <c r="AG119" s="130"/>
      <c r="AH119" s="130"/>
      <c r="AI119" s="130"/>
      <c r="AJ119" s="130"/>
      <c r="AK119" s="130"/>
      <c r="AL119" s="130"/>
      <c r="AM119" s="130">
        <f t="shared" si="25"/>
        <v>28.832043279482132</v>
      </c>
      <c r="AN119" s="130">
        <f t="shared" si="26"/>
        <v>22.228079919944875</v>
      </c>
      <c r="AO119" s="130">
        <f t="shared" si="27"/>
        <v>0</v>
      </c>
      <c r="AP119" s="130">
        <f t="shared" si="28"/>
        <v>45.924386801544522</v>
      </c>
      <c r="AQ119" s="130">
        <f t="shared" si="29"/>
        <v>0</v>
      </c>
      <c r="AR119" s="130">
        <f t="shared" si="30"/>
        <v>0</v>
      </c>
      <c r="AS119" s="130">
        <f t="shared" si="31"/>
        <v>0.61640442535044904</v>
      </c>
      <c r="AT119" s="130">
        <f t="shared" si="32"/>
        <v>1.1111594459482426</v>
      </c>
      <c r="AU119" s="130">
        <f t="shared" si="33"/>
        <v>0.60306550003773574</v>
      </c>
      <c r="AV119" s="130">
        <f t="shared" si="34"/>
        <v>0.63244506365378117</v>
      </c>
      <c r="AW119" s="130">
        <f t="shared" si="35"/>
        <v>0</v>
      </c>
      <c r="AX119" s="130">
        <f t="shared" si="36"/>
        <v>5.241556403826135E-2</v>
      </c>
      <c r="AY119" s="130">
        <f t="shared" si="37"/>
        <v>0</v>
      </c>
      <c r="AZ119" s="130">
        <f t="shared" si="38"/>
        <v>0</v>
      </c>
      <c r="BA119" s="130">
        <f t="shared" si="39"/>
        <v>0</v>
      </c>
      <c r="BB119" s="130">
        <f t="shared" si="40"/>
        <v>0</v>
      </c>
      <c r="BC119" s="130">
        <f t="shared" si="41"/>
        <v>0</v>
      </c>
      <c r="BD119" s="130">
        <f t="shared" si="42"/>
        <v>0</v>
      </c>
      <c r="BE119" s="130">
        <f t="shared" si="43"/>
        <v>0</v>
      </c>
      <c r="BF119" s="130">
        <f t="shared" si="44"/>
        <v>0</v>
      </c>
      <c r="BG119" s="130">
        <f t="shared" si="45"/>
        <v>0</v>
      </c>
      <c r="BH119" s="130">
        <f t="shared" si="46"/>
        <v>0</v>
      </c>
      <c r="BI119" s="130">
        <f t="shared" si="47"/>
        <v>0</v>
      </c>
      <c r="BJ119" s="130">
        <f t="shared" si="48"/>
        <v>0</v>
      </c>
      <c r="BK119" s="130">
        <f t="shared" si="49"/>
        <v>-137.5909646769515</v>
      </c>
      <c r="BL119" s="130">
        <f>IF($K119=$L119,$BK119,IF(OR($K119="graphite",$K119="vitreous carbon"),$BK$406+($BM$389+$I119)*$BJ$406,IF($K119="Pyrolytic Boron Nitride","PBN",IF(COUNTIF($BH$396:$BH$416,$K119)&gt;0,VLOOKUP($K119,$BH$396:$BK$416,4,FALSE)+($BM$389+$I119)*VLOOKUP($K119,$BH$396:$BK$416,3,FALSE),IF(COUNTIF($L$2:$L118,$K119)&gt;0,VLOOKUP($K119,$L$2:$BK118,52,FALSE),"idk")))))</f>
        <v>-123.53565520208147</v>
      </c>
      <c r="BM119" s="130"/>
      <c r="BN119" s="130"/>
      <c r="BO119" s="140">
        <v>2.7E-2</v>
      </c>
      <c r="BP119" s="129" t="s">
        <v>245</v>
      </c>
      <c r="BQ119" s="129" t="s">
        <v>246</v>
      </c>
      <c r="BR119" s="129" t="s">
        <v>247</v>
      </c>
      <c r="BS119" s="129"/>
      <c r="BT119" s="129">
        <v>5</v>
      </c>
      <c r="BV119" s="129"/>
      <c r="BZ119" s="129"/>
      <c r="DJ119" s="129">
        <v>0</v>
      </c>
      <c r="DK119" s="129">
        <v>0</v>
      </c>
      <c r="DL119" s="129"/>
      <c r="DM119" s="129">
        <v>-8.5</v>
      </c>
      <c r="DQ119" s="129">
        <v>1667400</v>
      </c>
      <c r="DR119" s="129">
        <v>1</v>
      </c>
      <c r="DS119" s="129">
        <v>1</v>
      </c>
      <c r="DU119" s="129" t="s">
        <v>335</v>
      </c>
      <c r="DW119" s="129">
        <f>SUM(_2025_01_07T12_47_export3[[#This Row],[Ni_wt]:[H_wt]])</f>
        <v>99.55</v>
      </c>
      <c r="DY119" s="130">
        <f>SUM($AM119:BJ119)</f>
        <v>100</v>
      </c>
    </row>
    <row r="120" spans="1:129" x14ac:dyDescent="0.25">
      <c r="A120" s="129" t="s">
        <v>337</v>
      </c>
      <c r="B120" s="129">
        <v>128</v>
      </c>
      <c r="C120" s="129" t="s">
        <v>332</v>
      </c>
      <c r="D120" s="129">
        <v>2023</v>
      </c>
      <c r="E120" s="129" t="s">
        <v>333</v>
      </c>
      <c r="F120" s="129" t="s">
        <v>334</v>
      </c>
      <c r="G120" s="129" t="s">
        <v>226</v>
      </c>
      <c r="H120" s="129">
        <v>0</v>
      </c>
      <c r="I120" s="129">
        <v>650</v>
      </c>
      <c r="J120" s="129">
        <v>8</v>
      </c>
      <c r="K120" s="129" t="s">
        <v>48</v>
      </c>
      <c r="L120" s="129" t="s">
        <v>250</v>
      </c>
      <c r="N120" s="129">
        <v>7940000</v>
      </c>
      <c r="O120" s="130">
        <v>30.48</v>
      </c>
      <c r="P120" s="130">
        <v>20.82</v>
      </c>
      <c r="Q120" s="130"/>
      <c r="R120" s="130">
        <v>46.2</v>
      </c>
      <c r="S120" s="130"/>
      <c r="T120" s="130"/>
      <c r="U120" s="130">
        <v>0.61</v>
      </c>
      <c r="V120" s="130">
        <v>0.54</v>
      </c>
      <c r="W120" s="130">
        <v>0.52</v>
      </c>
      <c r="X120" s="130">
        <v>0.32</v>
      </c>
      <c r="Y120" s="130"/>
      <c r="Z120" s="130">
        <v>0.06</v>
      </c>
      <c r="AA120" s="130"/>
      <c r="AB120" s="130"/>
      <c r="AC120" s="130"/>
      <c r="AD120" s="130"/>
      <c r="AE120" s="130"/>
      <c r="AF120" s="130"/>
      <c r="AG120" s="130"/>
      <c r="AH120" s="130"/>
      <c r="AI120" s="130"/>
      <c r="AJ120" s="130"/>
      <c r="AK120" s="130"/>
      <c r="AL120" s="130"/>
      <c r="AM120" s="130">
        <f t="shared" si="25"/>
        <v>28.832043279482132</v>
      </c>
      <c r="AN120" s="130">
        <f t="shared" si="26"/>
        <v>22.228079919944875</v>
      </c>
      <c r="AO120" s="130">
        <f t="shared" si="27"/>
        <v>0</v>
      </c>
      <c r="AP120" s="130">
        <f t="shared" si="28"/>
        <v>45.924386801544522</v>
      </c>
      <c r="AQ120" s="130">
        <f t="shared" si="29"/>
        <v>0</v>
      </c>
      <c r="AR120" s="130">
        <f t="shared" si="30"/>
        <v>0</v>
      </c>
      <c r="AS120" s="130">
        <f t="shared" si="31"/>
        <v>0.61640442535044904</v>
      </c>
      <c r="AT120" s="130">
        <f t="shared" si="32"/>
        <v>1.1111594459482426</v>
      </c>
      <c r="AU120" s="130">
        <f t="shared" si="33"/>
        <v>0.60306550003773574</v>
      </c>
      <c r="AV120" s="130">
        <f t="shared" si="34"/>
        <v>0.63244506365378117</v>
      </c>
      <c r="AW120" s="130">
        <f t="shared" si="35"/>
        <v>0</v>
      </c>
      <c r="AX120" s="130">
        <f t="shared" si="36"/>
        <v>5.241556403826135E-2</v>
      </c>
      <c r="AY120" s="130">
        <f t="shared" si="37"/>
        <v>0</v>
      </c>
      <c r="AZ120" s="130">
        <f t="shared" si="38"/>
        <v>0</v>
      </c>
      <c r="BA120" s="130">
        <f t="shared" si="39"/>
        <v>0</v>
      </c>
      <c r="BB120" s="130">
        <f t="shared" si="40"/>
        <v>0</v>
      </c>
      <c r="BC120" s="130">
        <f t="shared" si="41"/>
        <v>0</v>
      </c>
      <c r="BD120" s="130">
        <f t="shared" si="42"/>
        <v>0</v>
      </c>
      <c r="BE120" s="130">
        <f t="shared" si="43"/>
        <v>0</v>
      </c>
      <c r="BF120" s="130">
        <f t="shared" si="44"/>
        <v>0</v>
      </c>
      <c r="BG120" s="130">
        <f t="shared" si="45"/>
        <v>0</v>
      </c>
      <c r="BH120" s="130">
        <f t="shared" si="46"/>
        <v>0</v>
      </c>
      <c r="BI120" s="130">
        <f t="shared" si="47"/>
        <v>0</v>
      </c>
      <c r="BJ120" s="130">
        <f t="shared" si="48"/>
        <v>0</v>
      </c>
      <c r="BK120" s="130">
        <f t="shared" si="49"/>
        <v>-137.5909646769515</v>
      </c>
      <c r="BL120" s="130">
        <f>IF($K120=$L120,$BK120,IF(OR($K120="graphite",$K120="vitreous carbon"),$BK$406+($BM$389+$I120)*$BJ$406,IF($K120="Pyrolytic Boron Nitride","PBN",IF(COUNTIF($BH$396:$BH$416,$K120)&gt;0,VLOOKUP($K120,$BH$396:$BK$416,4,FALSE)+($BM$389+$I120)*VLOOKUP($K120,$BH$396:$BK$416,3,FALSE),IF(COUNTIF($L$2:$L119,$K120)&gt;0,VLOOKUP($K120,$L$2:$BK119,52,FALSE),"idk")))))</f>
        <v>-123.53565520208147</v>
      </c>
      <c r="BM120" s="130"/>
      <c r="BN120" s="130"/>
      <c r="BO120" s="140">
        <v>2.7E-2</v>
      </c>
      <c r="BP120" s="129" t="s">
        <v>245</v>
      </c>
      <c r="BQ120" s="129" t="s">
        <v>246</v>
      </c>
      <c r="BR120" s="129" t="s">
        <v>247</v>
      </c>
      <c r="BS120" s="129"/>
      <c r="BT120" s="129">
        <v>5</v>
      </c>
      <c r="BV120" s="129"/>
      <c r="BZ120" s="129"/>
      <c r="DJ120" s="129">
        <v>0</v>
      </c>
      <c r="DK120" s="129">
        <v>0</v>
      </c>
      <c r="DL120" s="129"/>
      <c r="DM120" s="129">
        <v>-15.9</v>
      </c>
      <c r="DQ120" s="129">
        <v>1667400</v>
      </c>
      <c r="DR120" s="129">
        <v>2</v>
      </c>
      <c r="DS120" s="129">
        <v>1</v>
      </c>
      <c r="DU120" s="129" t="s">
        <v>335</v>
      </c>
      <c r="DW120" s="129">
        <f>SUM(_2025_01_07T12_47_export3[[#This Row],[Ni_wt]:[H_wt]])</f>
        <v>99.55</v>
      </c>
      <c r="DY120" s="130">
        <f>SUM($AM120:BJ120)</f>
        <v>100</v>
      </c>
    </row>
    <row r="121" spans="1:129" hidden="1" x14ac:dyDescent="0.25">
      <c r="A121" s="129" t="s">
        <v>337</v>
      </c>
      <c r="B121" s="129">
        <v>129</v>
      </c>
      <c r="C121" s="129" t="s">
        <v>332</v>
      </c>
      <c r="D121" s="129">
        <v>2023</v>
      </c>
      <c r="E121" s="129" t="s">
        <v>333</v>
      </c>
      <c r="F121" s="129" t="s">
        <v>334</v>
      </c>
      <c r="G121" s="129" t="s">
        <v>226</v>
      </c>
      <c r="H121" s="129">
        <v>0</v>
      </c>
      <c r="I121" s="129">
        <v>650</v>
      </c>
      <c r="J121" s="129">
        <v>4</v>
      </c>
      <c r="K121" s="129" t="s">
        <v>48</v>
      </c>
      <c r="L121" s="129" t="s">
        <v>250</v>
      </c>
      <c r="N121" s="129">
        <v>7940000</v>
      </c>
      <c r="O121" s="130">
        <v>30.48</v>
      </c>
      <c r="P121" s="130">
        <v>20.82</v>
      </c>
      <c r="Q121" s="130"/>
      <c r="R121" s="130">
        <v>46.2</v>
      </c>
      <c r="S121" s="130"/>
      <c r="T121" s="130"/>
      <c r="U121" s="130">
        <v>0.61</v>
      </c>
      <c r="V121" s="130">
        <v>0.54</v>
      </c>
      <c r="W121" s="130">
        <v>0.52</v>
      </c>
      <c r="X121" s="130">
        <v>0.32</v>
      </c>
      <c r="Y121" s="130"/>
      <c r="Z121" s="130">
        <v>0.06</v>
      </c>
      <c r="AA121" s="130"/>
      <c r="AB121" s="130"/>
      <c r="AC121" s="130"/>
      <c r="AD121" s="130"/>
      <c r="AE121" s="130"/>
      <c r="AF121" s="130"/>
      <c r="AG121" s="130"/>
      <c r="AH121" s="130"/>
      <c r="AI121" s="130"/>
      <c r="AJ121" s="130"/>
      <c r="AK121" s="130"/>
      <c r="AL121" s="130"/>
      <c r="AM121" s="130">
        <f t="shared" si="25"/>
        <v>28.832043279482132</v>
      </c>
      <c r="AN121" s="130">
        <f t="shared" si="26"/>
        <v>22.228079919944875</v>
      </c>
      <c r="AO121" s="130">
        <f t="shared" si="27"/>
        <v>0</v>
      </c>
      <c r="AP121" s="130">
        <f t="shared" si="28"/>
        <v>45.924386801544522</v>
      </c>
      <c r="AQ121" s="130">
        <f t="shared" si="29"/>
        <v>0</v>
      </c>
      <c r="AR121" s="130">
        <f t="shared" si="30"/>
        <v>0</v>
      </c>
      <c r="AS121" s="130">
        <f t="shared" si="31"/>
        <v>0.61640442535044904</v>
      </c>
      <c r="AT121" s="130">
        <f t="shared" si="32"/>
        <v>1.1111594459482426</v>
      </c>
      <c r="AU121" s="130">
        <f t="shared" si="33"/>
        <v>0.60306550003773574</v>
      </c>
      <c r="AV121" s="130">
        <f t="shared" si="34"/>
        <v>0.63244506365378117</v>
      </c>
      <c r="AW121" s="130">
        <f t="shared" si="35"/>
        <v>0</v>
      </c>
      <c r="AX121" s="130">
        <f t="shared" si="36"/>
        <v>5.241556403826135E-2</v>
      </c>
      <c r="AY121" s="130">
        <f t="shared" si="37"/>
        <v>0</v>
      </c>
      <c r="AZ121" s="130">
        <f t="shared" si="38"/>
        <v>0</v>
      </c>
      <c r="BA121" s="130">
        <f t="shared" si="39"/>
        <v>0</v>
      </c>
      <c r="BB121" s="130">
        <f t="shared" si="40"/>
        <v>0</v>
      </c>
      <c r="BC121" s="130">
        <f t="shared" si="41"/>
        <v>0</v>
      </c>
      <c r="BD121" s="130">
        <f t="shared" si="42"/>
        <v>0</v>
      </c>
      <c r="BE121" s="130">
        <f t="shared" si="43"/>
        <v>0</v>
      </c>
      <c r="BF121" s="130">
        <f t="shared" si="44"/>
        <v>0</v>
      </c>
      <c r="BG121" s="130">
        <f t="shared" si="45"/>
        <v>0</v>
      </c>
      <c r="BH121" s="130">
        <f t="shared" si="46"/>
        <v>0</v>
      </c>
      <c r="BI121" s="130">
        <f t="shared" si="47"/>
        <v>0</v>
      </c>
      <c r="BJ121" s="130">
        <f t="shared" si="48"/>
        <v>0</v>
      </c>
      <c r="BK121" s="130">
        <f t="shared" si="49"/>
        <v>-137.5909646769515</v>
      </c>
      <c r="BL121" s="130">
        <f>IF($K121=$L121,$BK121,IF(OR($K121="graphite",$K121="vitreous carbon"),$BK$406+($BM$389+$I121)*$BJ$406,IF($K121="Pyrolytic Boron Nitride","PBN",IF(COUNTIF($BH$396:$BH$416,$K121)&gt;0,VLOOKUP($K121,$BH$396:$BK$416,4,FALSE)+($BM$389+$I121)*VLOOKUP($K121,$BH$396:$BK$416,3,FALSE),IF(COUNTIF($L$2:$L120,$K121)&gt;0,VLOOKUP($K121,$L$2:$BK120,52,FALSE),"idk")))))</f>
        <v>-123.53565520208147</v>
      </c>
      <c r="BM121" s="130"/>
      <c r="BN121" s="130"/>
      <c r="BO121" s="140">
        <v>2.7E-2</v>
      </c>
      <c r="BP121" s="129" t="s">
        <v>245</v>
      </c>
      <c r="BQ121" s="129" t="s">
        <v>246</v>
      </c>
      <c r="BR121" s="129" t="s">
        <v>247</v>
      </c>
      <c r="BS121" s="129"/>
      <c r="BT121" s="129">
        <v>5</v>
      </c>
      <c r="BV121" s="129"/>
      <c r="BZ121" s="129"/>
      <c r="DJ121" s="129">
        <v>1</v>
      </c>
      <c r="DK121" s="129">
        <v>3</v>
      </c>
      <c r="DL121" s="129"/>
      <c r="DM121" s="129">
        <v>-13</v>
      </c>
      <c r="DQ121" s="129">
        <v>1667400</v>
      </c>
      <c r="DR121" s="129">
        <v>2</v>
      </c>
      <c r="DS121" s="129">
        <v>1</v>
      </c>
      <c r="DU121" s="129" t="s">
        <v>335</v>
      </c>
      <c r="DW121" s="129">
        <f>SUM(_2025_01_07T12_47_export3[[#This Row],[Ni_wt]:[H_wt]])</f>
        <v>99.55</v>
      </c>
      <c r="DY121" s="130">
        <f>SUM($AM121:BJ121)</f>
        <v>100</v>
      </c>
    </row>
    <row r="122" spans="1:129" hidden="1" x14ac:dyDescent="0.25">
      <c r="A122" s="129" t="s">
        <v>337</v>
      </c>
      <c r="B122" s="129">
        <v>130</v>
      </c>
      <c r="C122" s="129" t="s">
        <v>332</v>
      </c>
      <c r="D122" s="129">
        <v>2023</v>
      </c>
      <c r="E122" s="129" t="s">
        <v>333</v>
      </c>
      <c r="F122" s="129" t="s">
        <v>334</v>
      </c>
      <c r="G122" s="129" t="s">
        <v>226</v>
      </c>
      <c r="H122" s="129">
        <v>0</v>
      </c>
      <c r="I122" s="129">
        <v>650</v>
      </c>
      <c r="J122" s="129">
        <v>8</v>
      </c>
      <c r="K122" s="129" t="s">
        <v>48</v>
      </c>
      <c r="L122" s="129" t="s">
        <v>250</v>
      </c>
      <c r="N122" s="129">
        <v>7940000</v>
      </c>
      <c r="O122" s="130">
        <v>30.48</v>
      </c>
      <c r="P122" s="130">
        <v>20.82</v>
      </c>
      <c r="Q122" s="130"/>
      <c r="R122" s="130">
        <v>46.2</v>
      </c>
      <c r="S122" s="130"/>
      <c r="T122" s="130"/>
      <c r="U122" s="130">
        <v>0.61</v>
      </c>
      <c r="V122" s="130">
        <v>0.54</v>
      </c>
      <c r="W122" s="130">
        <v>0.52</v>
      </c>
      <c r="X122" s="130">
        <v>0.32</v>
      </c>
      <c r="Y122" s="130"/>
      <c r="Z122" s="130">
        <v>0.06</v>
      </c>
      <c r="AA122" s="130"/>
      <c r="AB122" s="130"/>
      <c r="AC122" s="130"/>
      <c r="AD122" s="130"/>
      <c r="AE122" s="130"/>
      <c r="AF122" s="130"/>
      <c r="AG122" s="130"/>
      <c r="AH122" s="130"/>
      <c r="AI122" s="130"/>
      <c r="AJ122" s="130"/>
      <c r="AK122" s="130"/>
      <c r="AL122" s="130"/>
      <c r="AM122" s="130">
        <f t="shared" si="25"/>
        <v>28.832043279482132</v>
      </c>
      <c r="AN122" s="130">
        <f t="shared" si="26"/>
        <v>22.228079919944875</v>
      </c>
      <c r="AO122" s="130">
        <f t="shared" si="27"/>
        <v>0</v>
      </c>
      <c r="AP122" s="130">
        <f t="shared" si="28"/>
        <v>45.924386801544522</v>
      </c>
      <c r="AQ122" s="130">
        <f t="shared" si="29"/>
        <v>0</v>
      </c>
      <c r="AR122" s="130">
        <f t="shared" si="30"/>
        <v>0</v>
      </c>
      <c r="AS122" s="130">
        <f t="shared" si="31"/>
        <v>0.61640442535044904</v>
      </c>
      <c r="AT122" s="130">
        <f t="shared" si="32"/>
        <v>1.1111594459482426</v>
      </c>
      <c r="AU122" s="130">
        <f t="shared" si="33"/>
        <v>0.60306550003773574</v>
      </c>
      <c r="AV122" s="130">
        <f t="shared" si="34"/>
        <v>0.63244506365378117</v>
      </c>
      <c r="AW122" s="130">
        <f t="shared" si="35"/>
        <v>0</v>
      </c>
      <c r="AX122" s="130">
        <f t="shared" si="36"/>
        <v>5.241556403826135E-2</v>
      </c>
      <c r="AY122" s="130">
        <f t="shared" si="37"/>
        <v>0</v>
      </c>
      <c r="AZ122" s="130">
        <f t="shared" si="38"/>
        <v>0</v>
      </c>
      <c r="BA122" s="130">
        <f t="shared" si="39"/>
        <v>0</v>
      </c>
      <c r="BB122" s="130">
        <f t="shared" si="40"/>
        <v>0</v>
      </c>
      <c r="BC122" s="130">
        <f t="shared" si="41"/>
        <v>0</v>
      </c>
      <c r="BD122" s="130">
        <f t="shared" si="42"/>
        <v>0</v>
      </c>
      <c r="BE122" s="130">
        <f t="shared" si="43"/>
        <v>0</v>
      </c>
      <c r="BF122" s="130">
        <f t="shared" si="44"/>
        <v>0</v>
      </c>
      <c r="BG122" s="130">
        <f t="shared" si="45"/>
        <v>0</v>
      </c>
      <c r="BH122" s="130">
        <f t="shared" si="46"/>
        <v>0</v>
      </c>
      <c r="BI122" s="130">
        <f t="shared" si="47"/>
        <v>0</v>
      </c>
      <c r="BJ122" s="130">
        <f t="shared" si="48"/>
        <v>0</v>
      </c>
      <c r="BK122" s="130">
        <f t="shared" si="49"/>
        <v>-137.5909646769515</v>
      </c>
      <c r="BL122" s="130">
        <f>IF($K122=$L122,$BK122,IF(OR($K122="graphite",$K122="vitreous carbon"),$BK$406+($BM$389+$I122)*$BJ$406,IF($K122="Pyrolytic Boron Nitride","PBN",IF(COUNTIF($BH$396:$BH$416,$K122)&gt;0,VLOOKUP($K122,$BH$396:$BK$416,4,FALSE)+($BM$389+$I122)*VLOOKUP($K122,$BH$396:$BK$416,3,FALSE),IF(COUNTIF($L$2:$L121,$K122)&gt;0,VLOOKUP($K122,$L$2:$BK121,52,FALSE),"idk")))))</f>
        <v>-123.53565520208147</v>
      </c>
      <c r="BM122" s="130"/>
      <c r="BN122" s="130"/>
      <c r="BO122" s="140">
        <v>2.7E-2</v>
      </c>
      <c r="BP122" s="129" t="s">
        <v>245</v>
      </c>
      <c r="BQ122" s="129" t="s">
        <v>246</v>
      </c>
      <c r="BR122" s="129" t="s">
        <v>247</v>
      </c>
      <c r="BS122" s="129"/>
      <c r="BT122" s="129">
        <v>5</v>
      </c>
      <c r="BV122" s="129"/>
      <c r="BZ122" s="129"/>
      <c r="DJ122" s="129">
        <v>1</v>
      </c>
      <c r="DK122" s="129">
        <v>3</v>
      </c>
      <c r="DL122" s="129"/>
      <c r="DM122" s="129">
        <v>-18.8</v>
      </c>
      <c r="DQ122" s="129">
        <v>1667400</v>
      </c>
      <c r="DR122" s="129">
        <v>2</v>
      </c>
      <c r="DS122" s="129">
        <v>1</v>
      </c>
      <c r="DU122" s="129" t="s">
        <v>335</v>
      </c>
      <c r="DW122" s="129">
        <f>SUM(_2025_01_07T12_47_export3[[#This Row],[Ni_wt]:[H_wt]])</f>
        <v>99.55</v>
      </c>
      <c r="DY122" s="130">
        <f>SUM($AM122:BJ122)</f>
        <v>100</v>
      </c>
    </row>
    <row r="123" spans="1:129" x14ac:dyDescent="0.25">
      <c r="A123" s="129" t="s">
        <v>338</v>
      </c>
      <c r="B123" s="129">
        <v>131</v>
      </c>
      <c r="C123" s="129" t="s">
        <v>332</v>
      </c>
      <c r="D123" s="129">
        <v>2023</v>
      </c>
      <c r="E123" s="129" t="s">
        <v>333</v>
      </c>
      <c r="F123" s="129" t="s">
        <v>334</v>
      </c>
      <c r="G123" s="129" t="s">
        <v>226</v>
      </c>
      <c r="H123" s="129">
        <v>0</v>
      </c>
      <c r="I123" s="129">
        <v>650</v>
      </c>
      <c r="J123" s="129">
        <v>8</v>
      </c>
      <c r="K123" s="129" t="s">
        <v>48</v>
      </c>
      <c r="L123" s="129" t="s">
        <v>312</v>
      </c>
      <c r="N123" s="129">
        <v>8470000</v>
      </c>
      <c r="O123" s="130">
        <v>73.73</v>
      </c>
      <c r="P123" s="130">
        <v>16.02</v>
      </c>
      <c r="Q123" s="130"/>
      <c r="R123" s="130">
        <v>9.32</v>
      </c>
      <c r="S123" s="130"/>
      <c r="T123" s="130"/>
      <c r="U123" s="130">
        <v>0.28000000000000003</v>
      </c>
      <c r="V123" s="130">
        <v>0.12</v>
      </c>
      <c r="W123" s="130">
        <v>0.2</v>
      </c>
      <c r="X123" s="130">
        <v>0.18</v>
      </c>
      <c r="Y123" s="130"/>
      <c r="Z123" s="130">
        <v>0.01</v>
      </c>
      <c r="AA123" s="130"/>
      <c r="AB123" s="130"/>
      <c r="AC123" s="130"/>
      <c r="AD123" s="130"/>
      <c r="AE123" s="130"/>
      <c r="AF123" s="130"/>
      <c r="AG123" s="130"/>
      <c r="AH123" s="130"/>
      <c r="AI123" s="130"/>
      <c r="AJ123" s="130"/>
      <c r="AK123" s="130"/>
      <c r="AL123" s="130"/>
      <c r="AM123" s="130">
        <f t="shared" si="25"/>
        <v>71.724834841375042</v>
      </c>
      <c r="AN123" s="130">
        <f t="shared" si="26"/>
        <v>17.589301797770876</v>
      </c>
      <c r="AO123" s="130">
        <f t="shared" si="27"/>
        <v>0</v>
      </c>
      <c r="AP123" s="130">
        <f t="shared" si="28"/>
        <v>9.5275704197770672</v>
      </c>
      <c r="AQ123" s="130">
        <f t="shared" si="29"/>
        <v>0</v>
      </c>
      <c r="AR123" s="130">
        <f t="shared" si="30"/>
        <v>0</v>
      </c>
      <c r="AS123" s="130">
        <f t="shared" si="31"/>
        <v>0.29097709835715008</v>
      </c>
      <c r="AT123" s="130">
        <f t="shared" si="32"/>
        <v>0.25393860717582051</v>
      </c>
      <c r="AU123" s="130">
        <f t="shared" si="33"/>
        <v>0.23853713604914834</v>
      </c>
      <c r="AV123" s="130">
        <f t="shared" si="34"/>
        <v>0.36585601396957829</v>
      </c>
      <c r="AW123" s="130">
        <f t="shared" si="35"/>
        <v>0</v>
      </c>
      <c r="AX123" s="130">
        <f t="shared" si="36"/>
        <v>8.9840855253129261E-3</v>
      </c>
      <c r="AY123" s="130">
        <f t="shared" si="37"/>
        <v>0</v>
      </c>
      <c r="AZ123" s="130">
        <f t="shared" si="38"/>
        <v>0</v>
      </c>
      <c r="BA123" s="130">
        <f t="shared" si="39"/>
        <v>0</v>
      </c>
      <c r="BB123" s="130">
        <f t="shared" si="40"/>
        <v>0</v>
      </c>
      <c r="BC123" s="130">
        <f t="shared" si="41"/>
        <v>0</v>
      </c>
      <c r="BD123" s="130">
        <f t="shared" si="42"/>
        <v>0</v>
      </c>
      <c r="BE123" s="130">
        <f t="shared" si="43"/>
        <v>0</v>
      </c>
      <c r="BF123" s="130">
        <f t="shared" si="44"/>
        <v>0</v>
      </c>
      <c r="BG123" s="130">
        <f t="shared" si="45"/>
        <v>0</v>
      </c>
      <c r="BH123" s="130">
        <f t="shared" si="46"/>
        <v>0</v>
      </c>
      <c r="BI123" s="130">
        <f t="shared" si="47"/>
        <v>0</v>
      </c>
      <c r="BJ123" s="130">
        <f t="shared" si="48"/>
        <v>0</v>
      </c>
      <c r="BK123" s="130">
        <f t="shared" si="49"/>
        <v>-130.30060511946388</v>
      </c>
      <c r="BL123" s="130">
        <f>IF($K123=$L123,$BK123,IF(OR($K123="graphite",$K123="vitreous carbon"),$BK$406+($BM$389+$I123)*$BJ$406,IF($K123="Pyrolytic Boron Nitride","PBN",IF(COUNTIF($BH$396:$BH$416,$K123)&gt;0,VLOOKUP($K123,$BH$396:$BK$416,4,FALSE)+($BM$389+$I123)*VLOOKUP($K123,$BH$396:$BK$416,3,FALSE),IF(COUNTIF($L$2:$L122,$K123)&gt;0,VLOOKUP($K123,$L$2:$BK122,52,FALSE),"idk")))))</f>
        <v>-123.53565520208147</v>
      </c>
      <c r="BM123" s="130"/>
      <c r="BN123" s="130"/>
      <c r="BO123" s="140">
        <v>2.5999999999999999E-2</v>
      </c>
      <c r="BP123" s="129" t="s">
        <v>245</v>
      </c>
      <c r="BQ123" s="129" t="s">
        <v>246</v>
      </c>
      <c r="BR123" s="129" t="s">
        <v>247</v>
      </c>
      <c r="BS123" s="129"/>
      <c r="BT123" s="129">
        <v>5</v>
      </c>
      <c r="BV123" s="129"/>
      <c r="BZ123" s="129"/>
      <c r="DJ123" s="129">
        <v>0</v>
      </c>
      <c r="DK123" s="129">
        <v>0</v>
      </c>
      <c r="DL123" s="129"/>
      <c r="DM123" s="129">
        <v>-5.8</v>
      </c>
      <c r="DQ123" s="129">
        <v>1312850</v>
      </c>
      <c r="DR123" s="129">
        <v>1</v>
      </c>
      <c r="DS123" s="129">
        <v>1</v>
      </c>
      <c r="DU123" s="129" t="s">
        <v>335</v>
      </c>
      <c r="DW123" s="129">
        <f>SUM(_2025_01_07T12_47_export3[[#This Row],[Ni_wt]:[H_wt]])</f>
        <v>99.860000000000014</v>
      </c>
      <c r="DY123" s="130">
        <f>SUM($AM123:BJ123)</f>
        <v>99.999999999999986</v>
      </c>
    </row>
    <row r="124" spans="1:129" x14ac:dyDescent="0.25">
      <c r="A124" s="129" t="s">
        <v>338</v>
      </c>
      <c r="B124" s="129">
        <v>132</v>
      </c>
      <c r="C124" s="129" t="s">
        <v>332</v>
      </c>
      <c r="D124" s="129">
        <v>2023</v>
      </c>
      <c r="E124" s="129" t="s">
        <v>333</v>
      </c>
      <c r="F124" s="129" t="s">
        <v>334</v>
      </c>
      <c r="G124" s="129" t="s">
        <v>226</v>
      </c>
      <c r="H124" s="129">
        <v>0</v>
      </c>
      <c r="I124" s="129">
        <v>650</v>
      </c>
      <c r="J124" s="129">
        <v>16</v>
      </c>
      <c r="K124" s="129" t="s">
        <v>48</v>
      </c>
      <c r="L124" s="129" t="s">
        <v>312</v>
      </c>
      <c r="N124" s="129">
        <v>8470000</v>
      </c>
      <c r="O124" s="130">
        <v>73.73</v>
      </c>
      <c r="P124" s="130">
        <v>16.02</v>
      </c>
      <c r="Q124" s="130"/>
      <c r="R124" s="130">
        <v>9.32</v>
      </c>
      <c r="S124" s="130"/>
      <c r="T124" s="130"/>
      <c r="U124" s="130">
        <v>0.28000000000000003</v>
      </c>
      <c r="V124" s="130">
        <v>0.12</v>
      </c>
      <c r="W124" s="130">
        <v>0.2</v>
      </c>
      <c r="X124" s="130">
        <v>0.18</v>
      </c>
      <c r="Y124" s="130"/>
      <c r="Z124" s="130">
        <v>0.01</v>
      </c>
      <c r="AA124" s="130"/>
      <c r="AB124" s="130"/>
      <c r="AC124" s="130"/>
      <c r="AD124" s="130"/>
      <c r="AE124" s="130"/>
      <c r="AF124" s="130"/>
      <c r="AG124" s="130"/>
      <c r="AH124" s="130"/>
      <c r="AI124" s="130"/>
      <c r="AJ124" s="130"/>
      <c r="AK124" s="130"/>
      <c r="AL124" s="130"/>
      <c r="AM124" s="130">
        <f t="shared" si="25"/>
        <v>71.724834841375042</v>
      </c>
      <c r="AN124" s="130">
        <f t="shared" si="26"/>
        <v>17.589301797770876</v>
      </c>
      <c r="AO124" s="130">
        <f t="shared" si="27"/>
        <v>0</v>
      </c>
      <c r="AP124" s="130">
        <f t="shared" si="28"/>
        <v>9.5275704197770672</v>
      </c>
      <c r="AQ124" s="130">
        <f t="shared" si="29"/>
        <v>0</v>
      </c>
      <c r="AR124" s="130">
        <f t="shared" si="30"/>
        <v>0</v>
      </c>
      <c r="AS124" s="130">
        <f t="shared" si="31"/>
        <v>0.29097709835715008</v>
      </c>
      <c r="AT124" s="130">
        <f t="shared" si="32"/>
        <v>0.25393860717582051</v>
      </c>
      <c r="AU124" s="130">
        <f t="shared" si="33"/>
        <v>0.23853713604914834</v>
      </c>
      <c r="AV124" s="130">
        <f t="shared" si="34"/>
        <v>0.36585601396957829</v>
      </c>
      <c r="AW124" s="130">
        <f t="shared" si="35"/>
        <v>0</v>
      </c>
      <c r="AX124" s="130">
        <f t="shared" si="36"/>
        <v>8.9840855253129261E-3</v>
      </c>
      <c r="AY124" s="130">
        <f t="shared" si="37"/>
        <v>0</v>
      </c>
      <c r="AZ124" s="130">
        <f t="shared" si="38"/>
        <v>0</v>
      </c>
      <c r="BA124" s="130">
        <f t="shared" si="39"/>
        <v>0</v>
      </c>
      <c r="BB124" s="130">
        <f t="shared" si="40"/>
        <v>0</v>
      </c>
      <c r="BC124" s="130">
        <f t="shared" si="41"/>
        <v>0</v>
      </c>
      <c r="BD124" s="130">
        <f t="shared" si="42"/>
        <v>0</v>
      </c>
      <c r="BE124" s="130">
        <f t="shared" si="43"/>
        <v>0</v>
      </c>
      <c r="BF124" s="130">
        <f t="shared" si="44"/>
        <v>0</v>
      </c>
      <c r="BG124" s="130">
        <f t="shared" si="45"/>
        <v>0</v>
      </c>
      <c r="BH124" s="130">
        <f t="shared" si="46"/>
        <v>0</v>
      </c>
      <c r="BI124" s="130">
        <f t="shared" si="47"/>
        <v>0</v>
      </c>
      <c r="BJ124" s="130">
        <f t="shared" si="48"/>
        <v>0</v>
      </c>
      <c r="BK124" s="130">
        <f t="shared" si="49"/>
        <v>-130.30060511946388</v>
      </c>
      <c r="BL124" s="130">
        <f>IF($K124=$L124,$BK124,IF(OR($K124="graphite",$K124="vitreous carbon"),$BK$406+($BM$389+$I124)*$BJ$406,IF($K124="Pyrolytic Boron Nitride","PBN",IF(COUNTIF($BH$396:$BH$416,$K124)&gt;0,VLOOKUP($K124,$BH$396:$BK$416,4,FALSE)+($BM$389+$I124)*VLOOKUP($K124,$BH$396:$BK$416,3,FALSE),IF(COUNTIF($L$2:$L123,$K124)&gt;0,VLOOKUP($K124,$L$2:$BK123,52,FALSE),"idk")))))</f>
        <v>-123.53565520208147</v>
      </c>
      <c r="BM124" s="130"/>
      <c r="BN124" s="130"/>
      <c r="BO124" s="140">
        <v>2.5999999999999999E-2</v>
      </c>
      <c r="BP124" s="129" t="s">
        <v>245</v>
      </c>
      <c r="BQ124" s="129" t="s">
        <v>246</v>
      </c>
      <c r="BR124" s="129" t="s">
        <v>247</v>
      </c>
      <c r="BS124" s="129"/>
      <c r="BT124" s="129">
        <v>5</v>
      </c>
      <c r="BV124" s="129"/>
      <c r="BZ124" s="129"/>
      <c r="DJ124" s="129">
        <v>0</v>
      </c>
      <c r="DK124" s="129">
        <v>0</v>
      </c>
      <c r="DL124" s="129"/>
      <c r="DM124" s="129">
        <v>-9.1999999999999993</v>
      </c>
      <c r="DQ124" s="129">
        <v>1312850</v>
      </c>
      <c r="DR124" s="129">
        <v>1</v>
      </c>
      <c r="DS124" s="129">
        <v>1</v>
      </c>
      <c r="DU124" s="129" t="s">
        <v>335</v>
      </c>
      <c r="DW124" s="129">
        <f>SUM(_2025_01_07T12_47_export3[[#This Row],[Ni_wt]:[H_wt]])</f>
        <v>99.860000000000014</v>
      </c>
      <c r="DY124" s="130">
        <f>SUM($AM124:BJ124)</f>
        <v>99.999999999999986</v>
      </c>
    </row>
    <row r="125" spans="1:129" hidden="1" x14ac:dyDescent="0.25">
      <c r="A125" s="129" t="s">
        <v>338</v>
      </c>
      <c r="B125" s="129">
        <v>133</v>
      </c>
      <c r="C125" s="129" t="s">
        <v>332</v>
      </c>
      <c r="D125" s="129">
        <v>2023</v>
      </c>
      <c r="E125" s="129" t="s">
        <v>333</v>
      </c>
      <c r="F125" s="129" t="s">
        <v>334</v>
      </c>
      <c r="G125" s="129" t="s">
        <v>226</v>
      </c>
      <c r="H125" s="129">
        <v>0</v>
      </c>
      <c r="I125" s="129">
        <v>650</v>
      </c>
      <c r="J125" s="129">
        <v>8</v>
      </c>
      <c r="K125" s="129" t="s">
        <v>48</v>
      </c>
      <c r="L125" s="129" t="s">
        <v>312</v>
      </c>
      <c r="N125" s="129">
        <v>8470000</v>
      </c>
      <c r="O125" s="130">
        <v>73.73</v>
      </c>
      <c r="P125" s="130">
        <v>16.02</v>
      </c>
      <c r="Q125" s="130"/>
      <c r="R125" s="130">
        <v>9.32</v>
      </c>
      <c r="S125" s="130"/>
      <c r="T125" s="130"/>
      <c r="U125" s="130">
        <v>0.28000000000000003</v>
      </c>
      <c r="V125" s="130">
        <v>0.12</v>
      </c>
      <c r="W125" s="130">
        <v>0.2</v>
      </c>
      <c r="X125" s="130">
        <v>0.18</v>
      </c>
      <c r="Y125" s="130"/>
      <c r="Z125" s="130">
        <v>0.01</v>
      </c>
      <c r="AA125" s="130"/>
      <c r="AB125" s="130"/>
      <c r="AC125" s="130"/>
      <c r="AD125" s="130"/>
      <c r="AE125" s="130"/>
      <c r="AF125" s="130"/>
      <c r="AG125" s="130"/>
      <c r="AH125" s="130"/>
      <c r="AI125" s="130"/>
      <c r="AJ125" s="130"/>
      <c r="AK125" s="130"/>
      <c r="AL125" s="130"/>
      <c r="AM125" s="130">
        <f t="shared" si="25"/>
        <v>71.724834841375042</v>
      </c>
      <c r="AN125" s="130">
        <f t="shared" si="26"/>
        <v>17.589301797770876</v>
      </c>
      <c r="AO125" s="130">
        <f t="shared" si="27"/>
        <v>0</v>
      </c>
      <c r="AP125" s="130">
        <f t="shared" si="28"/>
        <v>9.5275704197770672</v>
      </c>
      <c r="AQ125" s="130">
        <f t="shared" si="29"/>
        <v>0</v>
      </c>
      <c r="AR125" s="130">
        <f t="shared" si="30"/>
        <v>0</v>
      </c>
      <c r="AS125" s="130">
        <f t="shared" si="31"/>
        <v>0.29097709835715008</v>
      </c>
      <c r="AT125" s="130">
        <f t="shared" si="32"/>
        <v>0.25393860717582051</v>
      </c>
      <c r="AU125" s="130">
        <f t="shared" si="33"/>
        <v>0.23853713604914834</v>
      </c>
      <c r="AV125" s="130">
        <f t="shared" si="34"/>
        <v>0.36585601396957829</v>
      </c>
      <c r="AW125" s="130">
        <f t="shared" si="35"/>
        <v>0</v>
      </c>
      <c r="AX125" s="130">
        <f t="shared" si="36"/>
        <v>8.9840855253129261E-3</v>
      </c>
      <c r="AY125" s="130">
        <f t="shared" si="37"/>
        <v>0</v>
      </c>
      <c r="AZ125" s="130">
        <f t="shared" si="38"/>
        <v>0</v>
      </c>
      <c r="BA125" s="130">
        <f t="shared" si="39"/>
        <v>0</v>
      </c>
      <c r="BB125" s="130">
        <f t="shared" si="40"/>
        <v>0</v>
      </c>
      <c r="BC125" s="130">
        <f t="shared" si="41"/>
        <v>0</v>
      </c>
      <c r="BD125" s="130">
        <f t="shared" si="42"/>
        <v>0</v>
      </c>
      <c r="BE125" s="130">
        <f t="shared" si="43"/>
        <v>0</v>
      </c>
      <c r="BF125" s="130">
        <f t="shared" si="44"/>
        <v>0</v>
      </c>
      <c r="BG125" s="130">
        <f t="shared" si="45"/>
        <v>0</v>
      </c>
      <c r="BH125" s="130">
        <f t="shared" si="46"/>
        <v>0</v>
      </c>
      <c r="BI125" s="130">
        <f t="shared" si="47"/>
        <v>0</v>
      </c>
      <c r="BJ125" s="130">
        <f t="shared" si="48"/>
        <v>0</v>
      </c>
      <c r="BK125" s="130">
        <f t="shared" si="49"/>
        <v>-130.30060511946388</v>
      </c>
      <c r="BL125" s="130">
        <f>IF($K125=$L125,$BK125,IF(OR($K125="graphite",$K125="vitreous carbon"),$BK$406+($BM$389+$I125)*$BJ$406,IF($K125="Pyrolytic Boron Nitride","PBN",IF(COUNTIF($BH$396:$BH$416,$K125)&gt;0,VLOOKUP($K125,$BH$396:$BK$416,4,FALSE)+($BM$389+$I125)*VLOOKUP($K125,$BH$396:$BK$416,3,FALSE),IF(COUNTIF($L$2:$L124,$K125)&gt;0,VLOOKUP($K125,$L$2:$BK124,52,FALSE),"idk")))))</f>
        <v>-123.53565520208147</v>
      </c>
      <c r="BM125" s="130"/>
      <c r="BN125" s="130"/>
      <c r="BO125" s="140">
        <v>2.5999999999999999E-2</v>
      </c>
      <c r="BP125" s="129" t="s">
        <v>245</v>
      </c>
      <c r="BQ125" s="129" t="s">
        <v>246</v>
      </c>
      <c r="BR125" s="129" t="s">
        <v>247</v>
      </c>
      <c r="BS125" s="129"/>
      <c r="BT125" s="129">
        <v>5</v>
      </c>
      <c r="BV125" s="129"/>
      <c r="BZ125" s="129"/>
      <c r="DJ125" s="129">
        <v>1</v>
      </c>
      <c r="DK125" s="129">
        <v>3</v>
      </c>
      <c r="DL125" s="129"/>
      <c r="DM125" s="129">
        <v>-5.8</v>
      </c>
      <c r="DQ125" s="129">
        <v>1312850</v>
      </c>
      <c r="DR125" s="129">
        <v>1</v>
      </c>
      <c r="DS125" s="129">
        <v>1</v>
      </c>
      <c r="DU125" s="129" t="s">
        <v>335</v>
      </c>
      <c r="DW125" s="129">
        <f>SUM(_2025_01_07T12_47_export3[[#This Row],[Ni_wt]:[H_wt]])</f>
        <v>99.860000000000014</v>
      </c>
      <c r="DY125" s="130">
        <f>SUM($AM125:BJ125)</f>
        <v>99.999999999999986</v>
      </c>
    </row>
    <row r="126" spans="1:129" ht="16.5" hidden="1" thickBot="1" x14ac:dyDescent="0.3">
      <c r="A126" s="136" t="s">
        <v>338</v>
      </c>
      <c r="B126" s="136">
        <v>134</v>
      </c>
      <c r="C126" s="136" t="s">
        <v>332</v>
      </c>
      <c r="D126" s="136">
        <v>2023</v>
      </c>
      <c r="E126" s="136" t="s">
        <v>333</v>
      </c>
      <c r="F126" s="136" t="s">
        <v>334</v>
      </c>
      <c r="G126" s="136" t="s">
        <v>226</v>
      </c>
      <c r="H126" s="136">
        <v>0</v>
      </c>
      <c r="I126" s="136">
        <v>650</v>
      </c>
      <c r="J126" s="136">
        <v>16</v>
      </c>
      <c r="K126" s="136" t="s">
        <v>48</v>
      </c>
      <c r="L126" s="136" t="s">
        <v>312</v>
      </c>
      <c r="M126" s="136"/>
      <c r="N126" s="136">
        <v>8470000</v>
      </c>
      <c r="O126" s="137">
        <v>73.73</v>
      </c>
      <c r="P126" s="137">
        <v>16.02</v>
      </c>
      <c r="Q126" s="137"/>
      <c r="R126" s="137">
        <v>9.32</v>
      </c>
      <c r="S126" s="137"/>
      <c r="T126" s="137"/>
      <c r="U126" s="137">
        <v>0.28000000000000003</v>
      </c>
      <c r="V126" s="137">
        <v>0.12</v>
      </c>
      <c r="W126" s="137">
        <v>0.2</v>
      </c>
      <c r="X126" s="137">
        <v>0.18</v>
      </c>
      <c r="Y126" s="137"/>
      <c r="Z126" s="137">
        <v>0.01</v>
      </c>
      <c r="AA126" s="137"/>
      <c r="AB126" s="137"/>
      <c r="AC126" s="137"/>
      <c r="AD126" s="137"/>
      <c r="AE126" s="137"/>
      <c r="AF126" s="137"/>
      <c r="AG126" s="137"/>
      <c r="AH126" s="137"/>
      <c r="AI126" s="137"/>
      <c r="AJ126" s="137"/>
      <c r="AK126" s="137"/>
      <c r="AL126" s="137"/>
      <c r="AM126" s="137">
        <f t="shared" si="25"/>
        <v>71.724834841375042</v>
      </c>
      <c r="AN126" s="137">
        <f t="shared" si="26"/>
        <v>17.589301797770876</v>
      </c>
      <c r="AO126" s="137">
        <f t="shared" si="27"/>
        <v>0</v>
      </c>
      <c r="AP126" s="137">
        <f t="shared" si="28"/>
        <v>9.5275704197770672</v>
      </c>
      <c r="AQ126" s="137">
        <f t="shared" si="29"/>
        <v>0</v>
      </c>
      <c r="AR126" s="137">
        <f t="shared" si="30"/>
        <v>0</v>
      </c>
      <c r="AS126" s="137">
        <f t="shared" si="31"/>
        <v>0.29097709835715008</v>
      </c>
      <c r="AT126" s="137">
        <f t="shared" si="32"/>
        <v>0.25393860717582051</v>
      </c>
      <c r="AU126" s="137">
        <f t="shared" si="33"/>
        <v>0.23853713604914834</v>
      </c>
      <c r="AV126" s="137">
        <f t="shared" si="34"/>
        <v>0.36585601396957829</v>
      </c>
      <c r="AW126" s="137">
        <f t="shared" si="35"/>
        <v>0</v>
      </c>
      <c r="AX126" s="137">
        <f t="shared" si="36"/>
        <v>8.9840855253129261E-3</v>
      </c>
      <c r="AY126" s="137">
        <f t="shared" si="37"/>
        <v>0</v>
      </c>
      <c r="AZ126" s="137">
        <f t="shared" si="38"/>
        <v>0</v>
      </c>
      <c r="BA126" s="137">
        <f t="shared" si="39"/>
        <v>0</v>
      </c>
      <c r="BB126" s="137">
        <f t="shared" si="40"/>
        <v>0</v>
      </c>
      <c r="BC126" s="137">
        <f t="shared" si="41"/>
        <v>0</v>
      </c>
      <c r="BD126" s="137">
        <f t="shared" si="42"/>
        <v>0</v>
      </c>
      <c r="BE126" s="137">
        <f t="shared" si="43"/>
        <v>0</v>
      </c>
      <c r="BF126" s="137">
        <f t="shared" si="44"/>
        <v>0</v>
      </c>
      <c r="BG126" s="137">
        <f t="shared" si="45"/>
        <v>0</v>
      </c>
      <c r="BH126" s="137">
        <f t="shared" si="46"/>
        <v>0</v>
      </c>
      <c r="BI126" s="137">
        <f t="shared" si="47"/>
        <v>0</v>
      </c>
      <c r="BJ126" s="137">
        <f t="shared" si="48"/>
        <v>0</v>
      </c>
      <c r="BK126" s="137">
        <f t="shared" si="49"/>
        <v>-130.30060511946388</v>
      </c>
      <c r="BL126" s="137">
        <f>IF($K126=$L126,$BK126,IF(OR($K126="graphite",$K126="vitreous carbon"),$BK$406+($BM$389+$I126)*$BJ$406,IF($K126="Pyrolytic Boron Nitride","PBN",IF(COUNTIF($BH$396:$BH$416,$K126)&gt;0,VLOOKUP($K126,$BH$396:$BK$416,4,FALSE)+($BM$389+$I126)*VLOOKUP($K126,$BH$396:$BK$416,3,FALSE),IF(COUNTIF($L$2:$L125,$K126)&gt;0,VLOOKUP($K126,$L$2:$BK125,52,FALSE),"idk")))))</f>
        <v>-123.53565520208147</v>
      </c>
      <c r="BM126" s="137"/>
      <c r="BN126" s="137"/>
      <c r="BO126" s="141">
        <v>2.5999999999999999E-2</v>
      </c>
      <c r="BP126" s="136" t="s">
        <v>245</v>
      </c>
      <c r="BQ126" s="136" t="s">
        <v>246</v>
      </c>
      <c r="BR126" s="136" t="s">
        <v>247</v>
      </c>
      <c r="BS126" s="136"/>
      <c r="BT126" s="136">
        <v>5</v>
      </c>
      <c r="BU126" s="136"/>
      <c r="BV126" s="136"/>
      <c r="BW126" s="136"/>
      <c r="BX126" s="136"/>
      <c r="BY126" s="136"/>
      <c r="BZ126" s="136"/>
      <c r="CA126" s="136"/>
      <c r="CB126" s="136"/>
      <c r="CC126" s="136"/>
      <c r="CD126" s="136"/>
      <c r="CE126" s="136"/>
      <c r="CF126" s="136"/>
      <c r="CG126" s="136"/>
      <c r="CH126" s="136"/>
      <c r="CI126" s="136"/>
      <c r="CJ126" s="136"/>
      <c r="CK126" s="136"/>
      <c r="CL126" s="136"/>
      <c r="CM126" s="136"/>
      <c r="CN126" s="136"/>
      <c r="CO126" s="136"/>
      <c r="CP126" s="136"/>
      <c r="CQ126" s="136"/>
      <c r="CR126" s="136"/>
      <c r="CS126" s="136"/>
      <c r="CT126" s="136"/>
      <c r="CU126" s="136"/>
      <c r="CV126" s="136"/>
      <c r="CW126" s="136"/>
      <c r="CX126" s="136"/>
      <c r="CY126" s="136"/>
      <c r="CZ126" s="136"/>
      <c r="DA126" s="136"/>
      <c r="DB126" s="136"/>
      <c r="DC126" s="136"/>
      <c r="DD126" s="136"/>
      <c r="DE126" s="136"/>
      <c r="DF126" s="136"/>
      <c r="DG126" s="136"/>
      <c r="DH126" s="136"/>
      <c r="DI126" s="136"/>
      <c r="DJ126" s="136">
        <v>1</v>
      </c>
      <c r="DK126" s="136">
        <v>3</v>
      </c>
      <c r="DL126" s="136"/>
      <c r="DM126" s="136">
        <v>-9.9</v>
      </c>
      <c r="DN126" s="136"/>
      <c r="DO126" s="136"/>
      <c r="DP126" s="136"/>
      <c r="DQ126" s="136">
        <v>1312850</v>
      </c>
      <c r="DR126" s="136">
        <v>1</v>
      </c>
      <c r="DS126" s="136">
        <v>1</v>
      </c>
      <c r="DT126" s="136"/>
      <c r="DU126" s="136" t="s">
        <v>335</v>
      </c>
      <c r="DW126" s="129">
        <f>SUM(_2025_01_07T12_47_export3[[#This Row],[Ni_wt]:[H_wt]])</f>
        <v>99.860000000000014</v>
      </c>
      <c r="DY126" s="130">
        <f>SUM($AM126:BJ126)</f>
        <v>99.999999999999986</v>
      </c>
    </row>
    <row r="127" spans="1:129" x14ac:dyDescent="0.25">
      <c r="A127" s="129" t="s">
        <v>339</v>
      </c>
      <c r="B127" s="129">
        <v>135</v>
      </c>
      <c r="C127" s="129" t="s">
        <v>229</v>
      </c>
      <c r="D127" s="129">
        <v>2022</v>
      </c>
      <c r="E127" s="129" t="s">
        <v>253</v>
      </c>
      <c r="F127" s="129" t="s">
        <v>340</v>
      </c>
      <c r="G127" s="129" t="s">
        <v>226</v>
      </c>
      <c r="H127" s="129">
        <v>0</v>
      </c>
      <c r="I127" s="129">
        <v>650</v>
      </c>
      <c r="J127" s="129">
        <v>1000</v>
      </c>
      <c r="K127" s="129" t="s">
        <v>264</v>
      </c>
      <c r="L127" s="129" t="s">
        <v>264</v>
      </c>
      <c r="N127" s="129">
        <v>7980000</v>
      </c>
      <c r="O127" s="130">
        <v>10.4</v>
      </c>
      <c r="P127" s="130">
        <v>16.5</v>
      </c>
      <c r="Q127" s="130">
        <v>1.9</v>
      </c>
      <c r="R127" s="130">
        <v>68</v>
      </c>
      <c r="S127" s="130"/>
      <c r="T127" s="130"/>
      <c r="U127" s="130">
        <v>1.5</v>
      </c>
      <c r="V127" s="130"/>
      <c r="W127" s="130"/>
      <c r="X127" s="130">
        <v>0.3</v>
      </c>
      <c r="Y127" s="130">
        <v>3.4000000000000002E-2</v>
      </c>
      <c r="Z127" s="130">
        <v>0.4</v>
      </c>
      <c r="AA127" s="130"/>
      <c r="AB127" s="130"/>
      <c r="AC127" s="130"/>
      <c r="AD127" s="130"/>
      <c r="AE127" s="130"/>
      <c r="AF127" s="130"/>
      <c r="AG127" s="130"/>
      <c r="AH127" s="130"/>
      <c r="AI127" s="130"/>
      <c r="AJ127" s="130"/>
      <c r="AK127" s="130"/>
      <c r="AL127" s="130"/>
      <c r="AM127" s="130">
        <f t="shared" si="25"/>
        <v>9.9609769197369875</v>
      </c>
      <c r="AN127" s="130">
        <f t="shared" si="26"/>
        <v>17.836650581397006</v>
      </c>
      <c r="AO127" s="130">
        <f t="shared" si="27"/>
        <v>1.1130023099536577</v>
      </c>
      <c r="AP127" s="130">
        <f t="shared" si="28"/>
        <v>68.441329812886053</v>
      </c>
      <c r="AQ127" s="130">
        <f t="shared" si="29"/>
        <v>0</v>
      </c>
      <c r="AR127" s="130">
        <f t="shared" si="30"/>
        <v>0</v>
      </c>
      <c r="AS127" s="130">
        <f t="shared" si="31"/>
        <v>1.5347417517169877</v>
      </c>
      <c r="AT127" s="130">
        <f t="shared" si="32"/>
        <v>0</v>
      </c>
      <c r="AU127" s="130">
        <f t="shared" si="33"/>
        <v>0</v>
      </c>
      <c r="AV127" s="130">
        <f t="shared" si="34"/>
        <v>0.6003468269087312</v>
      </c>
      <c r="AW127" s="130">
        <f t="shared" si="35"/>
        <v>0.15913606453162724</v>
      </c>
      <c r="AX127" s="130">
        <f t="shared" si="36"/>
        <v>0.35381573286894863</v>
      </c>
      <c r="AY127" s="130">
        <f t="shared" si="37"/>
        <v>0</v>
      </c>
      <c r="AZ127" s="130">
        <f t="shared" si="38"/>
        <v>0</v>
      </c>
      <c r="BA127" s="130">
        <f t="shared" si="39"/>
        <v>0</v>
      </c>
      <c r="BB127" s="130">
        <f t="shared" si="40"/>
        <v>0</v>
      </c>
      <c r="BC127" s="130">
        <f t="shared" si="41"/>
        <v>0</v>
      </c>
      <c r="BD127" s="130">
        <f t="shared" si="42"/>
        <v>0</v>
      </c>
      <c r="BE127" s="130">
        <f t="shared" si="43"/>
        <v>0</v>
      </c>
      <c r="BF127" s="130">
        <f t="shared" si="44"/>
        <v>0</v>
      </c>
      <c r="BG127" s="130">
        <f t="shared" si="45"/>
        <v>0</v>
      </c>
      <c r="BH127" s="130">
        <f t="shared" si="46"/>
        <v>0</v>
      </c>
      <c r="BI127" s="130">
        <f t="shared" si="47"/>
        <v>0</v>
      </c>
      <c r="BJ127" s="130">
        <f t="shared" si="48"/>
        <v>0</v>
      </c>
      <c r="BK127" s="130">
        <f t="shared" si="49"/>
        <v>-138.72039523538314</v>
      </c>
      <c r="BL127" s="130">
        <f>IF($K127=$L127,$BK127,IF(OR($K127="graphite",$K127="vitreous carbon"),$BK$406+($BM$389+$I127)*$BJ$406,IF($K127="Pyrolytic Boron Nitride","PBN",IF(COUNTIF($BH$396:$BH$416,$K127)&gt;0,VLOOKUP($K127,$BH$396:$BK$416,4,FALSE)+($BM$389+$I127)*VLOOKUP($K127,$BH$396:$BK$416,3,FALSE),IF(COUNTIF($L$2:$L126,$K127)&gt;0,VLOOKUP($K127,$L$2:$BK126,52,FALSE),"idk")))))</f>
        <v>-138.72039523538314</v>
      </c>
      <c r="BM127" s="130">
        <v>125</v>
      </c>
      <c r="BN127" s="130">
        <v>65</v>
      </c>
      <c r="BO127" s="130">
        <v>20</v>
      </c>
      <c r="BP127" s="129" t="s">
        <v>228</v>
      </c>
      <c r="BQ127" s="129"/>
      <c r="BR127" s="129" t="s">
        <v>230</v>
      </c>
      <c r="BS127" s="129"/>
      <c r="BT127" s="129">
        <v>0</v>
      </c>
      <c r="BU127" s="129">
        <v>21</v>
      </c>
      <c r="BV127" s="129"/>
      <c r="BX127" s="129">
        <v>23</v>
      </c>
      <c r="BY127" s="129">
        <v>6.5</v>
      </c>
      <c r="BZ127" s="129">
        <v>1</v>
      </c>
      <c r="CA127" s="129">
        <v>3.9</v>
      </c>
      <c r="CD127" s="129">
        <v>9.4</v>
      </c>
      <c r="CE127" s="129">
        <v>1.8</v>
      </c>
      <c r="CL127" s="129">
        <v>0.5</v>
      </c>
      <c r="DG127" s="129">
        <v>3.6</v>
      </c>
      <c r="DJ127" s="129">
        <v>0</v>
      </c>
      <c r="DK127" s="129">
        <v>0</v>
      </c>
      <c r="DL127" s="129"/>
      <c r="DO127" s="129">
        <v>-0.38</v>
      </c>
      <c r="DQ127" s="129">
        <v>1372560</v>
      </c>
      <c r="DR127" s="129">
        <v>1</v>
      </c>
      <c r="DS127" s="129">
        <v>3</v>
      </c>
      <c r="DT127" s="133" t="s">
        <v>342</v>
      </c>
      <c r="DU127" s="129" t="s">
        <v>341</v>
      </c>
      <c r="DW127" s="129">
        <f>SUM(_2025_01_07T12_47_export3[[#This Row],[Ni_wt]:[H_wt]])</f>
        <v>99.034000000000006</v>
      </c>
      <c r="DY127" s="130">
        <f>SUM($AM127:BJ127)</f>
        <v>100</v>
      </c>
    </row>
    <row r="128" spans="1:129" x14ac:dyDescent="0.25">
      <c r="A128" s="129" t="s">
        <v>339</v>
      </c>
      <c r="B128" s="129">
        <v>136</v>
      </c>
      <c r="C128" s="129" t="s">
        <v>229</v>
      </c>
      <c r="D128" s="129">
        <v>2022</v>
      </c>
      <c r="E128" s="129" t="s">
        <v>253</v>
      </c>
      <c r="F128" s="129" t="s">
        <v>340</v>
      </c>
      <c r="G128" s="129" t="s">
        <v>226</v>
      </c>
      <c r="H128" s="129">
        <v>0</v>
      </c>
      <c r="I128" s="129">
        <v>550</v>
      </c>
      <c r="J128" s="129">
        <v>1000</v>
      </c>
      <c r="K128" s="129" t="s">
        <v>264</v>
      </c>
      <c r="L128" s="129" t="s">
        <v>264</v>
      </c>
      <c r="N128" s="129">
        <v>7980000</v>
      </c>
      <c r="O128" s="130">
        <v>10.4</v>
      </c>
      <c r="P128" s="130">
        <v>16.5</v>
      </c>
      <c r="Q128" s="130">
        <v>1.9</v>
      </c>
      <c r="R128" s="130">
        <v>68</v>
      </c>
      <c r="S128" s="130"/>
      <c r="T128" s="130"/>
      <c r="U128" s="130">
        <v>1.5</v>
      </c>
      <c r="V128" s="130"/>
      <c r="W128" s="130"/>
      <c r="X128" s="130">
        <v>0.3</v>
      </c>
      <c r="Y128" s="130">
        <v>3.4000000000000002E-2</v>
      </c>
      <c r="Z128" s="130">
        <v>0.4</v>
      </c>
      <c r="AA128" s="130"/>
      <c r="AB128" s="130"/>
      <c r="AC128" s="130"/>
      <c r="AD128" s="130"/>
      <c r="AE128" s="130"/>
      <c r="AF128" s="130"/>
      <c r="AG128" s="130"/>
      <c r="AH128" s="130"/>
      <c r="AI128" s="130"/>
      <c r="AJ128" s="130"/>
      <c r="AK128" s="130"/>
      <c r="AL128" s="130"/>
      <c r="AM128" s="130">
        <f t="shared" si="25"/>
        <v>9.9609769197369875</v>
      </c>
      <c r="AN128" s="130">
        <f t="shared" si="26"/>
        <v>17.836650581397006</v>
      </c>
      <c r="AO128" s="130">
        <f t="shared" si="27"/>
        <v>1.1130023099536577</v>
      </c>
      <c r="AP128" s="130">
        <f t="shared" si="28"/>
        <v>68.441329812886053</v>
      </c>
      <c r="AQ128" s="130">
        <f t="shared" si="29"/>
        <v>0</v>
      </c>
      <c r="AR128" s="130">
        <f t="shared" si="30"/>
        <v>0</v>
      </c>
      <c r="AS128" s="130">
        <f t="shared" si="31"/>
        <v>1.5347417517169877</v>
      </c>
      <c r="AT128" s="130">
        <f t="shared" si="32"/>
        <v>0</v>
      </c>
      <c r="AU128" s="130">
        <f t="shared" si="33"/>
        <v>0</v>
      </c>
      <c r="AV128" s="130">
        <f t="shared" si="34"/>
        <v>0.6003468269087312</v>
      </c>
      <c r="AW128" s="130">
        <f t="shared" si="35"/>
        <v>0.15913606453162724</v>
      </c>
      <c r="AX128" s="130">
        <f t="shared" si="36"/>
        <v>0.35381573286894863</v>
      </c>
      <c r="AY128" s="130">
        <f t="shared" si="37"/>
        <v>0</v>
      </c>
      <c r="AZ128" s="130">
        <f t="shared" si="38"/>
        <v>0</v>
      </c>
      <c r="BA128" s="130">
        <f t="shared" si="39"/>
        <v>0</v>
      </c>
      <c r="BB128" s="130">
        <f t="shared" si="40"/>
        <v>0</v>
      </c>
      <c r="BC128" s="130">
        <f t="shared" si="41"/>
        <v>0</v>
      </c>
      <c r="BD128" s="130">
        <f t="shared" si="42"/>
        <v>0</v>
      </c>
      <c r="BE128" s="130">
        <f t="shared" si="43"/>
        <v>0</v>
      </c>
      <c r="BF128" s="130">
        <f t="shared" si="44"/>
        <v>0</v>
      </c>
      <c r="BG128" s="130">
        <f t="shared" si="45"/>
        <v>0</v>
      </c>
      <c r="BH128" s="130">
        <f t="shared" si="46"/>
        <v>0</v>
      </c>
      <c r="BI128" s="130">
        <f t="shared" si="47"/>
        <v>0</v>
      </c>
      <c r="BJ128" s="130">
        <f t="shared" si="48"/>
        <v>0</v>
      </c>
      <c r="BK128" s="130">
        <f t="shared" si="49"/>
        <v>-141.96938378108504</v>
      </c>
      <c r="BL128" s="130">
        <f>IF($K128=$L128,$BK128,IF(OR($K128="graphite",$K128="vitreous carbon"),$BK$406+($BM$389+$I128)*$BJ$406,IF($K128="Pyrolytic Boron Nitride","PBN",IF(COUNTIF($BH$396:$BH$416,$K128)&gt;0,VLOOKUP($K128,$BH$396:$BK$416,4,FALSE)+($BM$389+$I128)*VLOOKUP($K128,$BH$396:$BK$416,3,FALSE),IF(COUNTIF($L$2:$L127,$K128)&gt;0,VLOOKUP($K128,$L$2:$BK127,52,FALSE),"idk")))))</f>
        <v>-141.96938378108504</v>
      </c>
      <c r="BM128" s="130">
        <v>125</v>
      </c>
      <c r="BN128" s="130">
        <v>65</v>
      </c>
      <c r="BO128" s="130">
        <v>20</v>
      </c>
      <c r="BP128" s="129" t="s">
        <v>228</v>
      </c>
      <c r="BQ128" s="129"/>
      <c r="BR128" s="129" t="s">
        <v>230</v>
      </c>
      <c r="BS128" s="129"/>
      <c r="BT128" s="129">
        <v>0</v>
      </c>
      <c r="BU128" s="129">
        <v>21</v>
      </c>
      <c r="BV128" s="129"/>
      <c r="BX128" s="129">
        <v>23</v>
      </c>
      <c r="BY128" s="129">
        <v>6.5</v>
      </c>
      <c r="BZ128" s="129">
        <v>1</v>
      </c>
      <c r="CA128" s="129">
        <v>3.9</v>
      </c>
      <c r="CD128" s="129">
        <v>9.4</v>
      </c>
      <c r="CE128" s="129">
        <v>1.8</v>
      </c>
      <c r="CL128" s="129">
        <v>0.5</v>
      </c>
      <c r="DG128" s="129">
        <v>3.6</v>
      </c>
      <c r="DJ128" s="129">
        <v>0</v>
      </c>
      <c r="DK128" s="129">
        <v>0</v>
      </c>
      <c r="DL128" s="129"/>
      <c r="DO128" s="129">
        <v>-0.28999999999999998</v>
      </c>
      <c r="DQ128" s="129">
        <v>1372560</v>
      </c>
      <c r="DR128" s="129">
        <v>1</v>
      </c>
      <c r="DS128" s="129">
        <v>3</v>
      </c>
      <c r="DT128" s="133" t="s">
        <v>343</v>
      </c>
      <c r="DU128" s="129" t="s">
        <v>248</v>
      </c>
      <c r="DW128" s="129">
        <f>SUM(_2025_01_07T12_47_export3[[#This Row],[Ni_wt]:[H_wt]])</f>
        <v>99.034000000000006</v>
      </c>
      <c r="DY128" s="130">
        <f>SUM($AM128:BJ128)</f>
        <v>100</v>
      </c>
    </row>
    <row r="129" spans="1:129" hidden="1" x14ac:dyDescent="0.25">
      <c r="A129" s="129" t="s">
        <v>339</v>
      </c>
      <c r="B129" s="129">
        <v>137</v>
      </c>
      <c r="C129" s="129" t="s">
        <v>229</v>
      </c>
      <c r="D129" s="129">
        <v>2022</v>
      </c>
      <c r="E129" s="129" t="s">
        <v>253</v>
      </c>
      <c r="F129" s="129" t="s">
        <v>340</v>
      </c>
      <c r="G129" s="129" t="s">
        <v>344</v>
      </c>
      <c r="H129" s="129">
        <v>2</v>
      </c>
      <c r="I129" s="129">
        <v>650</v>
      </c>
      <c r="J129" s="129">
        <v>1000</v>
      </c>
      <c r="K129" s="129" t="s">
        <v>264</v>
      </c>
      <c r="L129" s="129" t="s">
        <v>264</v>
      </c>
      <c r="N129" s="129">
        <v>7980000</v>
      </c>
      <c r="O129" s="130">
        <v>10.4</v>
      </c>
      <c r="P129" s="130">
        <v>16.5</v>
      </c>
      <c r="Q129" s="130">
        <v>1.9</v>
      </c>
      <c r="R129" s="130">
        <v>68</v>
      </c>
      <c r="S129" s="130"/>
      <c r="T129" s="130"/>
      <c r="U129" s="130">
        <v>1.5</v>
      </c>
      <c r="V129" s="130"/>
      <c r="W129" s="130"/>
      <c r="X129" s="130">
        <v>0.3</v>
      </c>
      <c r="Y129" s="130">
        <v>3.4000000000000002E-2</v>
      </c>
      <c r="Z129" s="130">
        <v>0.4</v>
      </c>
      <c r="AA129" s="130"/>
      <c r="AB129" s="130"/>
      <c r="AC129" s="130"/>
      <c r="AD129" s="130"/>
      <c r="AE129" s="130"/>
      <c r="AF129" s="130"/>
      <c r="AG129" s="130"/>
      <c r="AH129" s="130"/>
      <c r="AI129" s="130"/>
      <c r="AJ129" s="130"/>
      <c r="AK129" s="130"/>
      <c r="AL129" s="130"/>
      <c r="AM129" s="130">
        <f t="shared" si="25"/>
        <v>9.9609769197369875</v>
      </c>
      <c r="AN129" s="130">
        <f t="shared" si="26"/>
        <v>17.836650581397006</v>
      </c>
      <c r="AO129" s="130">
        <f t="shared" si="27"/>
        <v>1.1130023099536577</v>
      </c>
      <c r="AP129" s="130">
        <f t="shared" si="28"/>
        <v>68.441329812886053</v>
      </c>
      <c r="AQ129" s="130">
        <f t="shared" si="29"/>
        <v>0</v>
      </c>
      <c r="AR129" s="130">
        <f t="shared" si="30"/>
        <v>0</v>
      </c>
      <c r="AS129" s="130">
        <f t="shared" si="31"/>
        <v>1.5347417517169877</v>
      </c>
      <c r="AT129" s="130">
        <f t="shared" si="32"/>
        <v>0</v>
      </c>
      <c r="AU129" s="130">
        <f t="shared" si="33"/>
        <v>0</v>
      </c>
      <c r="AV129" s="130">
        <f t="shared" si="34"/>
        <v>0.6003468269087312</v>
      </c>
      <c r="AW129" s="130">
        <f t="shared" si="35"/>
        <v>0.15913606453162724</v>
      </c>
      <c r="AX129" s="130">
        <f t="shared" si="36"/>
        <v>0.35381573286894863</v>
      </c>
      <c r="AY129" s="130">
        <f t="shared" si="37"/>
        <v>0</v>
      </c>
      <c r="AZ129" s="130">
        <f t="shared" si="38"/>
        <v>0</v>
      </c>
      <c r="BA129" s="130">
        <f t="shared" si="39"/>
        <v>0</v>
      </c>
      <c r="BB129" s="130">
        <f t="shared" si="40"/>
        <v>0</v>
      </c>
      <c r="BC129" s="130">
        <f t="shared" si="41"/>
        <v>0</v>
      </c>
      <c r="BD129" s="130">
        <f t="shared" si="42"/>
        <v>0</v>
      </c>
      <c r="BE129" s="130">
        <f t="shared" si="43"/>
        <v>0</v>
      </c>
      <c r="BF129" s="130">
        <f t="shared" si="44"/>
        <v>0</v>
      </c>
      <c r="BG129" s="130">
        <f t="shared" si="45"/>
        <v>0</v>
      </c>
      <c r="BH129" s="130">
        <f t="shared" si="46"/>
        <v>0</v>
      </c>
      <c r="BI129" s="130">
        <f t="shared" si="47"/>
        <v>0</v>
      </c>
      <c r="BJ129" s="130">
        <f t="shared" si="48"/>
        <v>0</v>
      </c>
      <c r="BK129" s="130">
        <f t="shared" si="49"/>
        <v>-138.72039523538314</v>
      </c>
      <c r="BL129" s="130">
        <f>IF($K129=$L129,$BK129,IF(OR($K129="graphite",$K129="vitreous carbon"),$BK$406+($BM$389+$I129)*$BJ$406,IF($K129="Pyrolytic Boron Nitride","PBN",IF(COUNTIF($BH$396:$BH$416,$K129)&gt;0,VLOOKUP($K129,$BH$396:$BK$416,4,FALSE)+($BM$389+$I129)*VLOOKUP($K129,$BH$396:$BK$416,3,FALSE),IF(COUNTIF($L$2:$L128,$K129)&gt;0,VLOOKUP($K129,$L$2:$BK128,52,FALSE),"idk")))))</f>
        <v>-138.72039523538314</v>
      </c>
      <c r="BM129" s="130">
        <v>25</v>
      </c>
      <c r="BN129" s="130">
        <v>19</v>
      </c>
      <c r="BO129" s="130">
        <v>1.8</v>
      </c>
      <c r="BP129" s="129" t="s">
        <v>228</v>
      </c>
      <c r="BQ129" s="129"/>
      <c r="BR129" s="129" t="s">
        <v>230</v>
      </c>
      <c r="BS129" s="129"/>
      <c r="BT129" s="129">
        <v>0</v>
      </c>
      <c r="BU129" s="129">
        <v>21</v>
      </c>
      <c r="BV129" s="129"/>
      <c r="BX129" s="129">
        <v>23</v>
      </c>
      <c r="BY129" s="129">
        <v>6.5</v>
      </c>
      <c r="BZ129" s="129">
        <v>1</v>
      </c>
      <c r="CA129" s="129">
        <v>3.9</v>
      </c>
      <c r="CD129" s="129">
        <v>9.4</v>
      </c>
      <c r="CE129" s="129">
        <v>1.8</v>
      </c>
      <c r="CL129" s="129">
        <v>0.5</v>
      </c>
      <c r="DG129" s="129">
        <v>3.6</v>
      </c>
      <c r="DJ129" s="129">
        <v>0</v>
      </c>
      <c r="DK129" s="129">
        <v>0</v>
      </c>
      <c r="DL129" s="129"/>
      <c r="DM129" s="129">
        <v>-13.57</v>
      </c>
      <c r="DO129" s="129">
        <v>-3</v>
      </c>
      <c r="DQ129" s="129">
        <v>1372560</v>
      </c>
      <c r="DR129" s="129">
        <v>5</v>
      </c>
      <c r="DS129" s="129">
        <v>3</v>
      </c>
      <c r="DU129" s="129" t="s">
        <v>345</v>
      </c>
      <c r="DW129" s="129">
        <f>SUM(_2025_01_07T12_47_export3[[#This Row],[Ni_wt]:[H_wt]])</f>
        <v>99.034000000000006</v>
      </c>
      <c r="DY129" s="130">
        <f>SUM($AM129:BJ129)</f>
        <v>100</v>
      </c>
    </row>
    <row r="130" spans="1:129" hidden="1" x14ac:dyDescent="0.25">
      <c r="A130" s="129" t="s">
        <v>339</v>
      </c>
      <c r="B130" s="129">
        <v>138</v>
      </c>
      <c r="C130" s="129" t="s">
        <v>229</v>
      </c>
      <c r="D130" s="129">
        <v>2022</v>
      </c>
      <c r="E130" s="129" t="s">
        <v>253</v>
      </c>
      <c r="F130" s="129" t="s">
        <v>340</v>
      </c>
      <c r="G130" s="129" t="s">
        <v>344</v>
      </c>
      <c r="H130" s="129">
        <v>2</v>
      </c>
      <c r="I130" s="129">
        <v>636</v>
      </c>
      <c r="J130" s="129">
        <v>1000</v>
      </c>
      <c r="K130" s="129" t="s">
        <v>264</v>
      </c>
      <c r="L130" s="129" t="s">
        <v>264</v>
      </c>
      <c r="N130" s="129">
        <v>7980000</v>
      </c>
      <c r="O130" s="130">
        <v>10.4</v>
      </c>
      <c r="P130" s="130">
        <v>16.5</v>
      </c>
      <c r="Q130" s="130">
        <v>1.9</v>
      </c>
      <c r="R130" s="130">
        <v>68</v>
      </c>
      <c r="S130" s="130"/>
      <c r="T130" s="130"/>
      <c r="U130" s="130">
        <v>1.5</v>
      </c>
      <c r="V130" s="130"/>
      <c r="W130" s="130"/>
      <c r="X130" s="130">
        <v>0.3</v>
      </c>
      <c r="Y130" s="130">
        <v>3.4000000000000002E-2</v>
      </c>
      <c r="Z130" s="130">
        <v>0.4</v>
      </c>
      <c r="AA130" s="130"/>
      <c r="AB130" s="130"/>
      <c r="AC130" s="130"/>
      <c r="AD130" s="130"/>
      <c r="AE130" s="130"/>
      <c r="AF130" s="130"/>
      <c r="AG130" s="130"/>
      <c r="AH130" s="130"/>
      <c r="AI130" s="130"/>
      <c r="AJ130" s="130"/>
      <c r="AK130" s="130"/>
      <c r="AL130" s="130"/>
      <c r="AM130" s="130">
        <f t="shared" ref="AM130:AM193" si="50">100*(O130/BD$343)/($O130/$BD$343+$P130/$BD$344+$Q130/$BD$346+$R130/$BD$348+$S130/$BD$350+$T130/$BD$351+$U130/$BD$352+$V130/$BD$353+$W130/$BD$354+$X130/$BD$359+$Y130/$BD$360+$Z130/$BD$361+$AA130/$BD$362+$AB130/$BD$363+$AC130/$BD$364+$AD130/$BD$365+$AE130/$BD$366+$AF130/$BD$367+$AG130/$BD$369+$AH130/$BD$355+$AI130/$BD$356+$AJ130/$BD$357+$AK130/$BD$368+$AL130/$BD$358)</f>
        <v>9.9609769197369875</v>
      </c>
      <c r="AN130" s="130">
        <f t="shared" ref="AN130:AN193" si="51">100*(P130/BD$344)/($O130/$BD$343+$P130/$BD$344+$Q130/$BD$346+$R130/$BD$348+$S130/$BD$350+$T130/$BD$351+$U130/$BD$352+$V130/$BD$353+$W130/$BD$354+$X130/$BD$359+$Y130/$BD$360+$Z130/$BD$361+$AA130/$BD$362+$AB130/$BD$363+$AC130/$BD$364+$AD130/$BD$365+$AE130/$BD$366+$AF130/$BD$367+$AG130/$BD$369+$AH130/$BD$355+$AI130/$BD$356+$AJ130/$BD$357+$AK130/$BD$368+$AL130/$BD$358)</f>
        <v>17.836650581397006</v>
      </c>
      <c r="AO130" s="130">
        <f t="shared" ref="AO130:AO193" si="52">100*(Q130/BD$346)/($O130/$BD$343+$P130/$BD$344+$Q130/$BD$346+$R130/$BD$348+$S130/$BD$350+$T130/$BD$351+$U130/$BD$352+$V130/$BD$353+$W130/$BD$354+$X130/$BD$359+$Y130/$BD$360+$Z130/$BD$361+$AA130/$BD$362+$AB130/$BD$363+$AC130/$BD$364+$AD130/$BD$365+$AE130/$BD$366+$AF130/$BD$367+$AG130/$BD$369+$AH130/$BD$355+$AI130/$BD$356+$AJ130/$BD$357+$AK130/$BD$368+$AL130/$BD$358)</f>
        <v>1.1130023099536577</v>
      </c>
      <c r="AP130" s="130">
        <f t="shared" ref="AP130:AP193" si="53">100*(R130/BD$348)/($O130/$BD$343+$P130/$BD$344+$Q130/$BD$346+$R130/$BD$348+$S130/$BD$350+$T130/$BD$351+$U130/$BD$352+$V130/$BD$353+$W130/$BD$354+$X130/$BD$359+$Y130/$BD$360+$Z130/$BD$361+$AA130/$BD$362+$AB130/$BD$363+$AC130/$BD$364+$AD130/$BD$365+$AE130/$BD$366+$AF130/$BD$367+$AG130/$BD$369+$AH130/$BD$355+$AI130/$BD$356+$AJ130/$BD$357+$AK130/$BD$368+$AL130/$BD$358)</f>
        <v>68.441329812886053</v>
      </c>
      <c r="AQ130" s="130">
        <f t="shared" ref="AQ130:AQ193" si="54">100*(S130/BD$350)/($O130/$BD$343+$P130/$BD$344+$Q130/$BD$346+$R130/$BD$348+$S130/$BD$350+$T130/$BD$351+$U130/$BD$352+$V130/$BD$353+$W130/$BD$354+$X130/$BD$359+$Y130/$BD$360+$Z130/$BD$361+$AA130/$BD$362+$AB130/$BD$363+$AC130/$BD$364+$AD130/$BD$365+$AE130/$BD$366+$AF130/$BD$367+$AG130/$BD$369+$AH130/$BD$355+$AI130/$BD$356+$AJ130/$BD$357+$AK130/$BD$368+$AL130/$BD$358)</f>
        <v>0</v>
      </c>
      <c r="AR130" s="130">
        <f t="shared" ref="AR130:AR193" si="55">100*(T130/BD$351)/($O130/$BD$343+$P130/$BD$344+$Q130/$BD$346+$R130/$BD$348+$S130/$BD$350+$T130/$BD$351+$U130/$BD$352+$V130/$BD$353+$W130/$BD$354+$X130/$BD$359+$Y130/$BD$360+$Z130/$BD$361+$AA130/$BD$362+$AB130/$BD$363+$AC130/$BD$364+$AD130/$BD$365+$AE130/$BD$366+$AF130/$BD$367+$AG130/$BD$369+$AH130/$BD$355+$AI130/$BD$356+$AJ130/$BD$357+$AK130/$BD$368+$AL130/$BD$358)</f>
        <v>0</v>
      </c>
      <c r="AS130" s="130">
        <f t="shared" ref="AS130:AS193" si="56">100*(U130/BD$352)/($O130/$BD$343+$P130/$BD$344+$Q130/$BD$346+$R130/$BD$348+$S130/$BD$350+$T130/$BD$351+$U130/$BD$352+$V130/$BD$353+$W130/$BD$354+$X130/$BD$359+$Y130/$BD$360+$Z130/$BD$361+$AA130/$BD$362+$AB130/$BD$363+$AC130/$BD$364+$AD130/$BD$365+$AE130/$BD$366+$AF130/$BD$367+$AG130/$BD$369+$AH130/$BD$355+$AI130/$BD$356+$AJ130/$BD$357+$AK130/$BD$368+$AL130/$BD$358)</f>
        <v>1.5347417517169877</v>
      </c>
      <c r="AT130" s="130">
        <f t="shared" ref="AT130:AT193" si="57">100*(V130/BD$353)/($O130/$BD$343+$P130/$BD$344+$Q130/$BD$346+$R130/$BD$348+$S130/$BD$350+$T130/$BD$351+$U130/$BD$352+$V130/$BD$353+$W130/$BD$354+$X130/$BD$359+$Y130/$BD$360+$Z130/$BD$361+$AA130/$BD$362+$AB130/$BD$363+$AC130/$BD$364+$AD130/$BD$365+$AE130/$BD$366+$AF130/$BD$367+$AG130/$BD$369+$AH130/$BD$355+$AI130/$BD$356+$AJ130/$BD$357+$AK130/$BD$368+$AL130/$BD$358)</f>
        <v>0</v>
      </c>
      <c r="AU130" s="130">
        <f t="shared" ref="AU130:AU193" si="58">100*(W130/BD$354)/($O130/$BD$343+$P130/$BD$344+$Q130/$BD$346+$R130/$BD$348+$S130/$BD$350+$T130/$BD$351+$U130/$BD$352+$V130/$BD$353+$W130/$BD$354+$X130/$BD$359+$Y130/$BD$360+$Z130/$BD$361+$AA130/$BD$362+$AB130/$BD$363+$AC130/$BD$364+$AD130/$BD$365+$AE130/$BD$366+$AF130/$BD$367+$AG130/$BD$369+$AH130/$BD$355+$AI130/$BD$356+$AJ130/$BD$357+$AK130/$BD$368+$AL130/$BD$358)</f>
        <v>0</v>
      </c>
      <c r="AV130" s="130">
        <f t="shared" ref="AV130:AV193" si="59">100*(X130/BD$359)/($O130/$BD$343+$P130/$BD$344+$Q130/$BD$346+$R130/$BD$348+$S130/$BD$350+$T130/$BD$351+$U130/$BD$352+$V130/$BD$353+$W130/$BD$354+$X130/$BD$359+$Y130/$BD$360+$Z130/$BD$361+$AA130/$BD$362+$AB130/$BD$363+$AC130/$BD$364+$AD130/$BD$365+$AE130/$BD$366+$AF130/$BD$367+$AG130/$BD$369+$AH130/$BD$355+$AI130/$BD$356+$AJ130/$BD$357+$AK130/$BD$368+$AL130/$BD$358)</f>
        <v>0.6003468269087312</v>
      </c>
      <c r="AW130" s="130">
        <f t="shared" ref="AW130:AW193" si="60">100*(Y130/BD$360)/($O130/$BD$343+$P130/$BD$344+$Q130/$BD$346+$R130/$BD$348+$S130/$BD$350+$T130/$BD$351+$U130/$BD$352+$V130/$BD$353+$W130/$BD$354+$X130/$BD$359+$Y130/$BD$360+$Z130/$BD$361+$AA130/$BD$362+$AB130/$BD$363+$AC130/$BD$364+$AD130/$BD$365+$AE130/$BD$366+$AF130/$BD$367+$AG130/$BD$369+$AH130/$BD$355+$AI130/$BD$356+$AJ130/$BD$357+$AK130/$BD$368+$AL130/$BD$358)</f>
        <v>0.15913606453162724</v>
      </c>
      <c r="AX130" s="130">
        <f t="shared" ref="AX130:AX193" si="61">100*(Z130/BD$361)/($O130/$BD$343+$P130/$BD$344+$Q130/$BD$346+$R130/$BD$348+$S130/$BD$350+$T130/$BD$351+$U130/$BD$352+$V130/$BD$353+$W130/$BD$354+$X130/$BD$359+$Y130/$BD$360+$Z130/$BD$361+$AA130/$BD$362+$AB130/$BD$363+$AC130/$BD$364+$AD130/$BD$365+$AE130/$BD$366+$AF130/$BD$367+$AG130/$BD$369+$AH130/$BD$355+$AI130/$BD$356+$AJ130/$BD$357+$AK130/$BD$368+$AL130/$BD$358)</f>
        <v>0.35381573286894863</v>
      </c>
      <c r="AY130" s="130">
        <f t="shared" ref="AY130:AY193" si="62">100*(AA130/BD$362)/($O130/$BD$343+$P130/$BD$344+$Q130/$BD$346+$R130/$BD$348+$S130/$BD$350+$T130/$BD$351+$U130/$BD$352+$V130/$BD$353+$W130/$BD$354+$X130/$BD$359+$Y130/$BD$360+$Z130/$BD$361+$AA130/$BD$362+$AB130/$BD$363+$AC130/$BD$364+$AD130/$BD$365+$AE130/$BD$366+$AF130/$BD$367+$AG130/$BD$369+$AH130/$BD$355+$AI130/$BD$356+$AJ130/$BD$357+$AK130/$BD$368+$AL130/$BD$358)</f>
        <v>0</v>
      </c>
      <c r="AZ130" s="130">
        <f t="shared" ref="AZ130:AZ193" si="63">100*(AB130/BD$363)/($O130/$BD$343+$P130/$BD$344+$Q130/$BD$346+$R130/$BD$348+$S130/$BD$350+$T130/$BD$351+$U130/$BD$352+$V130/$BD$353+$W130/$BD$354+$X130/$BD$359+$Y130/$BD$360+$Z130/$BD$361+$AA130/$BD$362+$AB130/$BD$363+$AC130/$BD$364+$AD130/$BD$365+$AE130/$BD$366+$AF130/$BD$367+$AG130/$BD$369+$AH130/$BD$355+$AI130/$BD$356+$AJ130/$BD$357+$AK130/$BD$368+$AL130/$BD$358)</f>
        <v>0</v>
      </c>
      <c r="BA130" s="130">
        <f t="shared" ref="BA130:BA193" si="64">100*(AC130/BD$364)/($O130/$BD$343+$P130/$BD$344+$Q130/$BD$346+$R130/$BD$348+$S130/$BD$350+$T130/$BD$351+$U130/$BD$352+$V130/$BD$353+$W130/$BD$354+$X130/$BD$359+$Y130/$BD$360+$Z130/$BD$361+$AA130/$BD$362+$AB130/$BD$363+$AC130/$BD$364+$AD130/$BD$365+$AE130/$BD$366+$AF130/$BD$367+$AG130/$BD$369+$AH130/$BD$355+$AI130/$BD$356+$AJ130/$BD$357+$AK130/$BD$368+$AL130/$BD$358)</f>
        <v>0</v>
      </c>
      <c r="BB130" s="130">
        <f t="shared" ref="BB130:BB193" si="65">100*(AD130/BD$365)/($O130/$BD$343+$P130/$BD$344+$Q130/$BD$346+$R130/$BD$348+$S130/$BD$350+$T130/$BD$351+$U130/$BD$352+$V130/$BD$353+$W130/$BD$354+$X130/$BD$359+$Y130/$BD$360+$Z130/$BD$361+$AA130/$BD$362+$AB130/$BD$363+$AC130/$BD$364+$AD130/$BD$365+$AE130/$BD$366+$AF130/$BD$367+$AG130/$BD$369+$AH130/$BD$355+$AI130/$BD$356+$AJ130/$BD$357+$AK130/$BD$368+$AL130/$BD$358)</f>
        <v>0</v>
      </c>
      <c r="BC130" s="130">
        <f t="shared" ref="BC130:BC193" si="66">100*(AE130/BD$366)/($O130/$BD$343+$P130/$BD$344+$Q130/$BD$346+$R130/$BD$348+$S130/$BD$350+$T130/$BD$351+$U130/$BD$352+$V130/$BD$353+$W130/$BD$354+$X130/$BD$359+$Y130/$BD$360+$Z130/$BD$361+$AA130/$BD$362+$AB130/$BD$363+$AC130/$BD$364+$AD130/$BD$365+$AE130/$BD$366+$AF130/$BD$367+$AG130/$BD$369+$AH130/$BD$355+$AI130/$BD$356+$AJ130/$BD$357+$AK130/$BD$368+$AL130/$BD$358)</f>
        <v>0</v>
      </c>
      <c r="BD130" s="130">
        <f t="shared" ref="BD130:BD193" si="67">100*(AF130/BD$367)/($O130/$BD$343+$P130/$BD$344+$Q130/$BD$346+$R130/$BD$348+$S130/$BD$350+$T130/$BD$351+$U130/$BD$352+$V130/$BD$353+$W130/$BD$354+$X130/$BD$359+$Y130/$BD$360+$Z130/$BD$361+$AA130/$BD$362+$AB130/$BD$363+$AC130/$BD$364+$AD130/$BD$365+$AE130/$BD$366+$AF130/$BD$367+$AG130/$BD$369+$AH130/$BD$355+$AI130/$BD$356+$AJ130/$BD$357+$AK130/$BD$368+$AL130/$BD$358)</f>
        <v>0</v>
      </c>
      <c r="BE130" s="130">
        <f t="shared" ref="BE130:BE193" si="68">100*(AG130/BD$369)/($O130/$BD$343+$P130/$BD$344+$Q130/$BD$346+$R130/$BD$348+$S130/$BD$350+$T130/$BD$351+$U130/$BD$352+$V130/$BD$353+$W130/$BD$354+$X130/$BD$359+$Y130/$BD$360+$Z130/$BD$361+$AA130/$BD$362+$AB130/$BD$363+$AC130/$BD$364+$AD130/$BD$365+$AE130/$BD$366+$AF130/$BD$367+$AG130/$BD$369+$AH130/$BD$355+$AI130/$BD$356+$AJ130/$BD$357+$AK130/$BD$368+$AL130/$BD$358)</f>
        <v>0</v>
      </c>
      <c r="BF130" s="130">
        <f t="shared" ref="BF130:BF193" si="69">100*(AH130/BD$355)/($O130/$BD$343+$P130/$BD$344+$Q130/$BD$346+$R130/$BD$348+$S130/$BD$350+$T130/$BD$351+$U130/$BD$352+$V130/$BD$353+$W130/$BD$354+$X130/$BD$359+$Y130/$BD$360+$Z130/$BD$361+$AA130/$BD$362+$AB130/$BD$363+$AC130/$BD$364+$AD130/$BD$365+$AE130/$BD$366+$AF130/$BD$367+$AG130/$BD$369+$AH130/$BD$355+$AI130/$BD$356+$AJ130/$BD$357+$AK130/$BD$368+$AL130/$BD$358)</f>
        <v>0</v>
      </c>
      <c r="BG130" s="130">
        <f t="shared" ref="BG130:BG193" si="70">100*(AI130/BD$356)/($O130/$BD$343+$P130/$BD$344+$Q130/$BD$346+$R130/$BD$348+$S130/$BD$350+$T130/$BD$351+$U130/$BD$352+$V130/$BD$353+$W130/$BD$354+$X130/$BD$359+$Y130/$BD$360+$Z130/$BD$361+$AA130/$BD$362+$AB130/$BD$363+$AC130/$BD$364+$AD130/$BD$365+$AE130/$BD$366+$AF130/$BD$367+$AG130/$BD$369+$AH130/$BD$355+$AI130/$BD$356+$AJ130/$BD$357+$AK130/$BD$368+$AL130/$BD$358)</f>
        <v>0</v>
      </c>
      <c r="BH130" s="130">
        <f t="shared" ref="BH130:BH193" si="71">100*(AJ130/BD$357)/($O130/$BD$343+$P130/$BD$344+$Q130/$BD$346+$R130/$BD$348+$S130/$BD$350+$T130/$BD$351+$U130/$BD$352+$V130/$BD$353+$W130/$BD$354+$X130/$BD$359+$Y130/$BD$360+$Z130/$BD$361+$AA130/$BD$362+$AB130/$BD$363+$AC130/$BD$364+$AD130/$BD$365+$AE130/$BD$366+$AF130/$BD$367+$AG130/$BD$369+$AH130/$BD$355+$AI130/$BD$356+$AJ130/$BD$357+$AK130/$BD$368+$AL130/$BD$358)</f>
        <v>0</v>
      </c>
      <c r="BI130" s="130">
        <f t="shared" ref="BI130:BI193" si="72">100*(AK130/BD$368)/($O130/$BD$343+$P130/$BD$344+$Q130/$BD$346+$R130/$BD$348+$S130/$BD$350+$T130/$BD$351+$U130/$BD$352+$V130/$BD$353+$W130/$BD$354+$X130/$BD$359+$Y130/$BD$360+$Z130/$BD$361+$AA130/$BD$362+$AB130/$BD$363+$AC130/$BD$364+$AD130/$BD$365+$AE130/$BD$366+$AF130/$BD$367+$AG130/$BD$369+$AH130/$BD$355+$AI130/$BD$356+$AJ130/$BD$357+$AK130/$BD$368+$AL130/$BD$358)</f>
        <v>0</v>
      </c>
      <c r="BJ130" s="130">
        <f t="shared" ref="BJ130:BJ193" si="73">100*(AL130/BD$358)/($O130/$BD$343+$P130/$BD$344+$Q130/$BD$346+$R130/$BD$348+$S130/$BD$350+$T130/$BD$351+$U130/$BD$352+$V130/$BD$353+$W130/$BD$354+$X130/$BD$359+$Y130/$BD$360+$Z130/$BD$361+$AA130/$BD$362+$AB130/$BD$363+$AC130/$BD$364+$AD130/$BD$365+$AE130/$BD$366+$AF130/$BD$367+$AG130/$BD$369+$AH130/$BD$355+$AI130/$BD$356+$AJ130/$BD$357+$AK130/$BD$368+$AL130/$BD$358)</f>
        <v>0</v>
      </c>
      <c r="BK130" s="130">
        <f t="shared" ref="BK130:BK193" si="74">(($AM130*($BK$396+$BJ$396*($BM$389+$I130))+$AN130*($BK$397+$BJ$397*($BM$389+$I130))+$AO130*($BK$398+$BJ$398*($BM$389+$I130))+$AP130*($BK$399+$BJ$399*($BM$389+$I130))+$AR130*($BK$401+$BJ$401*($BM$389+$I130))+$AS130*($BK$402+$BJ$402*($BM$389+$I130))+$AT130*($BK$403+$BJ$403*($BM$389+$I130))+$AU130*($BK$404+$BJ$404*($BM$389+$I130))+$AV130*($BK$405+$BJ$405*($BM$389+$I130))+$AW130*($BK$406+$BJ$406*($BM$389+$I130))+$AX130*($BK$407+$BJ$407*($BM$389+$I130))+$AY130*($BK$408+$BJ$408*($BM$389+$I130))+$AZ130*($BK$409+$BJ$409*($BM$389+$I130))+$BB130*($BK$411+$BJ$411*($BM$389+$I130))+$BC130*($BK$412+$BJ$412*($BM$389+$I130))+$BD130*($BK$413+$BJ$413*($BM$389+$I130))+$BF130*($BK$415+$BJ$415*($BM$389+$I130))+$BI130*($BK$416+$BJ$416*($BM$389+$I130)))/(SUM($AM130:$BJ130)-$AQ130-$BA130-$BE130-$BG130-$BH130-$BJ130))</f>
        <v>-139.17525363178143</v>
      </c>
      <c r="BL130" s="130">
        <f>IF($K130=$L130,$BK130,IF(OR($K130="graphite",$K130="vitreous carbon"),$BK$406+($BM$389+$I130)*$BJ$406,IF($K130="Pyrolytic Boron Nitride","PBN",IF(COUNTIF($BH$396:$BH$416,$K130)&gt;0,VLOOKUP($K130,$BH$396:$BK$416,4,FALSE)+($BM$389+$I130)*VLOOKUP($K130,$BH$396:$BK$416,3,FALSE),IF(COUNTIF($L$2:$L129,$K130)&gt;0,VLOOKUP($K130,$L$2:$BK129,52,FALSE),"idk")))))</f>
        <v>-139.17525363178143</v>
      </c>
      <c r="BM130" s="130">
        <v>25</v>
      </c>
      <c r="BN130" s="130">
        <v>19</v>
      </c>
      <c r="BO130" s="130">
        <v>1.8</v>
      </c>
      <c r="BP130" s="129" t="s">
        <v>228</v>
      </c>
      <c r="BQ130" s="129"/>
      <c r="BR130" s="129" t="s">
        <v>230</v>
      </c>
      <c r="BS130" s="129"/>
      <c r="BT130" s="129">
        <v>0</v>
      </c>
      <c r="BU130" s="129">
        <v>21</v>
      </c>
      <c r="BV130" s="129"/>
      <c r="BX130" s="129">
        <v>23</v>
      </c>
      <c r="BY130" s="129">
        <v>6.5</v>
      </c>
      <c r="BZ130" s="129">
        <v>1</v>
      </c>
      <c r="CA130" s="129">
        <v>3.9</v>
      </c>
      <c r="CD130" s="129">
        <v>9.4</v>
      </c>
      <c r="CE130" s="129">
        <v>1.8</v>
      </c>
      <c r="CL130" s="129">
        <v>0.5</v>
      </c>
      <c r="DG130" s="129">
        <v>3.6</v>
      </c>
      <c r="DJ130" s="129">
        <v>0</v>
      </c>
      <c r="DK130" s="129">
        <v>0</v>
      </c>
      <c r="DL130" s="129"/>
      <c r="DM130" s="129">
        <v>2</v>
      </c>
      <c r="DO130" s="129">
        <v>-1.5</v>
      </c>
      <c r="DQ130" s="129">
        <v>1372560</v>
      </c>
      <c r="DR130" s="129">
        <v>1</v>
      </c>
      <c r="DS130" s="129">
        <v>3</v>
      </c>
      <c r="DU130" s="129" t="s">
        <v>345</v>
      </c>
      <c r="DW130" s="129">
        <f>SUM(_2025_01_07T12_47_export3[[#This Row],[Ni_wt]:[H_wt]])</f>
        <v>99.034000000000006</v>
      </c>
      <c r="DY130" s="130">
        <f>SUM($AM130:BJ130)</f>
        <v>100</v>
      </c>
    </row>
    <row r="131" spans="1:129" hidden="1" x14ac:dyDescent="0.25">
      <c r="A131" s="129" t="s">
        <v>339</v>
      </c>
      <c r="B131" s="129">
        <v>139</v>
      </c>
      <c r="C131" s="129" t="s">
        <v>229</v>
      </c>
      <c r="D131" s="129">
        <v>2022</v>
      </c>
      <c r="E131" s="129" t="s">
        <v>253</v>
      </c>
      <c r="F131" s="129" t="s">
        <v>340</v>
      </c>
      <c r="G131" s="129" t="s">
        <v>344</v>
      </c>
      <c r="H131" s="129">
        <v>2</v>
      </c>
      <c r="I131" s="129">
        <v>575</v>
      </c>
      <c r="J131" s="129">
        <v>1000</v>
      </c>
      <c r="K131" s="129" t="s">
        <v>264</v>
      </c>
      <c r="L131" s="129" t="s">
        <v>264</v>
      </c>
      <c r="N131" s="129">
        <v>7980000</v>
      </c>
      <c r="O131" s="130">
        <v>10.4</v>
      </c>
      <c r="P131" s="130">
        <v>16.5</v>
      </c>
      <c r="Q131" s="130">
        <v>1.9</v>
      </c>
      <c r="R131" s="130">
        <v>68</v>
      </c>
      <c r="S131" s="130"/>
      <c r="T131" s="130"/>
      <c r="U131" s="130">
        <v>1.5</v>
      </c>
      <c r="V131" s="130"/>
      <c r="W131" s="130"/>
      <c r="X131" s="130">
        <v>0.3</v>
      </c>
      <c r="Y131" s="130">
        <v>3.4000000000000002E-2</v>
      </c>
      <c r="Z131" s="130">
        <v>0.4</v>
      </c>
      <c r="AA131" s="130"/>
      <c r="AB131" s="130"/>
      <c r="AC131" s="130"/>
      <c r="AD131" s="130"/>
      <c r="AE131" s="130"/>
      <c r="AF131" s="130"/>
      <c r="AG131" s="130"/>
      <c r="AH131" s="130"/>
      <c r="AI131" s="130"/>
      <c r="AJ131" s="130"/>
      <c r="AK131" s="130"/>
      <c r="AL131" s="130"/>
      <c r="AM131" s="130">
        <f t="shared" si="50"/>
        <v>9.9609769197369875</v>
      </c>
      <c r="AN131" s="130">
        <f t="shared" si="51"/>
        <v>17.836650581397006</v>
      </c>
      <c r="AO131" s="130">
        <f t="shared" si="52"/>
        <v>1.1130023099536577</v>
      </c>
      <c r="AP131" s="130">
        <f t="shared" si="53"/>
        <v>68.441329812886053</v>
      </c>
      <c r="AQ131" s="130">
        <f t="shared" si="54"/>
        <v>0</v>
      </c>
      <c r="AR131" s="130">
        <f t="shared" si="55"/>
        <v>0</v>
      </c>
      <c r="AS131" s="130">
        <f t="shared" si="56"/>
        <v>1.5347417517169877</v>
      </c>
      <c r="AT131" s="130">
        <f t="shared" si="57"/>
        <v>0</v>
      </c>
      <c r="AU131" s="130">
        <f t="shared" si="58"/>
        <v>0</v>
      </c>
      <c r="AV131" s="130">
        <f t="shared" si="59"/>
        <v>0.6003468269087312</v>
      </c>
      <c r="AW131" s="130">
        <f t="shared" si="60"/>
        <v>0.15913606453162724</v>
      </c>
      <c r="AX131" s="130">
        <f t="shared" si="61"/>
        <v>0.35381573286894863</v>
      </c>
      <c r="AY131" s="130">
        <f t="shared" si="62"/>
        <v>0</v>
      </c>
      <c r="AZ131" s="130">
        <f t="shared" si="63"/>
        <v>0</v>
      </c>
      <c r="BA131" s="130">
        <f t="shared" si="64"/>
        <v>0</v>
      </c>
      <c r="BB131" s="130">
        <f t="shared" si="65"/>
        <v>0</v>
      </c>
      <c r="BC131" s="130">
        <f t="shared" si="66"/>
        <v>0</v>
      </c>
      <c r="BD131" s="130">
        <f t="shared" si="67"/>
        <v>0</v>
      </c>
      <c r="BE131" s="130">
        <f t="shared" si="68"/>
        <v>0</v>
      </c>
      <c r="BF131" s="130">
        <f t="shared" si="69"/>
        <v>0</v>
      </c>
      <c r="BG131" s="130">
        <f t="shared" si="70"/>
        <v>0</v>
      </c>
      <c r="BH131" s="130">
        <f t="shared" si="71"/>
        <v>0</v>
      </c>
      <c r="BI131" s="130">
        <f t="shared" si="72"/>
        <v>0</v>
      </c>
      <c r="BJ131" s="130">
        <f t="shared" si="73"/>
        <v>0</v>
      </c>
      <c r="BK131" s="130">
        <f t="shared" si="74"/>
        <v>-141.15713664465957</v>
      </c>
      <c r="BL131" s="130">
        <f>IF($K131=$L131,$BK131,IF(OR($K131="graphite",$K131="vitreous carbon"),$BK$406+($BM$389+$I131)*$BJ$406,IF($K131="Pyrolytic Boron Nitride","PBN",IF(COUNTIF($BH$396:$BH$416,$K131)&gt;0,VLOOKUP($K131,$BH$396:$BK$416,4,FALSE)+($BM$389+$I131)*VLOOKUP($K131,$BH$396:$BK$416,3,FALSE),IF(COUNTIF($L$2:$L130,$K131)&gt;0,VLOOKUP($K131,$L$2:$BK130,52,FALSE),"idk")))))</f>
        <v>-141.15713664465957</v>
      </c>
      <c r="BM131" s="130">
        <v>25</v>
      </c>
      <c r="BN131" s="130">
        <v>19</v>
      </c>
      <c r="BO131" s="130">
        <v>1.8</v>
      </c>
      <c r="BP131" s="129" t="s">
        <v>228</v>
      </c>
      <c r="BQ131" s="129"/>
      <c r="BR131" s="129" t="s">
        <v>230</v>
      </c>
      <c r="BS131" s="129"/>
      <c r="BT131" s="129">
        <v>0</v>
      </c>
      <c r="BU131" s="129">
        <v>21</v>
      </c>
      <c r="BV131" s="129"/>
      <c r="BX131" s="129">
        <v>23</v>
      </c>
      <c r="BY131" s="129">
        <v>6.5</v>
      </c>
      <c r="BZ131" s="129">
        <v>1</v>
      </c>
      <c r="CA131" s="129">
        <v>3.9</v>
      </c>
      <c r="CD131" s="129">
        <v>9.4</v>
      </c>
      <c r="CE131" s="129">
        <v>1.8</v>
      </c>
      <c r="CL131" s="129">
        <v>0.5</v>
      </c>
      <c r="DG131" s="129">
        <v>3.6</v>
      </c>
      <c r="DJ131" s="129">
        <v>0</v>
      </c>
      <c r="DK131" s="129">
        <v>0</v>
      </c>
      <c r="DL131" s="129"/>
      <c r="DM131" s="129">
        <v>6</v>
      </c>
      <c r="DO131" s="129">
        <v>-1</v>
      </c>
      <c r="DQ131" s="129">
        <v>1372560</v>
      </c>
      <c r="DR131" s="129">
        <v>1</v>
      </c>
      <c r="DS131" s="129">
        <v>3</v>
      </c>
      <c r="DU131" s="129" t="s">
        <v>345</v>
      </c>
      <c r="DW131" s="129">
        <f>SUM(_2025_01_07T12_47_export3[[#This Row],[Ni_wt]:[H_wt]])</f>
        <v>99.034000000000006</v>
      </c>
      <c r="DY131" s="130">
        <f>SUM($AM131:BJ131)</f>
        <v>100</v>
      </c>
    </row>
    <row r="132" spans="1:129" hidden="1" x14ac:dyDescent="0.25">
      <c r="A132" s="129" t="s">
        <v>339</v>
      </c>
      <c r="B132" s="129">
        <v>140</v>
      </c>
      <c r="C132" s="129" t="s">
        <v>229</v>
      </c>
      <c r="D132" s="129">
        <v>2022</v>
      </c>
      <c r="E132" s="129" t="s">
        <v>253</v>
      </c>
      <c r="F132" s="129" t="s">
        <v>340</v>
      </c>
      <c r="G132" s="129" t="s">
        <v>346</v>
      </c>
      <c r="H132" s="129">
        <v>2</v>
      </c>
      <c r="I132" s="129">
        <v>565</v>
      </c>
      <c r="J132" s="129">
        <v>1000</v>
      </c>
      <c r="K132" s="129" t="s">
        <v>264</v>
      </c>
      <c r="L132" s="129" t="s">
        <v>264</v>
      </c>
      <c r="N132" s="129">
        <v>7980000</v>
      </c>
      <c r="O132" s="130">
        <v>10.4</v>
      </c>
      <c r="P132" s="130">
        <v>16.5</v>
      </c>
      <c r="Q132" s="130">
        <v>1.9</v>
      </c>
      <c r="R132" s="130">
        <v>68</v>
      </c>
      <c r="S132" s="130"/>
      <c r="T132" s="130"/>
      <c r="U132" s="130">
        <v>1.5</v>
      </c>
      <c r="V132" s="130"/>
      <c r="W132" s="130"/>
      <c r="X132" s="130">
        <v>0.3</v>
      </c>
      <c r="Y132" s="130">
        <v>3.4000000000000002E-2</v>
      </c>
      <c r="Z132" s="130">
        <v>0.4</v>
      </c>
      <c r="AA132" s="130"/>
      <c r="AB132" s="130"/>
      <c r="AC132" s="130"/>
      <c r="AD132" s="130"/>
      <c r="AE132" s="130"/>
      <c r="AF132" s="130"/>
      <c r="AG132" s="130"/>
      <c r="AH132" s="130"/>
      <c r="AI132" s="130"/>
      <c r="AJ132" s="130"/>
      <c r="AK132" s="130"/>
      <c r="AL132" s="130"/>
      <c r="AM132" s="130">
        <f t="shared" si="50"/>
        <v>9.9609769197369875</v>
      </c>
      <c r="AN132" s="130">
        <f t="shared" si="51"/>
        <v>17.836650581397006</v>
      </c>
      <c r="AO132" s="130">
        <f t="shared" si="52"/>
        <v>1.1130023099536577</v>
      </c>
      <c r="AP132" s="130">
        <f t="shared" si="53"/>
        <v>68.441329812886053</v>
      </c>
      <c r="AQ132" s="130">
        <f t="shared" si="54"/>
        <v>0</v>
      </c>
      <c r="AR132" s="130">
        <f t="shared" si="55"/>
        <v>0</v>
      </c>
      <c r="AS132" s="130">
        <f t="shared" si="56"/>
        <v>1.5347417517169877</v>
      </c>
      <c r="AT132" s="130">
        <f t="shared" si="57"/>
        <v>0</v>
      </c>
      <c r="AU132" s="130">
        <f t="shared" si="58"/>
        <v>0</v>
      </c>
      <c r="AV132" s="130">
        <f t="shared" si="59"/>
        <v>0.6003468269087312</v>
      </c>
      <c r="AW132" s="130">
        <f t="shared" si="60"/>
        <v>0.15913606453162724</v>
      </c>
      <c r="AX132" s="130">
        <f t="shared" si="61"/>
        <v>0.35381573286894863</v>
      </c>
      <c r="AY132" s="130">
        <f t="shared" si="62"/>
        <v>0</v>
      </c>
      <c r="AZ132" s="130">
        <f t="shared" si="63"/>
        <v>0</v>
      </c>
      <c r="BA132" s="130">
        <f t="shared" si="64"/>
        <v>0</v>
      </c>
      <c r="BB132" s="130">
        <f t="shared" si="65"/>
        <v>0</v>
      </c>
      <c r="BC132" s="130">
        <f t="shared" si="66"/>
        <v>0</v>
      </c>
      <c r="BD132" s="130">
        <f t="shared" si="67"/>
        <v>0</v>
      </c>
      <c r="BE132" s="130">
        <f t="shared" si="68"/>
        <v>0</v>
      </c>
      <c r="BF132" s="130">
        <f t="shared" si="69"/>
        <v>0</v>
      </c>
      <c r="BG132" s="130">
        <f t="shared" si="70"/>
        <v>0</v>
      </c>
      <c r="BH132" s="130">
        <f t="shared" si="71"/>
        <v>0</v>
      </c>
      <c r="BI132" s="130">
        <f t="shared" si="72"/>
        <v>0</v>
      </c>
      <c r="BJ132" s="130">
        <f t="shared" si="73"/>
        <v>0</v>
      </c>
      <c r="BK132" s="130">
        <f t="shared" si="74"/>
        <v>-141.48203549922974</v>
      </c>
      <c r="BL132" s="130">
        <f>IF($K132=$L132,$BK132,IF(OR($K132="graphite",$K132="vitreous carbon"),$BK$406+($BM$389+$I132)*$BJ$406,IF($K132="Pyrolytic Boron Nitride","PBN",IF(COUNTIF($BH$396:$BH$416,$K132)&gt;0,VLOOKUP($K132,$BH$396:$BK$416,4,FALSE)+($BM$389+$I132)*VLOOKUP($K132,$BH$396:$BK$416,3,FALSE),IF(COUNTIF($L$2:$L131,$K132)&gt;0,VLOOKUP($K132,$L$2:$BK131,52,FALSE),"idk")))))</f>
        <v>-141.48203549922974</v>
      </c>
      <c r="BM132" s="130">
        <v>25</v>
      </c>
      <c r="BN132" s="130">
        <v>19</v>
      </c>
      <c r="BO132" s="130">
        <v>1.8</v>
      </c>
      <c r="BP132" s="129" t="s">
        <v>228</v>
      </c>
      <c r="BQ132" s="129"/>
      <c r="BR132" s="129" t="s">
        <v>230</v>
      </c>
      <c r="BS132" s="129"/>
      <c r="BT132" s="129">
        <v>0</v>
      </c>
      <c r="BU132" s="129">
        <v>21</v>
      </c>
      <c r="BV132" s="129"/>
      <c r="BX132" s="129">
        <v>23</v>
      </c>
      <c r="BY132" s="129">
        <v>6.5</v>
      </c>
      <c r="BZ132" s="129">
        <v>1</v>
      </c>
      <c r="CA132" s="129">
        <v>3.9</v>
      </c>
      <c r="CD132" s="129">
        <v>9.4</v>
      </c>
      <c r="CE132" s="129">
        <v>1.8</v>
      </c>
      <c r="CL132" s="129">
        <v>0.5</v>
      </c>
      <c r="DG132" s="129">
        <v>3.6</v>
      </c>
      <c r="DJ132" s="129">
        <v>0</v>
      </c>
      <c r="DK132" s="129">
        <v>0</v>
      </c>
      <c r="DL132" s="129"/>
      <c r="DM132" s="129">
        <v>2.98</v>
      </c>
      <c r="DO132" s="129">
        <v>-0.53</v>
      </c>
      <c r="DQ132" s="129">
        <v>1372560</v>
      </c>
      <c r="DR132" s="129">
        <v>1</v>
      </c>
      <c r="DS132" s="129">
        <v>3</v>
      </c>
      <c r="DU132" s="129" t="s">
        <v>345</v>
      </c>
      <c r="DW132" s="129">
        <f>SUM(_2025_01_07T12_47_export3[[#This Row],[Ni_wt]:[H_wt]])</f>
        <v>99.034000000000006</v>
      </c>
      <c r="DY132" s="130">
        <f>SUM($AM132:BJ132)</f>
        <v>100</v>
      </c>
    </row>
    <row r="133" spans="1:129" hidden="1" x14ac:dyDescent="0.25">
      <c r="A133" s="129" t="s">
        <v>339</v>
      </c>
      <c r="B133" s="129">
        <v>141</v>
      </c>
      <c r="C133" s="129" t="s">
        <v>229</v>
      </c>
      <c r="D133" s="129">
        <v>2022</v>
      </c>
      <c r="E133" s="129" t="s">
        <v>253</v>
      </c>
      <c r="F133" s="129" t="s">
        <v>340</v>
      </c>
      <c r="G133" s="129" t="s">
        <v>346</v>
      </c>
      <c r="H133" s="129">
        <v>2</v>
      </c>
      <c r="I133" s="129">
        <v>556</v>
      </c>
      <c r="J133" s="129">
        <v>1000</v>
      </c>
      <c r="K133" s="129" t="s">
        <v>264</v>
      </c>
      <c r="L133" s="129" t="s">
        <v>264</v>
      </c>
      <c r="N133" s="129">
        <v>7980000</v>
      </c>
      <c r="O133" s="130">
        <v>10.4</v>
      </c>
      <c r="P133" s="130">
        <v>16.5</v>
      </c>
      <c r="Q133" s="130">
        <v>1.9</v>
      </c>
      <c r="R133" s="130">
        <v>68</v>
      </c>
      <c r="S133" s="130"/>
      <c r="T133" s="130"/>
      <c r="U133" s="130">
        <v>1.5</v>
      </c>
      <c r="V133" s="130"/>
      <c r="W133" s="130"/>
      <c r="X133" s="130">
        <v>0.3</v>
      </c>
      <c r="Y133" s="130">
        <v>3.4000000000000002E-2</v>
      </c>
      <c r="Z133" s="130">
        <v>0.4</v>
      </c>
      <c r="AA133" s="130"/>
      <c r="AB133" s="130"/>
      <c r="AC133" s="130"/>
      <c r="AD133" s="130"/>
      <c r="AE133" s="130"/>
      <c r="AF133" s="130"/>
      <c r="AG133" s="130"/>
      <c r="AH133" s="130"/>
      <c r="AI133" s="130"/>
      <c r="AJ133" s="130"/>
      <c r="AK133" s="130"/>
      <c r="AL133" s="130"/>
      <c r="AM133" s="130">
        <f t="shared" si="50"/>
        <v>9.9609769197369875</v>
      </c>
      <c r="AN133" s="130">
        <f t="shared" si="51"/>
        <v>17.836650581397006</v>
      </c>
      <c r="AO133" s="130">
        <f t="shared" si="52"/>
        <v>1.1130023099536577</v>
      </c>
      <c r="AP133" s="130">
        <f t="shared" si="53"/>
        <v>68.441329812886053</v>
      </c>
      <c r="AQ133" s="130">
        <f t="shared" si="54"/>
        <v>0</v>
      </c>
      <c r="AR133" s="130">
        <f t="shared" si="55"/>
        <v>0</v>
      </c>
      <c r="AS133" s="130">
        <f t="shared" si="56"/>
        <v>1.5347417517169877</v>
      </c>
      <c r="AT133" s="130">
        <f t="shared" si="57"/>
        <v>0</v>
      </c>
      <c r="AU133" s="130">
        <f t="shared" si="58"/>
        <v>0</v>
      </c>
      <c r="AV133" s="130">
        <f t="shared" si="59"/>
        <v>0.6003468269087312</v>
      </c>
      <c r="AW133" s="130">
        <f t="shared" si="60"/>
        <v>0.15913606453162724</v>
      </c>
      <c r="AX133" s="130">
        <f t="shared" si="61"/>
        <v>0.35381573286894863</v>
      </c>
      <c r="AY133" s="130">
        <f t="shared" si="62"/>
        <v>0</v>
      </c>
      <c r="AZ133" s="130">
        <f t="shared" si="63"/>
        <v>0</v>
      </c>
      <c r="BA133" s="130">
        <f t="shared" si="64"/>
        <v>0</v>
      </c>
      <c r="BB133" s="130">
        <f t="shared" si="65"/>
        <v>0</v>
      </c>
      <c r="BC133" s="130">
        <f t="shared" si="66"/>
        <v>0</v>
      </c>
      <c r="BD133" s="130">
        <f t="shared" si="67"/>
        <v>0</v>
      </c>
      <c r="BE133" s="130">
        <f t="shared" si="68"/>
        <v>0</v>
      </c>
      <c r="BF133" s="130">
        <f t="shared" si="69"/>
        <v>0</v>
      </c>
      <c r="BG133" s="130">
        <f t="shared" si="70"/>
        <v>0</v>
      </c>
      <c r="BH133" s="130">
        <f t="shared" si="71"/>
        <v>0</v>
      </c>
      <c r="BI133" s="130">
        <f t="shared" si="72"/>
        <v>0</v>
      </c>
      <c r="BJ133" s="130">
        <f t="shared" si="73"/>
        <v>0</v>
      </c>
      <c r="BK133" s="130">
        <f t="shared" si="74"/>
        <v>-141.77444446834292</v>
      </c>
      <c r="BL133" s="130">
        <f>IF($K133=$L133,$BK133,IF(OR($K133="graphite",$K133="vitreous carbon"),$BK$406+($BM$389+$I133)*$BJ$406,IF($K133="Pyrolytic Boron Nitride","PBN",IF(COUNTIF($BH$396:$BH$416,$K133)&gt;0,VLOOKUP($K133,$BH$396:$BK$416,4,FALSE)+($BM$389+$I133)*VLOOKUP($K133,$BH$396:$BK$416,3,FALSE),IF(COUNTIF($L$2:$L132,$K133)&gt;0,VLOOKUP($K133,$L$2:$BK132,52,FALSE),"idk")))))</f>
        <v>-141.77444446834292</v>
      </c>
      <c r="BM133" s="130">
        <v>25</v>
      </c>
      <c r="BN133" s="130">
        <v>19</v>
      </c>
      <c r="BO133" s="130">
        <v>1.8</v>
      </c>
      <c r="BP133" s="129" t="s">
        <v>228</v>
      </c>
      <c r="BQ133" s="129"/>
      <c r="BR133" s="129" t="s">
        <v>230</v>
      </c>
      <c r="BS133" s="129"/>
      <c r="BT133" s="129">
        <v>0</v>
      </c>
      <c r="BU133" s="129">
        <v>21</v>
      </c>
      <c r="BV133" s="129"/>
      <c r="BX133" s="129">
        <v>23</v>
      </c>
      <c r="BY133" s="129">
        <v>6.5</v>
      </c>
      <c r="BZ133" s="129">
        <v>1</v>
      </c>
      <c r="CA133" s="129">
        <v>3.9</v>
      </c>
      <c r="CD133" s="129">
        <v>9.4</v>
      </c>
      <c r="CE133" s="129">
        <v>1.8</v>
      </c>
      <c r="CL133" s="129">
        <v>0.5</v>
      </c>
      <c r="DG133" s="129">
        <v>3.6</v>
      </c>
      <c r="DJ133" s="129">
        <v>0</v>
      </c>
      <c r="DK133" s="129">
        <v>0</v>
      </c>
      <c r="DL133" s="129"/>
      <c r="DM133" s="129">
        <v>4</v>
      </c>
      <c r="DO133" s="129">
        <v>-0.62</v>
      </c>
      <c r="DQ133" s="129">
        <v>1372560</v>
      </c>
      <c r="DR133" s="129">
        <v>1</v>
      </c>
      <c r="DS133" s="129">
        <v>3</v>
      </c>
      <c r="DU133" s="129" t="s">
        <v>345</v>
      </c>
      <c r="DW133" s="129">
        <f>SUM(_2025_01_07T12_47_export3[[#This Row],[Ni_wt]:[H_wt]])</f>
        <v>99.034000000000006</v>
      </c>
      <c r="DY133" s="130">
        <f>SUM($AM133:BJ133)</f>
        <v>100</v>
      </c>
    </row>
    <row r="134" spans="1:129" ht="16.5" hidden="1" thickBot="1" x14ac:dyDescent="0.3">
      <c r="A134" s="136" t="s">
        <v>339</v>
      </c>
      <c r="B134" s="136">
        <v>142</v>
      </c>
      <c r="C134" s="136" t="s">
        <v>229</v>
      </c>
      <c r="D134" s="136">
        <v>2022</v>
      </c>
      <c r="E134" s="136" t="s">
        <v>253</v>
      </c>
      <c r="F134" s="136" t="s">
        <v>340</v>
      </c>
      <c r="G134" s="136" t="s">
        <v>346</v>
      </c>
      <c r="H134" s="136">
        <v>2</v>
      </c>
      <c r="I134" s="136">
        <v>535</v>
      </c>
      <c r="J134" s="136">
        <v>1000</v>
      </c>
      <c r="K134" s="136" t="s">
        <v>264</v>
      </c>
      <c r="L134" s="136" t="s">
        <v>264</v>
      </c>
      <c r="M134" s="136"/>
      <c r="N134" s="136">
        <v>7980000</v>
      </c>
      <c r="O134" s="137">
        <v>10.4</v>
      </c>
      <c r="P134" s="137">
        <v>16.5</v>
      </c>
      <c r="Q134" s="137">
        <v>1.9</v>
      </c>
      <c r="R134" s="137">
        <v>68</v>
      </c>
      <c r="S134" s="137"/>
      <c r="T134" s="137"/>
      <c r="U134" s="137">
        <v>1.5</v>
      </c>
      <c r="V134" s="137"/>
      <c r="W134" s="137"/>
      <c r="X134" s="137">
        <v>0.3</v>
      </c>
      <c r="Y134" s="137">
        <v>3.4000000000000002E-2</v>
      </c>
      <c r="Z134" s="137">
        <v>0.4</v>
      </c>
      <c r="AA134" s="137"/>
      <c r="AB134" s="137"/>
      <c r="AC134" s="137"/>
      <c r="AD134" s="137"/>
      <c r="AE134" s="137"/>
      <c r="AF134" s="137"/>
      <c r="AG134" s="137"/>
      <c r="AH134" s="137"/>
      <c r="AI134" s="137"/>
      <c r="AJ134" s="137"/>
      <c r="AK134" s="137"/>
      <c r="AL134" s="137"/>
      <c r="AM134" s="137">
        <f t="shared" si="50"/>
        <v>9.9609769197369875</v>
      </c>
      <c r="AN134" s="137">
        <f t="shared" si="51"/>
        <v>17.836650581397006</v>
      </c>
      <c r="AO134" s="137">
        <f t="shared" si="52"/>
        <v>1.1130023099536577</v>
      </c>
      <c r="AP134" s="137">
        <f t="shared" si="53"/>
        <v>68.441329812886053</v>
      </c>
      <c r="AQ134" s="137">
        <f t="shared" si="54"/>
        <v>0</v>
      </c>
      <c r="AR134" s="137">
        <f t="shared" si="55"/>
        <v>0</v>
      </c>
      <c r="AS134" s="137">
        <f t="shared" si="56"/>
        <v>1.5347417517169877</v>
      </c>
      <c r="AT134" s="137">
        <f t="shared" si="57"/>
        <v>0</v>
      </c>
      <c r="AU134" s="137">
        <f t="shared" si="58"/>
        <v>0</v>
      </c>
      <c r="AV134" s="137">
        <f t="shared" si="59"/>
        <v>0.6003468269087312</v>
      </c>
      <c r="AW134" s="137">
        <f t="shared" si="60"/>
        <v>0.15913606453162724</v>
      </c>
      <c r="AX134" s="137">
        <f t="shared" si="61"/>
        <v>0.35381573286894863</v>
      </c>
      <c r="AY134" s="137">
        <f t="shared" si="62"/>
        <v>0</v>
      </c>
      <c r="AZ134" s="137">
        <f t="shared" si="63"/>
        <v>0</v>
      </c>
      <c r="BA134" s="137">
        <f t="shared" si="64"/>
        <v>0</v>
      </c>
      <c r="BB134" s="137">
        <f t="shared" si="65"/>
        <v>0</v>
      </c>
      <c r="BC134" s="137">
        <f t="shared" si="66"/>
        <v>0</v>
      </c>
      <c r="BD134" s="137">
        <f t="shared" si="67"/>
        <v>0</v>
      </c>
      <c r="BE134" s="137">
        <f t="shared" si="68"/>
        <v>0</v>
      </c>
      <c r="BF134" s="137">
        <f t="shared" si="69"/>
        <v>0</v>
      </c>
      <c r="BG134" s="137">
        <f t="shared" si="70"/>
        <v>0</v>
      </c>
      <c r="BH134" s="137">
        <f t="shared" si="71"/>
        <v>0</v>
      </c>
      <c r="BI134" s="137">
        <f t="shared" si="72"/>
        <v>0</v>
      </c>
      <c r="BJ134" s="137">
        <f t="shared" si="73"/>
        <v>0</v>
      </c>
      <c r="BK134" s="137">
        <f t="shared" si="74"/>
        <v>-142.45673206294032</v>
      </c>
      <c r="BL134" s="137">
        <f>IF($K134=$L134,$BK134,IF(OR($K134="graphite",$K134="vitreous carbon"),$BK$406+($BM$389+$I134)*$BJ$406,IF($K134="Pyrolytic Boron Nitride","PBN",IF(COUNTIF($BH$396:$BH$416,$K134)&gt;0,VLOOKUP($K134,$BH$396:$BK$416,4,FALSE)+($BM$389+$I134)*VLOOKUP($K134,$BH$396:$BK$416,3,FALSE),IF(COUNTIF($L$2:$L133,$K134)&gt;0,VLOOKUP($K134,$L$2:$BK133,52,FALSE),"idk")))))</f>
        <v>-142.45673206294032</v>
      </c>
      <c r="BM134" s="137">
        <v>25</v>
      </c>
      <c r="BN134" s="137">
        <v>19</v>
      </c>
      <c r="BO134" s="137">
        <v>1.8</v>
      </c>
      <c r="BP134" s="136" t="s">
        <v>228</v>
      </c>
      <c r="BQ134" s="136"/>
      <c r="BR134" s="136" t="s">
        <v>230</v>
      </c>
      <c r="BS134" s="136"/>
      <c r="BT134" s="136">
        <v>0</v>
      </c>
      <c r="BU134" s="136">
        <v>21</v>
      </c>
      <c r="BV134" s="136"/>
      <c r="BW134" s="136"/>
      <c r="BX134" s="136">
        <v>23</v>
      </c>
      <c r="BY134" s="136">
        <v>6.5</v>
      </c>
      <c r="BZ134" s="136">
        <v>1</v>
      </c>
      <c r="CA134" s="136">
        <v>3.9</v>
      </c>
      <c r="CB134" s="136"/>
      <c r="CC134" s="136"/>
      <c r="CD134" s="136">
        <v>9.4</v>
      </c>
      <c r="CE134" s="136">
        <v>1.8</v>
      </c>
      <c r="CF134" s="136"/>
      <c r="CG134" s="136"/>
      <c r="CH134" s="136"/>
      <c r="CI134" s="136"/>
      <c r="CJ134" s="136"/>
      <c r="CK134" s="136"/>
      <c r="CL134" s="136">
        <v>0.5</v>
      </c>
      <c r="CM134" s="136"/>
      <c r="CN134" s="136"/>
      <c r="CO134" s="136"/>
      <c r="CP134" s="136"/>
      <c r="CQ134" s="136"/>
      <c r="CR134" s="136"/>
      <c r="CS134" s="136"/>
      <c r="CT134" s="136"/>
      <c r="CU134" s="136"/>
      <c r="CV134" s="136"/>
      <c r="CW134" s="136"/>
      <c r="CX134" s="136"/>
      <c r="CY134" s="136"/>
      <c r="CZ134" s="136"/>
      <c r="DA134" s="136"/>
      <c r="DB134" s="136"/>
      <c r="DC134" s="136"/>
      <c r="DD134" s="136"/>
      <c r="DE134" s="136"/>
      <c r="DF134" s="136"/>
      <c r="DG134" s="136">
        <v>3.6</v>
      </c>
      <c r="DH134" s="136"/>
      <c r="DI134" s="136"/>
      <c r="DJ134" s="136">
        <v>0</v>
      </c>
      <c r="DK134" s="136">
        <v>0</v>
      </c>
      <c r="DL134" s="136"/>
      <c r="DM134" s="136">
        <v>4.9800000000000004</v>
      </c>
      <c r="DN134" s="136"/>
      <c r="DO134" s="136">
        <v>-1.34</v>
      </c>
      <c r="DP134" s="136"/>
      <c r="DQ134" s="136">
        <v>1372560</v>
      </c>
      <c r="DR134" s="136">
        <v>1</v>
      </c>
      <c r="DS134" s="136">
        <v>3</v>
      </c>
      <c r="DT134" s="136"/>
      <c r="DU134" s="136" t="s">
        <v>345</v>
      </c>
      <c r="DW134" s="129">
        <f>SUM(_2025_01_07T12_47_export3[[#This Row],[Ni_wt]:[H_wt]])</f>
        <v>99.034000000000006</v>
      </c>
      <c r="DY134" s="130">
        <f>SUM($AM134:BJ134)</f>
        <v>100</v>
      </c>
    </row>
    <row r="135" spans="1:129" hidden="1" x14ac:dyDescent="0.25">
      <c r="A135" s="129" t="s">
        <v>347</v>
      </c>
      <c r="B135" s="129">
        <v>143</v>
      </c>
      <c r="C135" s="129" t="s">
        <v>348</v>
      </c>
      <c r="D135" s="129">
        <v>2022</v>
      </c>
      <c r="E135" s="129" t="s">
        <v>349</v>
      </c>
      <c r="F135" s="129" t="s">
        <v>350</v>
      </c>
      <c r="G135" s="129" t="s">
        <v>346</v>
      </c>
      <c r="H135" s="129">
        <v>1.8</v>
      </c>
      <c r="I135" s="129">
        <v>583</v>
      </c>
      <c r="J135" s="129">
        <v>1000</v>
      </c>
      <c r="K135" s="129" t="s">
        <v>264</v>
      </c>
      <c r="L135" s="129" t="s">
        <v>264</v>
      </c>
      <c r="N135" s="129">
        <v>7980000</v>
      </c>
      <c r="O135" s="130">
        <v>13.3</v>
      </c>
      <c r="P135" s="130">
        <v>17.2</v>
      </c>
      <c r="Q135" s="130">
        <v>2.2999999999999998</v>
      </c>
      <c r="R135" s="130">
        <v>64.5</v>
      </c>
      <c r="S135" s="130"/>
      <c r="T135" s="130"/>
      <c r="U135" s="130">
        <v>1.9</v>
      </c>
      <c r="V135" s="130"/>
      <c r="W135" s="130"/>
      <c r="X135" s="130">
        <v>0.54</v>
      </c>
      <c r="Y135" s="130">
        <v>5.8000000000000003E-2</v>
      </c>
      <c r="Z135" s="130">
        <v>0.08</v>
      </c>
      <c r="AA135" s="130"/>
      <c r="AB135" s="130"/>
      <c r="AC135" s="130"/>
      <c r="AD135" s="130">
        <v>1.6E-2</v>
      </c>
      <c r="AE135" s="130"/>
      <c r="AF135" s="130"/>
      <c r="AG135" s="130"/>
      <c r="AH135" s="130"/>
      <c r="AI135" s="130">
        <v>8.0000000000000002E-3</v>
      </c>
      <c r="AJ135" s="130"/>
      <c r="AK135" s="130"/>
      <c r="AL135" s="130"/>
      <c r="AM135" s="130">
        <f t="shared" si="50"/>
        <v>12.60982844496213</v>
      </c>
      <c r="AN135" s="130">
        <f t="shared" si="51"/>
        <v>18.405463129958108</v>
      </c>
      <c r="AO135" s="130">
        <f t="shared" si="52"/>
        <v>1.3337033540761836</v>
      </c>
      <c r="AP135" s="130">
        <f t="shared" si="53"/>
        <v>64.262583891527882</v>
      </c>
      <c r="AQ135" s="130">
        <f t="shared" si="54"/>
        <v>0</v>
      </c>
      <c r="AR135" s="130">
        <f t="shared" si="55"/>
        <v>0</v>
      </c>
      <c r="AS135" s="130">
        <f t="shared" si="56"/>
        <v>1.9243612029612234</v>
      </c>
      <c r="AT135" s="130">
        <f t="shared" si="57"/>
        <v>0</v>
      </c>
      <c r="AU135" s="130">
        <f t="shared" si="58"/>
        <v>0</v>
      </c>
      <c r="AV135" s="130">
        <f t="shared" si="59"/>
        <v>1.0697041169356465</v>
      </c>
      <c r="AW135" s="130">
        <f t="shared" si="60"/>
        <v>0.26872410975327571</v>
      </c>
      <c r="AX135" s="130">
        <f t="shared" si="61"/>
        <v>7.0048054654479844E-2</v>
      </c>
      <c r="AY135" s="130">
        <f t="shared" si="62"/>
        <v>0</v>
      </c>
      <c r="AZ135" s="130">
        <f t="shared" si="63"/>
        <v>0</v>
      </c>
      <c r="BA135" s="130">
        <f t="shared" si="64"/>
        <v>0</v>
      </c>
      <c r="BB135" s="130">
        <f t="shared" si="65"/>
        <v>2.7761483463000898E-2</v>
      </c>
      <c r="BC135" s="130">
        <f t="shared" si="66"/>
        <v>0</v>
      </c>
      <c r="BD135" s="130">
        <f t="shared" si="67"/>
        <v>0</v>
      </c>
      <c r="BE135" s="130">
        <f t="shared" si="68"/>
        <v>0</v>
      </c>
      <c r="BF135" s="130">
        <f t="shared" si="69"/>
        <v>0</v>
      </c>
      <c r="BG135" s="130">
        <f t="shared" si="70"/>
        <v>2.7822211708076215E-2</v>
      </c>
      <c r="BH135" s="130">
        <f t="shared" si="71"/>
        <v>0</v>
      </c>
      <c r="BI135" s="130">
        <f t="shared" si="72"/>
        <v>0</v>
      </c>
      <c r="BJ135" s="130">
        <f t="shared" si="73"/>
        <v>0</v>
      </c>
      <c r="BK135" s="130">
        <f t="shared" si="74"/>
        <v>-140.80220853989465</v>
      </c>
      <c r="BL135" s="130">
        <f>IF($K135=$L135,$BK135,IF(OR($K135="graphite",$K135="vitreous carbon"),$BK$406+($BM$389+$I135)*$BJ$406,IF($K135="Pyrolytic Boron Nitride","PBN",IF(COUNTIF($BH$396:$BH$416,$K135)&gt;0,VLOOKUP($K135,$BH$396:$BK$416,4,FALSE)+($BM$389+$I135)*VLOOKUP($K135,$BH$396:$BK$416,3,FALSE),IF(COUNTIF($L$2:$L134,$K135)&gt;0,VLOOKUP($K135,$L$2:$BK134,52,FALSE),"idk")))))</f>
        <v>-140.80220853989465</v>
      </c>
      <c r="BM135" s="130">
        <v>25.4</v>
      </c>
      <c r="BN135" s="130">
        <v>19</v>
      </c>
      <c r="BO135" s="130">
        <v>2</v>
      </c>
      <c r="BP135" s="129" t="s">
        <v>245</v>
      </c>
      <c r="BQ135" s="129" t="s">
        <v>351</v>
      </c>
      <c r="BR135" s="129" t="s">
        <v>247</v>
      </c>
      <c r="BS135" s="129"/>
      <c r="BT135" s="129">
        <v>0</v>
      </c>
      <c r="BU135" s="129">
        <v>7.17</v>
      </c>
      <c r="BV135" s="129">
        <v>4.5599999999999996</v>
      </c>
      <c r="BW135" s="129">
        <v>0.22</v>
      </c>
      <c r="BX135" s="129">
        <v>75.013000000000005</v>
      </c>
      <c r="BY135" s="129">
        <v>12.46</v>
      </c>
      <c r="BZ135" s="129">
        <v>6.66</v>
      </c>
      <c r="CA135" s="129">
        <v>4.57</v>
      </c>
      <c r="CB135" s="129">
        <v>56.17</v>
      </c>
      <c r="CC135" s="129">
        <v>0.16</v>
      </c>
      <c r="CD135" s="129">
        <v>20.93</v>
      </c>
      <c r="CE135" s="129">
        <v>0.88</v>
      </c>
      <c r="CH135" s="129">
        <v>366.31</v>
      </c>
      <c r="CP135" s="129">
        <v>76</v>
      </c>
      <c r="CQ135" s="129">
        <v>4.5599999999999996</v>
      </c>
      <c r="CR135" s="129">
        <v>0.22</v>
      </c>
      <c r="CS135" s="129">
        <v>75.013000000000005</v>
      </c>
      <c r="CT135" s="129">
        <v>12.46</v>
      </c>
      <c r="CU135" s="129">
        <v>8</v>
      </c>
      <c r="CV135" s="129">
        <v>280</v>
      </c>
      <c r="CW135" s="129">
        <v>56.17</v>
      </c>
      <c r="CX135" s="129">
        <v>0.16</v>
      </c>
      <c r="CZ135" s="129">
        <v>25</v>
      </c>
      <c r="DC135" s="129">
        <v>366.31</v>
      </c>
      <c r="DJ135" s="129">
        <v>0</v>
      </c>
      <c r="DK135" s="129">
        <v>0</v>
      </c>
      <c r="DL135" s="129"/>
      <c r="DM135" s="129">
        <v>2.71</v>
      </c>
      <c r="DO135" s="129">
        <v>0.21</v>
      </c>
      <c r="DQ135" s="129">
        <v>1372560</v>
      </c>
      <c r="DR135" s="129">
        <v>1</v>
      </c>
      <c r="DS135" s="129">
        <v>3</v>
      </c>
      <c r="DT135" s="134" t="s">
        <v>353</v>
      </c>
      <c r="DU135" s="129" t="s">
        <v>352</v>
      </c>
      <c r="DW135" s="129">
        <f>SUM(_2025_01_07T12_47_export3[[#This Row],[Ni_wt]:[H_wt]])</f>
        <v>99.902000000000015</v>
      </c>
      <c r="DY135" s="130">
        <f>SUM($AM135:BJ135)</f>
        <v>99.999999999999986</v>
      </c>
    </row>
    <row r="136" spans="1:129" hidden="1" x14ac:dyDescent="0.25">
      <c r="A136" s="129" t="s">
        <v>347</v>
      </c>
      <c r="B136" s="129">
        <v>144</v>
      </c>
      <c r="C136" s="129" t="s">
        <v>348</v>
      </c>
      <c r="D136" s="129">
        <v>2022</v>
      </c>
      <c r="E136" s="129" t="s">
        <v>349</v>
      </c>
      <c r="F136" s="129" t="s">
        <v>350</v>
      </c>
      <c r="G136" s="129" t="s">
        <v>346</v>
      </c>
      <c r="H136" s="129">
        <v>1.8</v>
      </c>
      <c r="I136" s="129">
        <v>562</v>
      </c>
      <c r="J136" s="129">
        <v>1000</v>
      </c>
      <c r="K136" s="129" t="s">
        <v>264</v>
      </c>
      <c r="L136" s="129" t="s">
        <v>264</v>
      </c>
      <c r="N136" s="129">
        <v>7980000</v>
      </c>
      <c r="O136" s="130">
        <v>13.3</v>
      </c>
      <c r="P136" s="130">
        <v>17.2</v>
      </c>
      <c r="Q136" s="130">
        <v>2.2999999999999998</v>
      </c>
      <c r="R136" s="130">
        <v>64.5</v>
      </c>
      <c r="S136" s="130"/>
      <c r="T136" s="130"/>
      <c r="U136" s="130">
        <v>1.9</v>
      </c>
      <c r="V136" s="130"/>
      <c r="W136" s="130"/>
      <c r="X136" s="130">
        <v>0.54</v>
      </c>
      <c r="Y136" s="130">
        <v>5.8000000000000003E-2</v>
      </c>
      <c r="Z136" s="130">
        <v>0.08</v>
      </c>
      <c r="AA136" s="130"/>
      <c r="AB136" s="130"/>
      <c r="AC136" s="130"/>
      <c r="AD136" s="130">
        <v>1.6E-2</v>
      </c>
      <c r="AE136" s="130"/>
      <c r="AF136" s="130"/>
      <c r="AG136" s="130"/>
      <c r="AH136" s="130"/>
      <c r="AI136" s="130">
        <v>8.0000000000000002E-3</v>
      </c>
      <c r="AJ136" s="130"/>
      <c r="AK136" s="130"/>
      <c r="AL136" s="130"/>
      <c r="AM136" s="130">
        <f t="shared" si="50"/>
        <v>12.60982844496213</v>
      </c>
      <c r="AN136" s="130">
        <f t="shared" si="51"/>
        <v>18.405463129958108</v>
      </c>
      <c r="AO136" s="130">
        <f t="shared" si="52"/>
        <v>1.3337033540761836</v>
      </c>
      <c r="AP136" s="130">
        <f t="shared" si="53"/>
        <v>64.262583891527882</v>
      </c>
      <c r="AQ136" s="130">
        <f t="shared" si="54"/>
        <v>0</v>
      </c>
      <c r="AR136" s="130">
        <f t="shared" si="55"/>
        <v>0</v>
      </c>
      <c r="AS136" s="130">
        <f t="shared" si="56"/>
        <v>1.9243612029612234</v>
      </c>
      <c r="AT136" s="130">
        <f t="shared" si="57"/>
        <v>0</v>
      </c>
      <c r="AU136" s="130">
        <f t="shared" si="58"/>
        <v>0</v>
      </c>
      <c r="AV136" s="130">
        <f t="shared" si="59"/>
        <v>1.0697041169356465</v>
      </c>
      <c r="AW136" s="130">
        <f t="shared" si="60"/>
        <v>0.26872410975327571</v>
      </c>
      <c r="AX136" s="130">
        <f t="shared" si="61"/>
        <v>7.0048054654479844E-2</v>
      </c>
      <c r="AY136" s="130">
        <f t="shared" si="62"/>
        <v>0</v>
      </c>
      <c r="AZ136" s="130">
        <f t="shared" si="63"/>
        <v>0</v>
      </c>
      <c r="BA136" s="130">
        <f t="shared" si="64"/>
        <v>0</v>
      </c>
      <c r="BB136" s="130">
        <f t="shared" si="65"/>
        <v>2.7761483463000898E-2</v>
      </c>
      <c r="BC136" s="130">
        <f t="shared" si="66"/>
        <v>0</v>
      </c>
      <c r="BD136" s="130">
        <f t="shared" si="67"/>
        <v>0</v>
      </c>
      <c r="BE136" s="130">
        <f t="shared" si="68"/>
        <v>0</v>
      </c>
      <c r="BF136" s="130">
        <f t="shared" si="69"/>
        <v>0</v>
      </c>
      <c r="BG136" s="130">
        <f t="shared" si="70"/>
        <v>2.7822211708076215E-2</v>
      </c>
      <c r="BH136" s="130">
        <f t="shared" si="71"/>
        <v>0</v>
      </c>
      <c r="BI136" s="130">
        <f t="shared" si="72"/>
        <v>0</v>
      </c>
      <c r="BJ136" s="130">
        <f t="shared" si="73"/>
        <v>0</v>
      </c>
      <c r="BK136" s="130">
        <f t="shared" si="74"/>
        <v>-141.48460856734457</v>
      </c>
      <c r="BL136" s="130">
        <f>IF($K136=$L136,$BK136,IF(OR($K136="graphite",$K136="vitreous carbon"),$BK$406+($BM$389+$I136)*$BJ$406,IF($K136="Pyrolytic Boron Nitride","PBN",IF(COUNTIF($BH$396:$BH$416,$K136)&gt;0,VLOOKUP($K136,$BH$396:$BK$416,4,FALSE)+($BM$389+$I136)*VLOOKUP($K136,$BH$396:$BK$416,3,FALSE),IF(COUNTIF($L$2:$L135,$K136)&gt;0,VLOOKUP($K136,$L$2:$BK135,52,FALSE),"idk")))))</f>
        <v>-141.48460856734457</v>
      </c>
      <c r="BM136" s="130">
        <v>25.4</v>
      </c>
      <c r="BN136" s="130">
        <v>19</v>
      </c>
      <c r="BO136" s="130">
        <v>2</v>
      </c>
      <c r="BP136" s="129" t="s">
        <v>245</v>
      </c>
      <c r="BQ136" s="129" t="s">
        <v>351</v>
      </c>
      <c r="BR136" s="129" t="s">
        <v>247</v>
      </c>
      <c r="BS136" s="129"/>
      <c r="BT136" s="129">
        <v>0</v>
      </c>
      <c r="BU136" s="129">
        <v>7.17</v>
      </c>
      <c r="BV136" s="129">
        <v>4.5599999999999996</v>
      </c>
      <c r="BW136" s="129">
        <v>0.22</v>
      </c>
      <c r="BX136" s="129">
        <v>75.013000000000005</v>
      </c>
      <c r="BY136" s="129">
        <v>12.46</v>
      </c>
      <c r="BZ136" s="129">
        <v>6.66</v>
      </c>
      <c r="CA136" s="129">
        <v>4.57</v>
      </c>
      <c r="CB136" s="129">
        <v>56.17</v>
      </c>
      <c r="CC136" s="129">
        <v>0.16</v>
      </c>
      <c r="CD136" s="129">
        <v>20.93</v>
      </c>
      <c r="CE136" s="129">
        <v>0.88</v>
      </c>
      <c r="CH136" s="129">
        <v>366.31</v>
      </c>
      <c r="CP136" s="129">
        <v>76</v>
      </c>
      <c r="CQ136" s="129">
        <v>4.5599999999999996</v>
      </c>
      <c r="CR136" s="129">
        <v>0.22</v>
      </c>
      <c r="CS136" s="129">
        <v>75.013000000000005</v>
      </c>
      <c r="CT136" s="129">
        <v>12.46</v>
      </c>
      <c r="CU136" s="129">
        <v>8</v>
      </c>
      <c r="CV136" s="129">
        <v>280</v>
      </c>
      <c r="CW136" s="129">
        <v>56.17</v>
      </c>
      <c r="CX136" s="129">
        <v>0.16</v>
      </c>
      <c r="CZ136" s="129">
        <v>25</v>
      </c>
      <c r="DC136" s="129">
        <v>366.31</v>
      </c>
      <c r="DJ136" s="129">
        <v>0</v>
      </c>
      <c r="DK136" s="129">
        <v>0</v>
      </c>
      <c r="DL136" s="129"/>
      <c r="DM136" s="129">
        <v>-1.1000000000000001</v>
      </c>
      <c r="DO136" s="129">
        <v>0.81</v>
      </c>
      <c r="DQ136" s="129">
        <v>1372560</v>
      </c>
      <c r="DR136" s="129">
        <v>1</v>
      </c>
      <c r="DS136" s="129">
        <v>3</v>
      </c>
      <c r="DU136" s="129" t="s">
        <v>354</v>
      </c>
      <c r="DW136" s="129">
        <f>SUM(_2025_01_07T12_47_export3[[#This Row],[Ni_wt]:[H_wt]])</f>
        <v>99.902000000000015</v>
      </c>
      <c r="DY136" s="130">
        <f>SUM($AM136:BJ136)</f>
        <v>99.999999999999986</v>
      </c>
    </row>
    <row r="137" spans="1:129" hidden="1" x14ac:dyDescent="0.25">
      <c r="A137" s="129" t="s">
        <v>347</v>
      </c>
      <c r="B137" s="129">
        <v>145</v>
      </c>
      <c r="C137" s="129" t="s">
        <v>348</v>
      </c>
      <c r="D137" s="129">
        <v>2022</v>
      </c>
      <c r="E137" s="129" t="s">
        <v>349</v>
      </c>
      <c r="F137" s="129" t="s">
        <v>350</v>
      </c>
      <c r="G137" s="129" t="s">
        <v>346</v>
      </c>
      <c r="H137" s="129">
        <v>1.8</v>
      </c>
      <c r="I137" s="129">
        <v>552</v>
      </c>
      <c r="J137" s="129">
        <v>1000</v>
      </c>
      <c r="K137" s="129" t="s">
        <v>264</v>
      </c>
      <c r="L137" s="129" t="s">
        <v>264</v>
      </c>
      <c r="N137" s="129">
        <v>7980000</v>
      </c>
      <c r="O137" s="130">
        <v>13.3</v>
      </c>
      <c r="P137" s="130">
        <v>17.2</v>
      </c>
      <c r="Q137" s="130">
        <v>2.2999999999999998</v>
      </c>
      <c r="R137" s="130">
        <v>64.5</v>
      </c>
      <c r="S137" s="130"/>
      <c r="T137" s="130"/>
      <c r="U137" s="130">
        <v>1.9</v>
      </c>
      <c r="V137" s="130"/>
      <c r="W137" s="130"/>
      <c r="X137" s="130">
        <v>0.54</v>
      </c>
      <c r="Y137" s="130">
        <v>5.8000000000000003E-2</v>
      </c>
      <c r="Z137" s="130">
        <v>0.08</v>
      </c>
      <c r="AA137" s="130"/>
      <c r="AB137" s="130"/>
      <c r="AC137" s="130"/>
      <c r="AD137" s="130">
        <v>1.6E-2</v>
      </c>
      <c r="AE137" s="130"/>
      <c r="AF137" s="130"/>
      <c r="AG137" s="130"/>
      <c r="AH137" s="130"/>
      <c r="AI137" s="130">
        <v>8.0000000000000002E-3</v>
      </c>
      <c r="AJ137" s="130"/>
      <c r="AK137" s="130"/>
      <c r="AL137" s="130"/>
      <c r="AM137" s="130">
        <f t="shared" si="50"/>
        <v>12.60982844496213</v>
      </c>
      <c r="AN137" s="130">
        <f t="shared" si="51"/>
        <v>18.405463129958108</v>
      </c>
      <c r="AO137" s="130">
        <f t="shared" si="52"/>
        <v>1.3337033540761836</v>
      </c>
      <c r="AP137" s="130">
        <f t="shared" si="53"/>
        <v>64.262583891527882</v>
      </c>
      <c r="AQ137" s="130">
        <f t="shared" si="54"/>
        <v>0</v>
      </c>
      <c r="AR137" s="130">
        <f t="shared" si="55"/>
        <v>0</v>
      </c>
      <c r="AS137" s="130">
        <f t="shared" si="56"/>
        <v>1.9243612029612234</v>
      </c>
      <c r="AT137" s="130">
        <f t="shared" si="57"/>
        <v>0</v>
      </c>
      <c r="AU137" s="130">
        <f t="shared" si="58"/>
        <v>0</v>
      </c>
      <c r="AV137" s="130">
        <f t="shared" si="59"/>
        <v>1.0697041169356465</v>
      </c>
      <c r="AW137" s="130">
        <f t="shared" si="60"/>
        <v>0.26872410975327571</v>
      </c>
      <c r="AX137" s="130">
        <f t="shared" si="61"/>
        <v>7.0048054654479844E-2</v>
      </c>
      <c r="AY137" s="130">
        <f t="shared" si="62"/>
        <v>0</v>
      </c>
      <c r="AZ137" s="130">
        <f t="shared" si="63"/>
        <v>0</v>
      </c>
      <c r="BA137" s="130">
        <f t="shared" si="64"/>
        <v>0</v>
      </c>
      <c r="BB137" s="130">
        <f t="shared" si="65"/>
        <v>2.7761483463000898E-2</v>
      </c>
      <c r="BC137" s="130">
        <f t="shared" si="66"/>
        <v>0</v>
      </c>
      <c r="BD137" s="130">
        <f t="shared" si="67"/>
        <v>0</v>
      </c>
      <c r="BE137" s="130">
        <f t="shared" si="68"/>
        <v>0</v>
      </c>
      <c r="BF137" s="130">
        <f t="shared" si="69"/>
        <v>0</v>
      </c>
      <c r="BG137" s="130">
        <f t="shared" si="70"/>
        <v>2.7822211708076215E-2</v>
      </c>
      <c r="BH137" s="130">
        <f t="shared" si="71"/>
        <v>0</v>
      </c>
      <c r="BI137" s="130">
        <f t="shared" si="72"/>
        <v>0</v>
      </c>
      <c r="BJ137" s="130">
        <f t="shared" si="73"/>
        <v>0</v>
      </c>
      <c r="BK137" s="130">
        <f t="shared" si="74"/>
        <v>-141.80956096136833</v>
      </c>
      <c r="BL137" s="130">
        <f>IF($K137=$L137,$BK137,IF(OR($K137="graphite",$K137="vitreous carbon"),$BK$406+($BM$389+$I137)*$BJ$406,IF($K137="Pyrolytic Boron Nitride","PBN",IF(COUNTIF($BH$396:$BH$416,$K137)&gt;0,VLOOKUP($K137,$BH$396:$BK$416,4,FALSE)+($BM$389+$I137)*VLOOKUP($K137,$BH$396:$BK$416,3,FALSE),IF(COUNTIF($L$2:$L136,$K137)&gt;0,VLOOKUP($K137,$L$2:$BK136,52,FALSE),"idk")))))</f>
        <v>-141.80956096136833</v>
      </c>
      <c r="BM137" s="130">
        <v>25.4</v>
      </c>
      <c r="BN137" s="130">
        <v>19</v>
      </c>
      <c r="BO137" s="130">
        <v>2</v>
      </c>
      <c r="BP137" s="129" t="s">
        <v>245</v>
      </c>
      <c r="BQ137" s="129" t="s">
        <v>351</v>
      </c>
      <c r="BR137" s="129" t="s">
        <v>247</v>
      </c>
      <c r="BS137" s="129"/>
      <c r="BT137" s="129">
        <v>0</v>
      </c>
      <c r="BU137" s="129">
        <v>7.17</v>
      </c>
      <c r="BV137" s="129">
        <v>4.5599999999999996</v>
      </c>
      <c r="BW137" s="129">
        <v>0.22</v>
      </c>
      <c r="BX137" s="129">
        <v>75.013000000000005</v>
      </c>
      <c r="BY137" s="129">
        <v>12.46</v>
      </c>
      <c r="BZ137" s="129">
        <v>6.66</v>
      </c>
      <c r="CA137" s="129">
        <v>4.57</v>
      </c>
      <c r="CB137" s="129">
        <v>56.17</v>
      </c>
      <c r="CC137" s="129">
        <v>0.16</v>
      </c>
      <c r="CD137" s="129">
        <v>20.93</v>
      </c>
      <c r="CE137" s="129">
        <v>0.88</v>
      </c>
      <c r="CH137" s="129">
        <v>366.31</v>
      </c>
      <c r="CP137" s="129">
        <v>76</v>
      </c>
      <c r="CQ137" s="129">
        <v>4.5599999999999996</v>
      </c>
      <c r="CR137" s="129">
        <v>0.22</v>
      </c>
      <c r="CS137" s="129">
        <v>75.013000000000005</v>
      </c>
      <c r="CT137" s="129">
        <v>12.46</v>
      </c>
      <c r="CU137" s="129">
        <v>8</v>
      </c>
      <c r="CV137" s="129">
        <v>280</v>
      </c>
      <c r="CW137" s="129">
        <v>56.17</v>
      </c>
      <c r="CX137" s="129">
        <v>0.16</v>
      </c>
      <c r="CZ137" s="129">
        <v>25</v>
      </c>
      <c r="DC137" s="129">
        <v>366.31</v>
      </c>
      <c r="DJ137" s="129">
        <v>0</v>
      </c>
      <c r="DK137" s="129">
        <v>0</v>
      </c>
      <c r="DL137" s="129"/>
      <c r="DM137" s="129">
        <v>2.35</v>
      </c>
      <c r="DO137" s="129">
        <v>1.05</v>
      </c>
      <c r="DQ137" s="129">
        <v>1372560</v>
      </c>
      <c r="DR137" s="129">
        <v>1</v>
      </c>
      <c r="DS137" s="129">
        <v>3</v>
      </c>
      <c r="DU137" s="129" t="s">
        <v>354</v>
      </c>
      <c r="DW137" s="129">
        <f>SUM(_2025_01_07T12_47_export3[[#This Row],[Ni_wt]:[H_wt]])</f>
        <v>99.902000000000015</v>
      </c>
      <c r="DY137" s="130">
        <f>SUM($AM137:BJ137)</f>
        <v>99.999999999999986</v>
      </c>
    </row>
    <row r="138" spans="1:129" hidden="1" x14ac:dyDescent="0.25">
      <c r="A138" s="129" t="s">
        <v>347</v>
      </c>
      <c r="B138" s="129">
        <v>146</v>
      </c>
      <c r="C138" s="129" t="s">
        <v>348</v>
      </c>
      <c r="D138" s="129">
        <v>2022</v>
      </c>
      <c r="E138" s="129" t="s">
        <v>349</v>
      </c>
      <c r="F138" s="129" t="s">
        <v>350</v>
      </c>
      <c r="G138" s="129" t="s">
        <v>346</v>
      </c>
      <c r="H138" s="129">
        <v>1.8</v>
      </c>
      <c r="I138" s="129">
        <v>542</v>
      </c>
      <c r="J138" s="129">
        <v>1000</v>
      </c>
      <c r="K138" s="129" t="s">
        <v>264</v>
      </c>
      <c r="L138" s="129" t="s">
        <v>264</v>
      </c>
      <c r="N138" s="129">
        <v>7980000</v>
      </c>
      <c r="O138" s="130">
        <v>13.3</v>
      </c>
      <c r="P138" s="130">
        <v>17.2</v>
      </c>
      <c r="Q138" s="130">
        <v>2.2999999999999998</v>
      </c>
      <c r="R138" s="130">
        <v>64.5</v>
      </c>
      <c r="S138" s="130"/>
      <c r="T138" s="130"/>
      <c r="U138" s="130">
        <v>1.9</v>
      </c>
      <c r="V138" s="130"/>
      <c r="W138" s="130"/>
      <c r="X138" s="130">
        <v>0.54</v>
      </c>
      <c r="Y138" s="130">
        <v>5.8000000000000003E-2</v>
      </c>
      <c r="Z138" s="130">
        <v>0.08</v>
      </c>
      <c r="AA138" s="130"/>
      <c r="AB138" s="130"/>
      <c r="AC138" s="130"/>
      <c r="AD138" s="130">
        <v>1.6E-2</v>
      </c>
      <c r="AE138" s="130"/>
      <c r="AF138" s="130"/>
      <c r="AG138" s="130"/>
      <c r="AH138" s="130"/>
      <c r="AI138" s="130">
        <v>8.0000000000000002E-3</v>
      </c>
      <c r="AJ138" s="130"/>
      <c r="AK138" s="130"/>
      <c r="AL138" s="130"/>
      <c r="AM138" s="130">
        <f t="shared" si="50"/>
        <v>12.60982844496213</v>
      </c>
      <c r="AN138" s="130">
        <f t="shared" si="51"/>
        <v>18.405463129958108</v>
      </c>
      <c r="AO138" s="130">
        <f t="shared" si="52"/>
        <v>1.3337033540761836</v>
      </c>
      <c r="AP138" s="130">
        <f t="shared" si="53"/>
        <v>64.262583891527882</v>
      </c>
      <c r="AQ138" s="130">
        <f t="shared" si="54"/>
        <v>0</v>
      </c>
      <c r="AR138" s="130">
        <f t="shared" si="55"/>
        <v>0</v>
      </c>
      <c r="AS138" s="130">
        <f t="shared" si="56"/>
        <v>1.9243612029612234</v>
      </c>
      <c r="AT138" s="130">
        <f t="shared" si="57"/>
        <v>0</v>
      </c>
      <c r="AU138" s="130">
        <f t="shared" si="58"/>
        <v>0</v>
      </c>
      <c r="AV138" s="130">
        <f t="shared" si="59"/>
        <v>1.0697041169356465</v>
      </c>
      <c r="AW138" s="130">
        <f t="shared" si="60"/>
        <v>0.26872410975327571</v>
      </c>
      <c r="AX138" s="130">
        <f t="shared" si="61"/>
        <v>7.0048054654479844E-2</v>
      </c>
      <c r="AY138" s="130">
        <f t="shared" si="62"/>
        <v>0</v>
      </c>
      <c r="AZ138" s="130">
        <f t="shared" si="63"/>
        <v>0</v>
      </c>
      <c r="BA138" s="130">
        <f t="shared" si="64"/>
        <v>0</v>
      </c>
      <c r="BB138" s="130">
        <f t="shared" si="65"/>
        <v>2.7761483463000898E-2</v>
      </c>
      <c r="BC138" s="130">
        <f t="shared" si="66"/>
        <v>0</v>
      </c>
      <c r="BD138" s="130">
        <f t="shared" si="67"/>
        <v>0</v>
      </c>
      <c r="BE138" s="130">
        <f t="shared" si="68"/>
        <v>0</v>
      </c>
      <c r="BF138" s="130">
        <f t="shared" si="69"/>
        <v>0</v>
      </c>
      <c r="BG138" s="130">
        <f t="shared" si="70"/>
        <v>2.7822211708076215E-2</v>
      </c>
      <c r="BH138" s="130">
        <f t="shared" si="71"/>
        <v>0</v>
      </c>
      <c r="BI138" s="130">
        <f t="shared" si="72"/>
        <v>0</v>
      </c>
      <c r="BJ138" s="130">
        <f t="shared" si="73"/>
        <v>0</v>
      </c>
      <c r="BK138" s="130">
        <f t="shared" si="74"/>
        <v>-142.13451335539207</v>
      </c>
      <c r="BL138" s="130">
        <f>IF($K138=$L138,$BK138,IF(OR($K138="graphite",$K138="vitreous carbon"),$BK$406+($BM$389+$I138)*$BJ$406,IF($K138="Pyrolytic Boron Nitride","PBN",IF(COUNTIF($BH$396:$BH$416,$K138)&gt;0,VLOOKUP($K138,$BH$396:$BK$416,4,FALSE)+($BM$389+$I138)*VLOOKUP($K138,$BH$396:$BK$416,3,FALSE),IF(COUNTIF($L$2:$L137,$K138)&gt;0,VLOOKUP($K138,$L$2:$BK137,52,FALSE),"idk")))))</f>
        <v>-142.13451335539207</v>
      </c>
      <c r="BM138" s="130">
        <v>25.4</v>
      </c>
      <c r="BN138" s="130">
        <v>19</v>
      </c>
      <c r="BO138" s="130">
        <v>2</v>
      </c>
      <c r="BP138" s="129" t="s">
        <v>245</v>
      </c>
      <c r="BQ138" s="129" t="s">
        <v>351</v>
      </c>
      <c r="BR138" s="129" t="s">
        <v>247</v>
      </c>
      <c r="BS138" s="129"/>
      <c r="BT138" s="129">
        <v>0</v>
      </c>
      <c r="BU138" s="129">
        <v>7.17</v>
      </c>
      <c r="BV138" s="129">
        <v>4.5599999999999996</v>
      </c>
      <c r="BW138" s="129">
        <v>0.22</v>
      </c>
      <c r="BX138" s="129">
        <v>75.013000000000005</v>
      </c>
      <c r="BY138" s="129">
        <v>12.46</v>
      </c>
      <c r="BZ138" s="129">
        <v>6.66</v>
      </c>
      <c r="CA138" s="129">
        <v>4.57</v>
      </c>
      <c r="CB138" s="129">
        <v>56.17</v>
      </c>
      <c r="CC138" s="129">
        <v>0.16</v>
      </c>
      <c r="CD138" s="129">
        <v>20.93</v>
      </c>
      <c r="CE138" s="129">
        <v>0.88</v>
      </c>
      <c r="CH138" s="129">
        <v>366.31</v>
      </c>
      <c r="CP138" s="129">
        <v>76</v>
      </c>
      <c r="CQ138" s="129">
        <v>4.5599999999999996</v>
      </c>
      <c r="CR138" s="129">
        <v>0.22</v>
      </c>
      <c r="CS138" s="129">
        <v>75.013000000000005</v>
      </c>
      <c r="CT138" s="129">
        <v>12.46</v>
      </c>
      <c r="CU138" s="129">
        <v>8</v>
      </c>
      <c r="CV138" s="129">
        <v>280</v>
      </c>
      <c r="CW138" s="129">
        <v>56.17</v>
      </c>
      <c r="CX138" s="129">
        <v>0.16</v>
      </c>
      <c r="CZ138" s="129">
        <v>25</v>
      </c>
      <c r="DC138" s="129">
        <v>366.31</v>
      </c>
      <c r="DJ138" s="129">
        <v>0</v>
      </c>
      <c r="DK138" s="129">
        <v>0</v>
      </c>
      <c r="DL138" s="129"/>
      <c r="DM138" s="129">
        <v>4.42</v>
      </c>
      <c r="DO138" s="129">
        <v>1.03</v>
      </c>
      <c r="DQ138" s="129">
        <v>1372560</v>
      </c>
      <c r="DR138" s="129">
        <v>1</v>
      </c>
      <c r="DS138" s="129">
        <v>3</v>
      </c>
      <c r="DU138" s="129" t="s">
        <v>354</v>
      </c>
      <c r="DW138" s="129">
        <f>SUM(_2025_01_07T12_47_export3[[#This Row],[Ni_wt]:[H_wt]])</f>
        <v>99.902000000000015</v>
      </c>
      <c r="DY138" s="130">
        <f>SUM($AM138:BJ138)</f>
        <v>99.999999999999986</v>
      </c>
    </row>
    <row r="139" spans="1:129" x14ac:dyDescent="0.25">
      <c r="A139" s="129" t="s">
        <v>347</v>
      </c>
      <c r="B139" s="129">
        <v>147</v>
      </c>
      <c r="C139" s="129" t="s">
        <v>348</v>
      </c>
      <c r="D139" s="129">
        <v>2022</v>
      </c>
      <c r="E139" s="129" t="s">
        <v>349</v>
      </c>
      <c r="F139" s="129" t="s">
        <v>350</v>
      </c>
      <c r="G139" s="129" t="s">
        <v>226</v>
      </c>
      <c r="H139" s="129">
        <v>0</v>
      </c>
      <c r="I139" s="129">
        <v>650</v>
      </c>
      <c r="J139" s="129">
        <v>1000</v>
      </c>
      <c r="K139" s="129" t="s">
        <v>55</v>
      </c>
      <c r="L139" s="129" t="s">
        <v>264</v>
      </c>
      <c r="N139" s="129">
        <v>7980000</v>
      </c>
      <c r="O139" s="130">
        <v>13.3</v>
      </c>
      <c r="P139" s="130">
        <v>17.2</v>
      </c>
      <c r="Q139" s="130">
        <v>2.2999999999999998</v>
      </c>
      <c r="R139" s="130">
        <v>64.5</v>
      </c>
      <c r="S139" s="130"/>
      <c r="T139" s="130"/>
      <c r="U139" s="130">
        <v>1.9</v>
      </c>
      <c r="V139" s="130"/>
      <c r="W139" s="130"/>
      <c r="X139" s="130">
        <v>0.54</v>
      </c>
      <c r="Y139" s="130">
        <v>5.8000000000000003E-2</v>
      </c>
      <c r="Z139" s="130">
        <v>0.08</v>
      </c>
      <c r="AA139" s="130"/>
      <c r="AB139" s="130"/>
      <c r="AC139" s="130"/>
      <c r="AD139" s="130">
        <v>1.6E-2</v>
      </c>
      <c r="AE139" s="130"/>
      <c r="AF139" s="130"/>
      <c r="AG139" s="130"/>
      <c r="AH139" s="130"/>
      <c r="AI139" s="130">
        <v>8.0000000000000002E-3</v>
      </c>
      <c r="AJ139" s="130"/>
      <c r="AK139" s="130"/>
      <c r="AL139" s="130"/>
      <c r="AM139" s="130">
        <f t="shared" si="50"/>
        <v>12.60982844496213</v>
      </c>
      <c r="AN139" s="130">
        <f t="shared" si="51"/>
        <v>18.405463129958108</v>
      </c>
      <c r="AO139" s="130">
        <f t="shared" si="52"/>
        <v>1.3337033540761836</v>
      </c>
      <c r="AP139" s="130">
        <f t="shared" si="53"/>
        <v>64.262583891527882</v>
      </c>
      <c r="AQ139" s="130">
        <f t="shared" si="54"/>
        <v>0</v>
      </c>
      <c r="AR139" s="130">
        <f t="shared" si="55"/>
        <v>0</v>
      </c>
      <c r="AS139" s="130">
        <f t="shared" si="56"/>
        <v>1.9243612029612234</v>
      </c>
      <c r="AT139" s="130">
        <f t="shared" si="57"/>
        <v>0</v>
      </c>
      <c r="AU139" s="130">
        <f t="shared" si="58"/>
        <v>0</v>
      </c>
      <c r="AV139" s="130">
        <f t="shared" si="59"/>
        <v>1.0697041169356465</v>
      </c>
      <c r="AW139" s="130">
        <f t="shared" si="60"/>
        <v>0.26872410975327571</v>
      </c>
      <c r="AX139" s="130">
        <f t="shared" si="61"/>
        <v>7.0048054654479844E-2</v>
      </c>
      <c r="AY139" s="130">
        <f t="shared" si="62"/>
        <v>0</v>
      </c>
      <c r="AZ139" s="130">
        <f t="shared" si="63"/>
        <v>0</v>
      </c>
      <c r="BA139" s="130">
        <f t="shared" si="64"/>
        <v>0</v>
      </c>
      <c r="BB139" s="130">
        <f t="shared" si="65"/>
        <v>2.7761483463000898E-2</v>
      </c>
      <c r="BC139" s="130">
        <f t="shared" si="66"/>
        <v>0</v>
      </c>
      <c r="BD139" s="130">
        <f t="shared" si="67"/>
        <v>0</v>
      </c>
      <c r="BE139" s="130">
        <f t="shared" si="68"/>
        <v>0</v>
      </c>
      <c r="BF139" s="130">
        <f t="shared" si="69"/>
        <v>0</v>
      </c>
      <c r="BG139" s="130">
        <f t="shared" si="70"/>
        <v>2.7822211708076215E-2</v>
      </c>
      <c r="BH139" s="130">
        <f t="shared" si="71"/>
        <v>0</v>
      </c>
      <c r="BI139" s="130">
        <f t="shared" si="72"/>
        <v>0</v>
      </c>
      <c r="BJ139" s="130">
        <f t="shared" si="73"/>
        <v>0</v>
      </c>
      <c r="BK139" s="130">
        <f t="shared" si="74"/>
        <v>-138.62502749993544</v>
      </c>
      <c r="BL139" s="130">
        <f>IF($K139=$L139,$BK139,IF(OR($K139="graphite",$K139="vitreous carbon"),$BK$406+($BM$389+$I139)*$BJ$406,IF($K139="Pyrolytic Boron Nitride","PBN",IF(COUNTIF($BH$396:$BH$416,$K139)&gt;0,VLOOKUP($K139,$BH$396:$BK$416,4,FALSE)+($BM$389+$I139)*VLOOKUP($K139,$BH$396:$BK$416,3,FALSE),IF(COUNTIF($L$2:$L138,$K139)&gt;0,VLOOKUP($K139,$L$2:$BK138,52,FALSE),"idk")))))</f>
        <v>-115.93813288350846</v>
      </c>
      <c r="BM139" s="130">
        <v>25.4</v>
      </c>
      <c r="BN139" s="130">
        <v>19</v>
      </c>
      <c r="BO139" s="130">
        <v>2</v>
      </c>
      <c r="BP139" s="129" t="s">
        <v>245</v>
      </c>
      <c r="BQ139" s="129" t="s">
        <v>351</v>
      </c>
      <c r="BR139" s="129" t="s">
        <v>247</v>
      </c>
      <c r="BS139" s="129"/>
      <c r="BT139" s="129">
        <v>0</v>
      </c>
      <c r="BU139" s="129">
        <v>7.17</v>
      </c>
      <c r="BV139" s="129">
        <v>4.5599999999999996</v>
      </c>
      <c r="BW139" s="129">
        <v>0.22</v>
      </c>
      <c r="BX139" s="129">
        <v>75.013000000000005</v>
      </c>
      <c r="BY139" s="129">
        <v>12.46</v>
      </c>
      <c r="BZ139" s="129">
        <v>6.66</v>
      </c>
      <c r="CA139" s="129">
        <v>4.57</v>
      </c>
      <c r="CB139" s="129">
        <v>56.17</v>
      </c>
      <c r="CC139" s="129">
        <v>0.16</v>
      </c>
      <c r="CD139" s="129">
        <v>20.93</v>
      </c>
      <c r="CE139" s="129">
        <v>0.88</v>
      </c>
      <c r="CH139" s="129">
        <v>366.31</v>
      </c>
      <c r="CP139" s="129">
        <v>76</v>
      </c>
      <c r="CQ139" s="129">
        <v>4.5599999999999996</v>
      </c>
      <c r="CR139" s="129">
        <v>0.22</v>
      </c>
      <c r="CS139" s="129">
        <v>75.013000000000005</v>
      </c>
      <c r="CT139" s="129">
        <v>12.46</v>
      </c>
      <c r="CU139" s="129">
        <v>8</v>
      </c>
      <c r="CV139" s="129">
        <v>280</v>
      </c>
      <c r="CW139" s="129">
        <v>56.17</v>
      </c>
      <c r="CX139" s="129">
        <v>0.16</v>
      </c>
      <c r="CZ139" s="129">
        <v>25</v>
      </c>
      <c r="DC139" s="129">
        <v>366.31</v>
      </c>
      <c r="DJ139" s="129">
        <v>0</v>
      </c>
      <c r="DK139" s="129">
        <v>0</v>
      </c>
      <c r="DL139" s="129"/>
      <c r="DO139" s="129">
        <v>-0.64</v>
      </c>
      <c r="DQ139" s="129">
        <v>1372560</v>
      </c>
      <c r="DR139" s="129">
        <v>1</v>
      </c>
      <c r="DS139" s="129">
        <v>3</v>
      </c>
      <c r="DU139" s="129" t="s">
        <v>354</v>
      </c>
      <c r="DW139" s="129">
        <f>SUM(_2025_01_07T12_47_export3[[#This Row],[Ni_wt]:[H_wt]])</f>
        <v>99.902000000000015</v>
      </c>
      <c r="DY139" s="130">
        <f>SUM($AM139:BJ139)</f>
        <v>99.999999999999986</v>
      </c>
    </row>
    <row r="140" spans="1:129" x14ac:dyDescent="0.25">
      <c r="A140" s="129" t="s">
        <v>347</v>
      </c>
      <c r="B140" s="129">
        <v>148</v>
      </c>
      <c r="C140" s="129" t="s">
        <v>348</v>
      </c>
      <c r="D140" s="129">
        <v>2022</v>
      </c>
      <c r="E140" s="129" t="s">
        <v>349</v>
      </c>
      <c r="F140" s="129" t="s">
        <v>350</v>
      </c>
      <c r="G140" s="129" t="s">
        <v>226</v>
      </c>
      <c r="H140" s="129">
        <v>0</v>
      </c>
      <c r="I140" s="129">
        <v>650</v>
      </c>
      <c r="J140" s="129">
        <v>1000</v>
      </c>
      <c r="K140" s="129" t="s">
        <v>55</v>
      </c>
      <c r="L140" s="129" t="s">
        <v>264</v>
      </c>
      <c r="N140" s="129">
        <v>7980000</v>
      </c>
      <c r="O140" s="130">
        <v>13.3</v>
      </c>
      <c r="P140" s="130">
        <v>17.2</v>
      </c>
      <c r="Q140" s="130">
        <v>2.2999999999999998</v>
      </c>
      <c r="R140" s="130">
        <v>64.5</v>
      </c>
      <c r="S140" s="130"/>
      <c r="T140" s="130"/>
      <c r="U140" s="130">
        <v>1.9</v>
      </c>
      <c r="V140" s="130"/>
      <c r="W140" s="130"/>
      <c r="X140" s="130">
        <v>0.54</v>
      </c>
      <c r="Y140" s="130">
        <v>5.8000000000000003E-2</v>
      </c>
      <c r="Z140" s="130">
        <v>0.08</v>
      </c>
      <c r="AA140" s="130"/>
      <c r="AB140" s="130"/>
      <c r="AC140" s="130"/>
      <c r="AD140" s="130">
        <v>1.6E-2</v>
      </c>
      <c r="AE140" s="130"/>
      <c r="AF140" s="130"/>
      <c r="AG140" s="130"/>
      <c r="AH140" s="130"/>
      <c r="AI140" s="130">
        <v>8.0000000000000002E-3</v>
      </c>
      <c r="AJ140" s="130"/>
      <c r="AK140" s="130"/>
      <c r="AL140" s="130"/>
      <c r="AM140" s="130">
        <f t="shared" si="50"/>
        <v>12.60982844496213</v>
      </c>
      <c r="AN140" s="130">
        <f t="shared" si="51"/>
        <v>18.405463129958108</v>
      </c>
      <c r="AO140" s="130">
        <f t="shared" si="52"/>
        <v>1.3337033540761836</v>
      </c>
      <c r="AP140" s="130">
        <f t="shared" si="53"/>
        <v>64.262583891527882</v>
      </c>
      <c r="AQ140" s="130">
        <f t="shared" si="54"/>
        <v>0</v>
      </c>
      <c r="AR140" s="130">
        <f t="shared" si="55"/>
        <v>0</v>
      </c>
      <c r="AS140" s="130">
        <f t="shared" si="56"/>
        <v>1.9243612029612234</v>
      </c>
      <c r="AT140" s="130">
        <f t="shared" si="57"/>
        <v>0</v>
      </c>
      <c r="AU140" s="130">
        <f t="shared" si="58"/>
        <v>0</v>
      </c>
      <c r="AV140" s="130">
        <f t="shared" si="59"/>
        <v>1.0697041169356465</v>
      </c>
      <c r="AW140" s="130">
        <f t="shared" si="60"/>
        <v>0.26872410975327571</v>
      </c>
      <c r="AX140" s="130">
        <f t="shared" si="61"/>
        <v>7.0048054654479844E-2</v>
      </c>
      <c r="AY140" s="130">
        <f t="shared" si="62"/>
        <v>0</v>
      </c>
      <c r="AZ140" s="130">
        <f t="shared" si="63"/>
        <v>0</v>
      </c>
      <c r="BA140" s="130">
        <f t="shared" si="64"/>
        <v>0</v>
      </c>
      <c r="BB140" s="130">
        <f t="shared" si="65"/>
        <v>2.7761483463000898E-2</v>
      </c>
      <c r="BC140" s="130">
        <f t="shared" si="66"/>
        <v>0</v>
      </c>
      <c r="BD140" s="130">
        <f t="shared" si="67"/>
        <v>0</v>
      </c>
      <c r="BE140" s="130">
        <f t="shared" si="68"/>
        <v>0</v>
      </c>
      <c r="BF140" s="130">
        <f t="shared" si="69"/>
        <v>0</v>
      </c>
      <c r="BG140" s="130">
        <f t="shared" si="70"/>
        <v>2.7822211708076215E-2</v>
      </c>
      <c r="BH140" s="130">
        <f t="shared" si="71"/>
        <v>0</v>
      </c>
      <c r="BI140" s="130">
        <f t="shared" si="72"/>
        <v>0</v>
      </c>
      <c r="BJ140" s="130">
        <f t="shared" si="73"/>
        <v>0</v>
      </c>
      <c r="BK140" s="130">
        <f t="shared" si="74"/>
        <v>-138.62502749993544</v>
      </c>
      <c r="BL140" s="130">
        <f>IF($K140=$L140,$BK140,IF(OR($K140="graphite",$K140="vitreous carbon"),$BK$406+($BM$389+$I140)*$BJ$406,IF($K140="Pyrolytic Boron Nitride","PBN",IF(COUNTIF($BH$396:$BH$416,$K140)&gt;0,VLOOKUP($K140,$BH$396:$BK$416,4,FALSE)+($BM$389+$I140)*VLOOKUP($K140,$BH$396:$BK$416,3,FALSE),IF(COUNTIF($L$2:$L139,$K140)&gt;0,VLOOKUP($K140,$L$2:$BK139,52,FALSE),"idk")))))</f>
        <v>-115.93813288350846</v>
      </c>
      <c r="BM140" s="130">
        <v>25.4</v>
      </c>
      <c r="BN140" s="130">
        <v>19</v>
      </c>
      <c r="BO140" s="130">
        <v>2</v>
      </c>
      <c r="BP140" s="129" t="s">
        <v>245</v>
      </c>
      <c r="BQ140" s="129" t="s">
        <v>351</v>
      </c>
      <c r="BR140" s="129" t="s">
        <v>247</v>
      </c>
      <c r="BS140" s="129"/>
      <c r="BT140" s="129">
        <v>0</v>
      </c>
      <c r="BU140" s="129">
        <v>7.17</v>
      </c>
      <c r="BV140" s="129">
        <v>4.5599999999999996</v>
      </c>
      <c r="BW140" s="129">
        <v>0.22</v>
      </c>
      <c r="BX140" s="129">
        <v>75.013000000000005</v>
      </c>
      <c r="BY140" s="129">
        <v>12.46</v>
      </c>
      <c r="BZ140" s="129">
        <v>6.66</v>
      </c>
      <c r="CA140" s="129">
        <v>4.57</v>
      </c>
      <c r="CB140" s="129">
        <v>56.17</v>
      </c>
      <c r="CC140" s="129">
        <v>0.16</v>
      </c>
      <c r="CD140" s="129">
        <v>20.93</v>
      </c>
      <c r="CE140" s="129">
        <v>0.88</v>
      </c>
      <c r="CH140" s="129">
        <v>366.31</v>
      </c>
      <c r="CP140" s="129">
        <v>76</v>
      </c>
      <c r="CQ140" s="129">
        <v>4.5599999999999996</v>
      </c>
      <c r="CR140" s="129">
        <v>0.22</v>
      </c>
      <c r="CS140" s="129">
        <v>75.013000000000005</v>
      </c>
      <c r="CT140" s="129">
        <v>12.46</v>
      </c>
      <c r="CU140" s="129">
        <v>8</v>
      </c>
      <c r="CV140" s="129">
        <v>280</v>
      </c>
      <c r="CW140" s="129">
        <v>56.17</v>
      </c>
      <c r="CX140" s="129">
        <v>0.16</v>
      </c>
      <c r="CZ140" s="129">
        <v>25</v>
      </c>
      <c r="DC140" s="129">
        <v>366.31</v>
      </c>
      <c r="DJ140" s="129">
        <v>0</v>
      </c>
      <c r="DK140" s="129">
        <v>0</v>
      </c>
      <c r="DL140" s="129"/>
      <c r="DO140" s="129">
        <v>-1.7</v>
      </c>
      <c r="DQ140" s="129">
        <v>1372560</v>
      </c>
      <c r="DR140" s="129">
        <v>1</v>
      </c>
      <c r="DS140" s="129">
        <v>3</v>
      </c>
      <c r="DU140" s="129" t="s">
        <v>354</v>
      </c>
      <c r="DW140" s="129">
        <f>SUM(_2025_01_07T12_47_export3[[#This Row],[Ni_wt]:[H_wt]])</f>
        <v>99.902000000000015</v>
      </c>
      <c r="DY140" s="130">
        <f>SUM($AM140:BJ140)</f>
        <v>99.999999999999986</v>
      </c>
    </row>
    <row r="141" spans="1:129" x14ac:dyDescent="0.25">
      <c r="A141" s="129" t="s">
        <v>347</v>
      </c>
      <c r="B141" s="129">
        <v>149</v>
      </c>
      <c r="C141" s="129" t="s">
        <v>348</v>
      </c>
      <c r="D141" s="129">
        <v>2022</v>
      </c>
      <c r="E141" s="129" t="s">
        <v>349</v>
      </c>
      <c r="F141" s="129" t="s">
        <v>355</v>
      </c>
      <c r="G141" s="129" t="s">
        <v>226</v>
      </c>
      <c r="H141" s="129">
        <v>0</v>
      </c>
      <c r="I141" s="129">
        <v>550</v>
      </c>
      <c r="J141" s="129">
        <v>1000</v>
      </c>
      <c r="K141" s="129" t="s">
        <v>264</v>
      </c>
      <c r="L141" s="129" t="s">
        <v>264</v>
      </c>
      <c r="N141" s="129">
        <v>7980000</v>
      </c>
      <c r="O141" s="130">
        <v>13.3</v>
      </c>
      <c r="P141" s="130">
        <v>17.2</v>
      </c>
      <c r="Q141" s="130">
        <v>2.2999999999999998</v>
      </c>
      <c r="R141" s="130">
        <v>64.5</v>
      </c>
      <c r="S141" s="130"/>
      <c r="T141" s="130"/>
      <c r="U141" s="130">
        <v>1.9</v>
      </c>
      <c r="V141" s="130"/>
      <c r="W141" s="130"/>
      <c r="X141" s="130">
        <v>0.54</v>
      </c>
      <c r="Y141" s="130">
        <v>5.8000000000000003E-2</v>
      </c>
      <c r="Z141" s="130">
        <v>0.08</v>
      </c>
      <c r="AA141" s="130"/>
      <c r="AB141" s="130"/>
      <c r="AC141" s="130"/>
      <c r="AD141" s="130">
        <v>1.6E-2</v>
      </c>
      <c r="AE141" s="130"/>
      <c r="AF141" s="130"/>
      <c r="AG141" s="130"/>
      <c r="AH141" s="130"/>
      <c r="AI141" s="130">
        <v>8.0000000000000002E-3</v>
      </c>
      <c r="AJ141" s="130"/>
      <c r="AK141" s="130"/>
      <c r="AL141" s="130"/>
      <c r="AM141" s="130">
        <f t="shared" si="50"/>
        <v>12.60982844496213</v>
      </c>
      <c r="AN141" s="130">
        <f t="shared" si="51"/>
        <v>18.405463129958108</v>
      </c>
      <c r="AO141" s="130">
        <f t="shared" si="52"/>
        <v>1.3337033540761836</v>
      </c>
      <c r="AP141" s="130">
        <f t="shared" si="53"/>
        <v>64.262583891527882</v>
      </c>
      <c r="AQ141" s="130">
        <f t="shared" si="54"/>
        <v>0</v>
      </c>
      <c r="AR141" s="130">
        <f t="shared" si="55"/>
        <v>0</v>
      </c>
      <c r="AS141" s="130">
        <f t="shared" si="56"/>
        <v>1.9243612029612234</v>
      </c>
      <c r="AT141" s="130">
        <f t="shared" si="57"/>
        <v>0</v>
      </c>
      <c r="AU141" s="130">
        <f t="shared" si="58"/>
        <v>0</v>
      </c>
      <c r="AV141" s="130">
        <f t="shared" si="59"/>
        <v>1.0697041169356465</v>
      </c>
      <c r="AW141" s="130">
        <f t="shared" si="60"/>
        <v>0.26872410975327571</v>
      </c>
      <c r="AX141" s="130">
        <f t="shared" si="61"/>
        <v>7.0048054654479844E-2</v>
      </c>
      <c r="AY141" s="130">
        <f t="shared" si="62"/>
        <v>0</v>
      </c>
      <c r="AZ141" s="130">
        <f t="shared" si="63"/>
        <v>0</v>
      </c>
      <c r="BA141" s="130">
        <f t="shared" si="64"/>
        <v>0</v>
      </c>
      <c r="BB141" s="130">
        <f t="shared" si="65"/>
        <v>2.7761483463000898E-2</v>
      </c>
      <c r="BC141" s="130">
        <f t="shared" si="66"/>
        <v>0</v>
      </c>
      <c r="BD141" s="130">
        <f t="shared" si="67"/>
        <v>0</v>
      </c>
      <c r="BE141" s="130">
        <f t="shared" si="68"/>
        <v>0</v>
      </c>
      <c r="BF141" s="130">
        <f t="shared" si="69"/>
        <v>0</v>
      </c>
      <c r="BG141" s="130">
        <f t="shared" si="70"/>
        <v>2.7822211708076215E-2</v>
      </c>
      <c r="BH141" s="130">
        <f t="shared" si="71"/>
        <v>0</v>
      </c>
      <c r="BI141" s="130">
        <f t="shared" si="72"/>
        <v>0</v>
      </c>
      <c r="BJ141" s="130">
        <f t="shared" si="73"/>
        <v>0</v>
      </c>
      <c r="BK141" s="130">
        <f t="shared" si="74"/>
        <v>-141.87455144017309</v>
      </c>
      <c r="BL141" s="130">
        <f>IF($K141=$L141,$BK141,IF(OR($K141="graphite",$K141="vitreous carbon"),$BK$406+($BM$389+$I141)*$BJ$406,IF($K141="Pyrolytic Boron Nitride","PBN",IF(COUNTIF($BH$396:$BH$416,$K141)&gt;0,VLOOKUP($K141,$BH$396:$BK$416,4,FALSE)+($BM$389+$I141)*VLOOKUP($K141,$BH$396:$BK$416,3,FALSE),IF(COUNTIF($L$2:$L140,$K141)&gt;0,VLOOKUP($K141,$L$2:$BK140,52,FALSE),"idk")))))</f>
        <v>-141.87455144017309</v>
      </c>
      <c r="BM141" s="130">
        <v>25.4</v>
      </c>
      <c r="BN141" s="130">
        <v>19</v>
      </c>
      <c r="BO141" s="130">
        <v>2</v>
      </c>
      <c r="BP141" s="129" t="s">
        <v>245</v>
      </c>
      <c r="BQ141" s="129" t="s">
        <v>351</v>
      </c>
      <c r="BR141" s="129" t="s">
        <v>247</v>
      </c>
      <c r="BS141" s="129"/>
      <c r="BT141" s="129">
        <v>0</v>
      </c>
      <c r="BU141" s="129">
        <v>7.17</v>
      </c>
      <c r="BV141" s="129">
        <v>4.5599999999999996</v>
      </c>
      <c r="BW141" s="129">
        <v>0.22</v>
      </c>
      <c r="BX141" s="129">
        <v>75.013000000000005</v>
      </c>
      <c r="BY141" s="129">
        <v>12.46</v>
      </c>
      <c r="BZ141" s="129">
        <v>6.66</v>
      </c>
      <c r="CA141" s="129">
        <v>4.57</v>
      </c>
      <c r="CB141" s="129">
        <v>56.17</v>
      </c>
      <c r="CC141" s="129">
        <v>0.16</v>
      </c>
      <c r="CD141" s="129">
        <v>20.93</v>
      </c>
      <c r="CE141" s="129">
        <v>0.88</v>
      </c>
      <c r="CH141" s="129">
        <v>366.31</v>
      </c>
      <c r="CP141" s="129">
        <v>76</v>
      </c>
      <c r="CQ141" s="129">
        <v>4.5599999999999996</v>
      </c>
      <c r="CR141" s="129">
        <v>0.22</v>
      </c>
      <c r="CS141" s="129">
        <v>75.013000000000005</v>
      </c>
      <c r="CT141" s="129">
        <v>12.46</v>
      </c>
      <c r="CU141" s="129">
        <v>8</v>
      </c>
      <c r="CV141" s="129">
        <v>280</v>
      </c>
      <c r="CW141" s="129">
        <v>56.17</v>
      </c>
      <c r="CX141" s="129">
        <v>0.16</v>
      </c>
      <c r="CZ141" s="129">
        <v>25</v>
      </c>
      <c r="DC141" s="129">
        <v>366.31</v>
      </c>
      <c r="DJ141" s="129">
        <v>0</v>
      </c>
      <c r="DK141" s="129">
        <v>0</v>
      </c>
      <c r="DL141" s="129"/>
      <c r="DO141" s="129">
        <v>-0.2</v>
      </c>
      <c r="DQ141" s="129">
        <v>1372560</v>
      </c>
      <c r="DR141" s="129">
        <v>1</v>
      </c>
      <c r="DS141" s="129">
        <v>3</v>
      </c>
      <c r="DU141" s="129" t="s">
        <v>354</v>
      </c>
      <c r="DW141" s="129">
        <f>SUM(_2025_01_07T12_47_export3[[#This Row],[Ni_wt]:[H_wt]])</f>
        <v>99.902000000000015</v>
      </c>
      <c r="DY141" s="130">
        <f>SUM($AM141:BJ141)</f>
        <v>99.999999999999986</v>
      </c>
    </row>
    <row r="142" spans="1:129" x14ac:dyDescent="0.25">
      <c r="A142" s="129" t="s">
        <v>347</v>
      </c>
      <c r="B142" s="129">
        <v>150</v>
      </c>
      <c r="C142" s="129" t="s">
        <v>348</v>
      </c>
      <c r="D142" s="129">
        <v>2022</v>
      </c>
      <c r="E142" s="129" t="s">
        <v>349</v>
      </c>
      <c r="F142" s="129" t="s">
        <v>355</v>
      </c>
      <c r="G142" s="129" t="s">
        <v>226</v>
      </c>
      <c r="H142" s="129">
        <v>0</v>
      </c>
      <c r="I142" s="129">
        <v>650</v>
      </c>
      <c r="J142" s="129">
        <v>1000</v>
      </c>
      <c r="K142" s="129" t="s">
        <v>264</v>
      </c>
      <c r="L142" s="129" t="s">
        <v>264</v>
      </c>
      <c r="N142" s="129">
        <v>7980000</v>
      </c>
      <c r="O142" s="130">
        <v>13.3</v>
      </c>
      <c r="P142" s="130">
        <v>17.2</v>
      </c>
      <c r="Q142" s="130">
        <v>2.2999999999999998</v>
      </c>
      <c r="R142" s="130">
        <v>64.5</v>
      </c>
      <c r="S142" s="130"/>
      <c r="T142" s="130"/>
      <c r="U142" s="130">
        <v>1.9</v>
      </c>
      <c r="V142" s="130"/>
      <c r="W142" s="130"/>
      <c r="X142" s="130">
        <v>0.54</v>
      </c>
      <c r="Y142" s="130">
        <v>5.8000000000000003E-2</v>
      </c>
      <c r="Z142" s="130">
        <v>0.08</v>
      </c>
      <c r="AA142" s="130"/>
      <c r="AB142" s="130"/>
      <c r="AC142" s="130"/>
      <c r="AD142" s="130">
        <v>1.6E-2</v>
      </c>
      <c r="AE142" s="130"/>
      <c r="AF142" s="130"/>
      <c r="AG142" s="130"/>
      <c r="AH142" s="130"/>
      <c r="AI142" s="130">
        <v>8.0000000000000002E-3</v>
      </c>
      <c r="AJ142" s="130"/>
      <c r="AK142" s="130"/>
      <c r="AL142" s="130"/>
      <c r="AM142" s="130">
        <f t="shared" si="50"/>
        <v>12.60982844496213</v>
      </c>
      <c r="AN142" s="130">
        <f t="shared" si="51"/>
        <v>18.405463129958108</v>
      </c>
      <c r="AO142" s="130">
        <f t="shared" si="52"/>
        <v>1.3337033540761836</v>
      </c>
      <c r="AP142" s="130">
        <f t="shared" si="53"/>
        <v>64.262583891527882</v>
      </c>
      <c r="AQ142" s="130">
        <f t="shared" si="54"/>
        <v>0</v>
      </c>
      <c r="AR142" s="130">
        <f t="shared" si="55"/>
        <v>0</v>
      </c>
      <c r="AS142" s="130">
        <f t="shared" si="56"/>
        <v>1.9243612029612234</v>
      </c>
      <c r="AT142" s="130">
        <f t="shared" si="57"/>
        <v>0</v>
      </c>
      <c r="AU142" s="130">
        <f t="shared" si="58"/>
        <v>0</v>
      </c>
      <c r="AV142" s="130">
        <f t="shared" si="59"/>
        <v>1.0697041169356465</v>
      </c>
      <c r="AW142" s="130">
        <f t="shared" si="60"/>
        <v>0.26872410975327571</v>
      </c>
      <c r="AX142" s="130">
        <f t="shared" si="61"/>
        <v>7.0048054654479844E-2</v>
      </c>
      <c r="AY142" s="130">
        <f t="shared" si="62"/>
        <v>0</v>
      </c>
      <c r="AZ142" s="130">
        <f t="shared" si="63"/>
        <v>0</v>
      </c>
      <c r="BA142" s="130">
        <f t="shared" si="64"/>
        <v>0</v>
      </c>
      <c r="BB142" s="130">
        <f t="shared" si="65"/>
        <v>2.7761483463000898E-2</v>
      </c>
      <c r="BC142" s="130">
        <f t="shared" si="66"/>
        <v>0</v>
      </c>
      <c r="BD142" s="130">
        <f t="shared" si="67"/>
        <v>0</v>
      </c>
      <c r="BE142" s="130">
        <f t="shared" si="68"/>
        <v>0</v>
      </c>
      <c r="BF142" s="130">
        <f t="shared" si="69"/>
        <v>0</v>
      </c>
      <c r="BG142" s="130">
        <f t="shared" si="70"/>
        <v>2.7822211708076215E-2</v>
      </c>
      <c r="BH142" s="130">
        <f t="shared" si="71"/>
        <v>0</v>
      </c>
      <c r="BI142" s="130">
        <f t="shared" si="72"/>
        <v>0</v>
      </c>
      <c r="BJ142" s="130">
        <f t="shared" si="73"/>
        <v>0</v>
      </c>
      <c r="BK142" s="130">
        <f t="shared" si="74"/>
        <v>-138.62502749993544</v>
      </c>
      <c r="BL142" s="130">
        <f>IF($K142=$L142,$BK142,IF(OR($K142="graphite",$K142="vitreous carbon"),$BK$406+($BM$389+$I142)*$BJ$406,IF($K142="Pyrolytic Boron Nitride","PBN",IF(COUNTIF($BH$396:$BH$416,$K142)&gt;0,VLOOKUP($K142,$BH$396:$BK$416,4,FALSE)+($BM$389+$I142)*VLOOKUP($K142,$BH$396:$BK$416,3,FALSE),IF(COUNTIF($L$2:$L141,$K142)&gt;0,VLOOKUP($K142,$L$2:$BK141,52,FALSE),"idk")))))</f>
        <v>-138.62502749993544</v>
      </c>
      <c r="BM142" s="130">
        <v>25.4</v>
      </c>
      <c r="BN142" s="130">
        <v>19</v>
      </c>
      <c r="BO142" s="130">
        <v>2</v>
      </c>
      <c r="BP142" s="129" t="s">
        <v>245</v>
      </c>
      <c r="BQ142" s="129" t="s">
        <v>351</v>
      </c>
      <c r="BR142" s="129" t="s">
        <v>247</v>
      </c>
      <c r="BS142" s="129"/>
      <c r="BT142" s="129">
        <v>0</v>
      </c>
      <c r="BU142" s="129">
        <v>7.17</v>
      </c>
      <c r="BV142" s="129">
        <v>4.5599999999999996</v>
      </c>
      <c r="BW142" s="129">
        <v>0.22</v>
      </c>
      <c r="BX142" s="129">
        <v>75.013000000000005</v>
      </c>
      <c r="BY142" s="129">
        <v>12.46</v>
      </c>
      <c r="BZ142" s="129">
        <v>6.66</v>
      </c>
      <c r="CA142" s="129">
        <v>4.57</v>
      </c>
      <c r="CB142" s="129">
        <v>56.17</v>
      </c>
      <c r="CC142" s="129">
        <v>0.16</v>
      </c>
      <c r="CD142" s="129">
        <v>20.93</v>
      </c>
      <c r="CE142" s="129">
        <v>0.88</v>
      </c>
      <c r="CH142" s="129">
        <v>366.31</v>
      </c>
      <c r="CP142" s="129">
        <v>76</v>
      </c>
      <c r="CQ142" s="129">
        <v>4.5599999999999996</v>
      </c>
      <c r="CR142" s="129">
        <v>0.22</v>
      </c>
      <c r="CS142" s="129">
        <v>75.013000000000005</v>
      </c>
      <c r="CT142" s="129">
        <v>12.46</v>
      </c>
      <c r="CU142" s="129">
        <v>8</v>
      </c>
      <c r="CV142" s="129">
        <v>280</v>
      </c>
      <c r="CW142" s="129">
        <v>56.17</v>
      </c>
      <c r="CX142" s="129">
        <v>0.16</v>
      </c>
      <c r="CZ142" s="129">
        <v>25</v>
      </c>
      <c r="DC142" s="129">
        <v>366.31</v>
      </c>
      <c r="DJ142" s="129">
        <v>0</v>
      </c>
      <c r="DK142" s="129">
        <v>0</v>
      </c>
      <c r="DL142" s="129"/>
      <c r="DO142" s="129">
        <v>-0.24</v>
      </c>
      <c r="DQ142" s="129">
        <v>1372560</v>
      </c>
      <c r="DR142" s="129">
        <v>1</v>
      </c>
      <c r="DS142" s="129">
        <v>3</v>
      </c>
      <c r="DU142" s="129" t="s">
        <v>354</v>
      </c>
      <c r="DW142" s="129">
        <f>SUM(_2025_01_07T12_47_export3[[#This Row],[Ni_wt]:[H_wt]])</f>
        <v>99.902000000000015</v>
      </c>
      <c r="DY142" s="130">
        <f>SUM($AM142:BJ142)</f>
        <v>99.999999999999986</v>
      </c>
    </row>
    <row r="143" spans="1:129" hidden="1" x14ac:dyDescent="0.25">
      <c r="A143" s="238" t="s">
        <v>347</v>
      </c>
      <c r="B143" s="238">
        <v>151</v>
      </c>
      <c r="C143" s="238" t="s">
        <v>348</v>
      </c>
      <c r="D143" s="238">
        <v>2022</v>
      </c>
      <c r="E143" s="238" t="s">
        <v>349</v>
      </c>
      <c r="F143" s="238" t="s">
        <v>355</v>
      </c>
      <c r="G143" s="238" t="s">
        <v>344</v>
      </c>
      <c r="H143" s="238">
        <v>1.8</v>
      </c>
      <c r="I143" s="238">
        <v>647</v>
      </c>
      <c r="J143" s="238">
        <v>1000</v>
      </c>
      <c r="K143" s="238" t="s">
        <v>264</v>
      </c>
      <c r="L143" s="238" t="s">
        <v>264</v>
      </c>
      <c r="M143" s="238"/>
      <c r="N143" s="238">
        <v>7980000</v>
      </c>
      <c r="O143" s="239">
        <v>13.3</v>
      </c>
      <c r="P143" s="239">
        <v>17.2</v>
      </c>
      <c r="Q143" s="239">
        <v>2.2999999999999998</v>
      </c>
      <c r="R143" s="239">
        <v>64.5</v>
      </c>
      <c r="S143" s="239"/>
      <c r="T143" s="239"/>
      <c r="U143" s="239">
        <v>1.9</v>
      </c>
      <c r="V143" s="239"/>
      <c r="W143" s="239"/>
      <c r="X143" s="239">
        <v>0.54</v>
      </c>
      <c r="Y143" s="239">
        <v>5.8000000000000003E-2</v>
      </c>
      <c r="Z143" s="239">
        <v>0.08</v>
      </c>
      <c r="AA143" s="239"/>
      <c r="AB143" s="239"/>
      <c r="AC143" s="239"/>
      <c r="AD143" s="239">
        <v>1.6E-2</v>
      </c>
      <c r="AE143" s="239"/>
      <c r="AF143" s="239"/>
      <c r="AG143" s="239"/>
      <c r="AH143" s="239"/>
      <c r="AI143" s="239">
        <v>8.0000000000000002E-3</v>
      </c>
      <c r="AJ143" s="239"/>
      <c r="AK143" s="239"/>
      <c r="AL143" s="239"/>
      <c r="AM143" s="239">
        <f t="shared" si="50"/>
        <v>12.60982844496213</v>
      </c>
      <c r="AN143" s="239">
        <f t="shared" si="51"/>
        <v>18.405463129958108</v>
      </c>
      <c r="AO143" s="239">
        <f t="shared" si="52"/>
        <v>1.3337033540761836</v>
      </c>
      <c r="AP143" s="239">
        <f t="shared" si="53"/>
        <v>64.262583891527882</v>
      </c>
      <c r="AQ143" s="239">
        <f t="shared" si="54"/>
        <v>0</v>
      </c>
      <c r="AR143" s="239">
        <f t="shared" si="55"/>
        <v>0</v>
      </c>
      <c r="AS143" s="239">
        <f t="shared" si="56"/>
        <v>1.9243612029612234</v>
      </c>
      <c r="AT143" s="239">
        <f t="shared" si="57"/>
        <v>0</v>
      </c>
      <c r="AU143" s="239">
        <f t="shared" si="58"/>
        <v>0</v>
      </c>
      <c r="AV143" s="239">
        <f t="shared" si="59"/>
        <v>1.0697041169356465</v>
      </c>
      <c r="AW143" s="239">
        <f t="shared" si="60"/>
        <v>0.26872410975327571</v>
      </c>
      <c r="AX143" s="239">
        <f t="shared" si="61"/>
        <v>7.0048054654479844E-2</v>
      </c>
      <c r="AY143" s="239">
        <f t="shared" si="62"/>
        <v>0</v>
      </c>
      <c r="AZ143" s="239">
        <f t="shared" si="63"/>
        <v>0</v>
      </c>
      <c r="BA143" s="239">
        <f t="shared" si="64"/>
        <v>0</v>
      </c>
      <c r="BB143" s="239">
        <f t="shared" si="65"/>
        <v>2.7761483463000898E-2</v>
      </c>
      <c r="BC143" s="239">
        <f t="shared" si="66"/>
        <v>0</v>
      </c>
      <c r="BD143" s="239">
        <f t="shared" si="67"/>
        <v>0</v>
      </c>
      <c r="BE143" s="239">
        <f t="shared" si="68"/>
        <v>0</v>
      </c>
      <c r="BF143" s="239">
        <f t="shared" si="69"/>
        <v>0</v>
      </c>
      <c r="BG143" s="239">
        <f t="shared" si="70"/>
        <v>2.7822211708076215E-2</v>
      </c>
      <c r="BH143" s="239">
        <f t="shared" si="71"/>
        <v>0</v>
      </c>
      <c r="BI143" s="239">
        <f t="shared" si="72"/>
        <v>0</v>
      </c>
      <c r="BJ143" s="239">
        <f t="shared" si="73"/>
        <v>0</v>
      </c>
      <c r="BK143" s="239">
        <f t="shared" si="74"/>
        <v>-138.72251321814255</v>
      </c>
      <c r="BL143" s="239">
        <f>IF($K143=$L143,$BK143,IF(OR($K143="graphite",$K143="vitreous carbon"),$BK$406+($BM$389+$I143)*$BJ$406,IF($K143="Pyrolytic Boron Nitride","PBN",IF(COUNTIF($BH$396:$BH$416,$K143)&gt;0,VLOOKUP($K143,$BH$396:$BK$416,4,FALSE)+($BM$389+$I143)*VLOOKUP($K143,$BH$396:$BK$416,3,FALSE),IF(COUNTIF($L$2:$L142,$K143)&gt;0,VLOOKUP($K143,$L$2:$BK142,52,FALSE),"idk")))))</f>
        <v>-138.72251321814255</v>
      </c>
      <c r="BM143" s="239">
        <v>25.4</v>
      </c>
      <c r="BN143" s="239">
        <v>19</v>
      </c>
      <c r="BO143" s="239">
        <v>2</v>
      </c>
      <c r="BP143" s="238" t="s">
        <v>245</v>
      </c>
      <c r="BQ143" s="238" t="s">
        <v>351</v>
      </c>
      <c r="BR143" s="238" t="s">
        <v>247</v>
      </c>
      <c r="BS143" s="238"/>
      <c r="BT143" s="238">
        <v>0</v>
      </c>
      <c r="BU143" s="238">
        <v>7.17</v>
      </c>
      <c r="BV143" s="238">
        <v>4.5599999999999996</v>
      </c>
      <c r="BW143" s="238">
        <v>0.22</v>
      </c>
      <c r="BX143" s="238">
        <v>75.013000000000005</v>
      </c>
      <c r="BY143" s="238">
        <v>12.46</v>
      </c>
      <c r="BZ143" s="238">
        <v>6.66</v>
      </c>
      <c r="CA143" s="238">
        <v>4.57</v>
      </c>
      <c r="CB143" s="238">
        <v>56.17</v>
      </c>
      <c r="CC143" s="238">
        <v>0.16</v>
      </c>
      <c r="CD143" s="238">
        <v>20.93</v>
      </c>
      <c r="CE143" s="238">
        <v>0.88</v>
      </c>
      <c r="CF143" s="238"/>
      <c r="CG143" s="238"/>
      <c r="CH143" s="238">
        <v>366.31</v>
      </c>
      <c r="CI143" s="238"/>
      <c r="CJ143" s="238"/>
      <c r="CK143" s="238"/>
      <c r="CL143" s="238"/>
      <c r="CM143" s="238"/>
      <c r="CN143" s="238"/>
      <c r="CO143" s="238"/>
      <c r="CP143" s="238">
        <v>76</v>
      </c>
      <c r="CQ143" s="238">
        <v>4.5599999999999996</v>
      </c>
      <c r="CR143" s="238">
        <v>0.22</v>
      </c>
      <c r="CS143" s="238">
        <v>75.013000000000005</v>
      </c>
      <c r="CT143" s="238">
        <v>12.46</v>
      </c>
      <c r="CU143" s="238">
        <v>8</v>
      </c>
      <c r="CV143" s="238">
        <v>280</v>
      </c>
      <c r="CW143" s="238">
        <v>56.17</v>
      </c>
      <c r="CX143" s="238">
        <v>0.16</v>
      </c>
      <c r="CY143" s="238"/>
      <c r="CZ143" s="238">
        <v>25</v>
      </c>
      <c r="DA143" s="238"/>
      <c r="DB143" s="238"/>
      <c r="DC143" s="238">
        <v>366.31</v>
      </c>
      <c r="DD143" s="238"/>
      <c r="DE143" s="238"/>
      <c r="DF143" s="238"/>
      <c r="DG143" s="238"/>
      <c r="DH143" s="238"/>
      <c r="DI143" s="238"/>
      <c r="DJ143" s="238">
        <v>0</v>
      </c>
      <c r="DK143" s="238">
        <v>0</v>
      </c>
      <c r="DL143" s="238"/>
      <c r="DM143" s="238">
        <v>-9.7799999999999994</v>
      </c>
      <c r="DN143" s="238"/>
      <c r="DO143" s="238">
        <v>-1.44</v>
      </c>
      <c r="DP143" s="238"/>
      <c r="DQ143" s="238">
        <v>1372560</v>
      </c>
      <c r="DR143" s="238">
        <v>1</v>
      </c>
      <c r="DS143" s="238">
        <v>3</v>
      </c>
      <c r="DT143" s="238"/>
      <c r="DU143" s="238" t="s">
        <v>354</v>
      </c>
      <c r="DW143" s="129">
        <f>SUM(_2025_01_07T12_47_export3[[#This Row],[Ni_wt]:[H_wt]])</f>
        <v>99.902000000000015</v>
      </c>
      <c r="DY143" s="130">
        <f>SUM($AM143:BJ143)</f>
        <v>99.999999999999986</v>
      </c>
    </row>
    <row r="144" spans="1:129" hidden="1" x14ac:dyDescent="0.25">
      <c r="A144" s="129" t="s">
        <v>347</v>
      </c>
      <c r="B144" s="129">
        <v>152</v>
      </c>
      <c r="C144" s="129" t="s">
        <v>348</v>
      </c>
      <c r="D144" s="129">
        <v>2022</v>
      </c>
      <c r="E144" s="129" t="s">
        <v>349</v>
      </c>
      <c r="F144" s="129" t="s">
        <v>355</v>
      </c>
      <c r="G144" s="129" t="s">
        <v>344</v>
      </c>
      <c r="H144" s="129">
        <v>1.8</v>
      </c>
      <c r="I144" s="129">
        <v>636</v>
      </c>
      <c r="J144" s="129">
        <v>1000</v>
      </c>
      <c r="K144" s="129" t="s">
        <v>264</v>
      </c>
      <c r="L144" s="129" t="s">
        <v>264</v>
      </c>
      <c r="N144" s="129">
        <v>7980000</v>
      </c>
      <c r="O144" s="130">
        <v>13.3</v>
      </c>
      <c r="P144" s="130">
        <v>17.2</v>
      </c>
      <c r="Q144" s="130">
        <v>2.2999999999999998</v>
      </c>
      <c r="R144" s="130">
        <v>64.5</v>
      </c>
      <c r="S144" s="130"/>
      <c r="T144" s="130"/>
      <c r="U144" s="130">
        <v>1.9</v>
      </c>
      <c r="V144" s="130"/>
      <c r="W144" s="130"/>
      <c r="X144" s="130">
        <v>0.54</v>
      </c>
      <c r="Y144" s="130">
        <v>5.8000000000000003E-2</v>
      </c>
      <c r="Z144" s="130">
        <v>0.08</v>
      </c>
      <c r="AA144" s="130"/>
      <c r="AB144" s="130"/>
      <c r="AC144" s="130"/>
      <c r="AD144" s="130">
        <v>1.6E-2</v>
      </c>
      <c r="AE144" s="130"/>
      <c r="AF144" s="130"/>
      <c r="AG144" s="130"/>
      <c r="AH144" s="130"/>
      <c r="AI144" s="130">
        <v>8.0000000000000002E-3</v>
      </c>
      <c r="AJ144" s="130"/>
      <c r="AK144" s="130"/>
      <c r="AL144" s="130"/>
      <c r="AM144" s="130">
        <f t="shared" si="50"/>
        <v>12.60982844496213</v>
      </c>
      <c r="AN144" s="130">
        <f t="shared" si="51"/>
        <v>18.405463129958108</v>
      </c>
      <c r="AO144" s="130">
        <f t="shared" si="52"/>
        <v>1.3337033540761836</v>
      </c>
      <c r="AP144" s="130">
        <f t="shared" si="53"/>
        <v>64.262583891527882</v>
      </c>
      <c r="AQ144" s="130">
        <f t="shared" si="54"/>
        <v>0</v>
      </c>
      <c r="AR144" s="130">
        <f t="shared" si="55"/>
        <v>0</v>
      </c>
      <c r="AS144" s="130">
        <f t="shared" si="56"/>
        <v>1.9243612029612234</v>
      </c>
      <c r="AT144" s="130">
        <f t="shared" si="57"/>
        <v>0</v>
      </c>
      <c r="AU144" s="130">
        <f t="shared" si="58"/>
        <v>0</v>
      </c>
      <c r="AV144" s="130">
        <f t="shared" si="59"/>
        <v>1.0697041169356465</v>
      </c>
      <c r="AW144" s="130">
        <f t="shared" si="60"/>
        <v>0.26872410975327571</v>
      </c>
      <c r="AX144" s="130">
        <f t="shared" si="61"/>
        <v>7.0048054654479844E-2</v>
      </c>
      <c r="AY144" s="130">
        <f t="shared" si="62"/>
        <v>0</v>
      </c>
      <c r="AZ144" s="130">
        <f t="shared" si="63"/>
        <v>0</v>
      </c>
      <c r="BA144" s="130">
        <f t="shared" si="64"/>
        <v>0</v>
      </c>
      <c r="BB144" s="130">
        <f t="shared" si="65"/>
        <v>2.7761483463000898E-2</v>
      </c>
      <c r="BC144" s="130">
        <f t="shared" si="66"/>
        <v>0</v>
      </c>
      <c r="BD144" s="130">
        <f t="shared" si="67"/>
        <v>0</v>
      </c>
      <c r="BE144" s="130">
        <f t="shared" si="68"/>
        <v>0</v>
      </c>
      <c r="BF144" s="130">
        <f t="shared" si="69"/>
        <v>0</v>
      </c>
      <c r="BG144" s="130">
        <f t="shared" si="70"/>
        <v>2.7822211708076215E-2</v>
      </c>
      <c r="BH144" s="130">
        <f t="shared" si="71"/>
        <v>0</v>
      </c>
      <c r="BI144" s="130">
        <f t="shared" si="72"/>
        <v>0</v>
      </c>
      <c r="BJ144" s="130">
        <f t="shared" si="73"/>
        <v>0</v>
      </c>
      <c r="BK144" s="130">
        <f t="shared" si="74"/>
        <v>-139.07996085156873</v>
      </c>
      <c r="BL144" s="130">
        <f>IF($K144=$L144,$BK144,IF(OR($K144="graphite",$K144="vitreous carbon"),$BK$406+($BM$389+$I144)*$BJ$406,IF($K144="Pyrolytic Boron Nitride","PBN",IF(COUNTIF($BH$396:$BH$416,$K144)&gt;0,VLOOKUP($K144,$BH$396:$BK$416,4,FALSE)+($BM$389+$I144)*VLOOKUP($K144,$BH$396:$BK$416,3,FALSE),IF(COUNTIF($L$2:$L143,$K144)&gt;0,VLOOKUP($K144,$L$2:$BK143,52,FALSE),"idk")))))</f>
        <v>-139.07996085156873</v>
      </c>
      <c r="BM144" s="130">
        <v>25.4</v>
      </c>
      <c r="BN144" s="130">
        <v>19</v>
      </c>
      <c r="BO144" s="130">
        <v>2</v>
      </c>
      <c r="BP144" s="129" t="s">
        <v>245</v>
      </c>
      <c r="BQ144" s="129" t="s">
        <v>351</v>
      </c>
      <c r="BR144" s="129" t="s">
        <v>247</v>
      </c>
      <c r="BS144" s="129"/>
      <c r="BT144" s="129">
        <v>0</v>
      </c>
      <c r="BU144" s="129">
        <v>7.17</v>
      </c>
      <c r="BV144" s="129">
        <v>4.5599999999999996</v>
      </c>
      <c r="BW144" s="129">
        <v>0.22</v>
      </c>
      <c r="BX144" s="129">
        <v>75.013000000000005</v>
      </c>
      <c r="BY144" s="129">
        <v>12.46</v>
      </c>
      <c r="BZ144" s="129">
        <v>6.66</v>
      </c>
      <c r="CA144" s="129">
        <v>4.57</v>
      </c>
      <c r="CB144" s="129">
        <v>56.17</v>
      </c>
      <c r="CC144" s="129">
        <v>0.16</v>
      </c>
      <c r="CD144" s="129">
        <v>20.93</v>
      </c>
      <c r="CE144" s="129">
        <v>0.88</v>
      </c>
      <c r="CH144" s="129">
        <v>366.31</v>
      </c>
      <c r="CP144" s="129">
        <v>76</v>
      </c>
      <c r="CQ144" s="129">
        <v>4.5599999999999996</v>
      </c>
      <c r="CR144" s="129">
        <v>0.22</v>
      </c>
      <c r="CS144" s="129">
        <v>75.013000000000005</v>
      </c>
      <c r="CT144" s="129">
        <v>12.46</v>
      </c>
      <c r="CU144" s="129">
        <v>8</v>
      </c>
      <c r="CV144" s="129">
        <v>280</v>
      </c>
      <c r="CW144" s="129">
        <v>56.17</v>
      </c>
      <c r="CX144" s="129">
        <v>0.16</v>
      </c>
      <c r="CZ144" s="129">
        <v>25</v>
      </c>
      <c r="DC144" s="129">
        <v>366.31</v>
      </c>
      <c r="DJ144" s="129">
        <v>0</v>
      </c>
      <c r="DK144" s="129">
        <v>0</v>
      </c>
      <c r="DL144" s="129"/>
      <c r="DM144" s="129">
        <v>-6.63</v>
      </c>
      <c r="DO144" s="129">
        <v>-1.33</v>
      </c>
      <c r="DQ144" s="129">
        <v>1372560</v>
      </c>
      <c r="DR144" s="129">
        <v>1</v>
      </c>
      <c r="DS144" s="129">
        <v>3</v>
      </c>
      <c r="DU144" s="129" t="s">
        <v>354</v>
      </c>
      <c r="DW144" s="129">
        <f>SUM(_2025_01_07T12_47_export3[[#This Row],[Ni_wt]:[H_wt]])</f>
        <v>99.902000000000015</v>
      </c>
      <c r="DY144" s="130">
        <f>SUM($AM144:BJ144)</f>
        <v>99.999999999999986</v>
      </c>
    </row>
    <row r="145" spans="1:129" hidden="1" x14ac:dyDescent="0.25">
      <c r="A145" s="129" t="s">
        <v>347</v>
      </c>
      <c r="B145" s="129">
        <v>153</v>
      </c>
      <c r="C145" s="129" t="s">
        <v>348</v>
      </c>
      <c r="D145" s="129">
        <v>2022</v>
      </c>
      <c r="E145" s="129" t="s">
        <v>349</v>
      </c>
      <c r="F145" s="129" t="s">
        <v>355</v>
      </c>
      <c r="G145" s="129" t="s">
        <v>344</v>
      </c>
      <c r="H145" s="129">
        <v>1.8</v>
      </c>
      <c r="I145" s="129">
        <v>626</v>
      </c>
      <c r="J145" s="129">
        <v>1000</v>
      </c>
      <c r="K145" s="129" t="s">
        <v>264</v>
      </c>
      <c r="L145" s="129" t="s">
        <v>264</v>
      </c>
      <c r="N145" s="129">
        <v>7980000</v>
      </c>
      <c r="O145" s="130">
        <v>13.3</v>
      </c>
      <c r="P145" s="130">
        <v>17.2</v>
      </c>
      <c r="Q145" s="130">
        <v>2.2999999999999998</v>
      </c>
      <c r="R145" s="130">
        <v>64.5</v>
      </c>
      <c r="S145" s="130"/>
      <c r="T145" s="130"/>
      <c r="U145" s="130">
        <v>1.9</v>
      </c>
      <c r="V145" s="130"/>
      <c r="W145" s="130"/>
      <c r="X145" s="130">
        <v>0.54</v>
      </c>
      <c r="Y145" s="130">
        <v>5.8000000000000003E-2</v>
      </c>
      <c r="Z145" s="130">
        <v>0.08</v>
      </c>
      <c r="AA145" s="130"/>
      <c r="AB145" s="130"/>
      <c r="AC145" s="130"/>
      <c r="AD145" s="130">
        <v>1.6E-2</v>
      </c>
      <c r="AE145" s="130"/>
      <c r="AF145" s="130"/>
      <c r="AG145" s="130"/>
      <c r="AH145" s="130"/>
      <c r="AI145" s="130">
        <v>8.0000000000000002E-3</v>
      </c>
      <c r="AJ145" s="130"/>
      <c r="AK145" s="130"/>
      <c r="AL145" s="130"/>
      <c r="AM145" s="130">
        <f t="shared" si="50"/>
        <v>12.60982844496213</v>
      </c>
      <c r="AN145" s="130">
        <f t="shared" si="51"/>
        <v>18.405463129958108</v>
      </c>
      <c r="AO145" s="130">
        <f t="shared" si="52"/>
        <v>1.3337033540761836</v>
      </c>
      <c r="AP145" s="130">
        <f t="shared" si="53"/>
        <v>64.262583891527882</v>
      </c>
      <c r="AQ145" s="130">
        <f t="shared" si="54"/>
        <v>0</v>
      </c>
      <c r="AR145" s="130">
        <f t="shared" si="55"/>
        <v>0</v>
      </c>
      <c r="AS145" s="130">
        <f t="shared" si="56"/>
        <v>1.9243612029612234</v>
      </c>
      <c r="AT145" s="130">
        <f t="shared" si="57"/>
        <v>0</v>
      </c>
      <c r="AU145" s="130">
        <f t="shared" si="58"/>
        <v>0</v>
      </c>
      <c r="AV145" s="130">
        <f t="shared" si="59"/>
        <v>1.0697041169356465</v>
      </c>
      <c r="AW145" s="130">
        <f t="shared" si="60"/>
        <v>0.26872410975327571</v>
      </c>
      <c r="AX145" s="130">
        <f t="shared" si="61"/>
        <v>7.0048054654479844E-2</v>
      </c>
      <c r="AY145" s="130">
        <f t="shared" si="62"/>
        <v>0</v>
      </c>
      <c r="AZ145" s="130">
        <f t="shared" si="63"/>
        <v>0</v>
      </c>
      <c r="BA145" s="130">
        <f t="shared" si="64"/>
        <v>0</v>
      </c>
      <c r="BB145" s="130">
        <f t="shared" si="65"/>
        <v>2.7761483463000898E-2</v>
      </c>
      <c r="BC145" s="130">
        <f t="shared" si="66"/>
        <v>0</v>
      </c>
      <c r="BD145" s="130">
        <f t="shared" si="67"/>
        <v>0</v>
      </c>
      <c r="BE145" s="130">
        <f t="shared" si="68"/>
        <v>0</v>
      </c>
      <c r="BF145" s="130">
        <f t="shared" si="69"/>
        <v>0</v>
      </c>
      <c r="BG145" s="130">
        <f t="shared" si="70"/>
        <v>2.7822211708076215E-2</v>
      </c>
      <c r="BH145" s="130">
        <f t="shared" si="71"/>
        <v>0</v>
      </c>
      <c r="BI145" s="130">
        <f t="shared" si="72"/>
        <v>0</v>
      </c>
      <c r="BJ145" s="130">
        <f t="shared" si="73"/>
        <v>0</v>
      </c>
      <c r="BK145" s="130">
        <f t="shared" si="74"/>
        <v>-139.4049132455925</v>
      </c>
      <c r="BL145" s="130">
        <f>IF($K145=$L145,$BK145,IF(OR($K145="graphite",$K145="vitreous carbon"),$BK$406+($BM$389+$I145)*$BJ$406,IF($K145="Pyrolytic Boron Nitride","PBN",IF(COUNTIF($BH$396:$BH$416,$K145)&gt;0,VLOOKUP($K145,$BH$396:$BK$416,4,FALSE)+($BM$389+$I145)*VLOOKUP($K145,$BH$396:$BK$416,3,FALSE),IF(COUNTIF($L$2:$L144,$K145)&gt;0,VLOOKUP($K145,$L$2:$BK144,52,FALSE),"idk")))))</f>
        <v>-139.4049132455925</v>
      </c>
      <c r="BM145" s="130">
        <v>25.4</v>
      </c>
      <c r="BN145" s="130">
        <v>19</v>
      </c>
      <c r="BO145" s="130">
        <v>2</v>
      </c>
      <c r="BP145" s="129" t="s">
        <v>245</v>
      </c>
      <c r="BQ145" s="129" t="s">
        <v>351</v>
      </c>
      <c r="BR145" s="129" t="s">
        <v>247</v>
      </c>
      <c r="BS145" s="129"/>
      <c r="BT145" s="129">
        <v>0</v>
      </c>
      <c r="BU145" s="129">
        <v>7.17</v>
      </c>
      <c r="BV145" s="129">
        <v>4.5599999999999996</v>
      </c>
      <c r="BW145" s="129">
        <v>0.22</v>
      </c>
      <c r="BX145" s="129">
        <v>75.013000000000005</v>
      </c>
      <c r="BY145" s="129">
        <v>12.46</v>
      </c>
      <c r="BZ145" s="129">
        <v>6.66</v>
      </c>
      <c r="CA145" s="129">
        <v>4.57</v>
      </c>
      <c r="CB145" s="129">
        <v>56.17</v>
      </c>
      <c r="CC145" s="129">
        <v>0.16</v>
      </c>
      <c r="CD145" s="129">
        <v>20.93</v>
      </c>
      <c r="CE145" s="129">
        <v>0.88</v>
      </c>
      <c r="CH145" s="129">
        <v>366.31</v>
      </c>
      <c r="CP145" s="129">
        <v>76</v>
      </c>
      <c r="CQ145" s="129">
        <v>4.5599999999999996</v>
      </c>
      <c r="CR145" s="129">
        <v>0.22</v>
      </c>
      <c r="CS145" s="129">
        <v>75.013000000000005</v>
      </c>
      <c r="CT145" s="129">
        <v>12.46</v>
      </c>
      <c r="CU145" s="129">
        <v>8</v>
      </c>
      <c r="CV145" s="129">
        <v>280</v>
      </c>
      <c r="CW145" s="129">
        <v>56.17</v>
      </c>
      <c r="CX145" s="129">
        <v>0.16</v>
      </c>
      <c r="CZ145" s="129">
        <v>25</v>
      </c>
      <c r="DC145" s="129">
        <v>366.31</v>
      </c>
      <c r="DJ145" s="129">
        <v>0</v>
      </c>
      <c r="DK145" s="129">
        <v>0</v>
      </c>
      <c r="DL145" s="129"/>
      <c r="DM145" s="129">
        <v>-5.55</v>
      </c>
      <c r="DO145" s="129">
        <v>-1.28</v>
      </c>
      <c r="DQ145" s="129">
        <v>1372560</v>
      </c>
      <c r="DR145" s="129">
        <v>1</v>
      </c>
      <c r="DS145" s="129">
        <v>3</v>
      </c>
      <c r="DU145" s="129" t="s">
        <v>354</v>
      </c>
      <c r="DW145" s="129">
        <f>SUM(_2025_01_07T12_47_export3[[#This Row],[Ni_wt]:[H_wt]])</f>
        <v>99.902000000000015</v>
      </c>
      <c r="DY145" s="130">
        <f>SUM($AM145:BJ145)</f>
        <v>99.999999999999986</v>
      </c>
    </row>
    <row r="146" spans="1:129" hidden="1" x14ac:dyDescent="0.25">
      <c r="A146" s="129" t="s">
        <v>347</v>
      </c>
      <c r="B146" s="129">
        <v>154</v>
      </c>
      <c r="C146" s="129" t="s">
        <v>348</v>
      </c>
      <c r="D146" s="129">
        <v>2022</v>
      </c>
      <c r="E146" s="129" t="s">
        <v>349</v>
      </c>
      <c r="F146" s="129" t="s">
        <v>355</v>
      </c>
      <c r="G146" s="129" t="s">
        <v>344</v>
      </c>
      <c r="H146" s="129">
        <v>1.8</v>
      </c>
      <c r="I146" s="129">
        <v>603</v>
      </c>
      <c r="J146" s="129">
        <v>1000</v>
      </c>
      <c r="K146" s="129" t="s">
        <v>264</v>
      </c>
      <c r="L146" s="129" t="s">
        <v>264</v>
      </c>
      <c r="N146" s="129">
        <v>7980000</v>
      </c>
      <c r="O146" s="130">
        <v>13.3</v>
      </c>
      <c r="P146" s="130">
        <v>17.2</v>
      </c>
      <c r="Q146" s="130">
        <v>2.2999999999999998</v>
      </c>
      <c r="R146" s="130">
        <v>64.5</v>
      </c>
      <c r="S146" s="130"/>
      <c r="T146" s="130"/>
      <c r="U146" s="130">
        <v>1.9</v>
      </c>
      <c r="V146" s="130"/>
      <c r="W146" s="130"/>
      <c r="X146" s="130">
        <v>0.54</v>
      </c>
      <c r="Y146" s="130">
        <v>5.8000000000000003E-2</v>
      </c>
      <c r="Z146" s="130">
        <v>0.08</v>
      </c>
      <c r="AA146" s="130"/>
      <c r="AB146" s="130"/>
      <c r="AC146" s="130"/>
      <c r="AD146" s="130">
        <v>1.6E-2</v>
      </c>
      <c r="AE146" s="130"/>
      <c r="AF146" s="130"/>
      <c r="AG146" s="130"/>
      <c r="AH146" s="130"/>
      <c r="AI146" s="130">
        <v>8.0000000000000002E-3</v>
      </c>
      <c r="AJ146" s="130"/>
      <c r="AK146" s="130"/>
      <c r="AL146" s="130"/>
      <c r="AM146" s="130">
        <f t="shared" si="50"/>
        <v>12.60982844496213</v>
      </c>
      <c r="AN146" s="130">
        <f t="shared" si="51"/>
        <v>18.405463129958108</v>
      </c>
      <c r="AO146" s="130">
        <f t="shared" si="52"/>
        <v>1.3337033540761836</v>
      </c>
      <c r="AP146" s="130">
        <f t="shared" si="53"/>
        <v>64.262583891527882</v>
      </c>
      <c r="AQ146" s="130">
        <f t="shared" si="54"/>
        <v>0</v>
      </c>
      <c r="AR146" s="130">
        <f t="shared" si="55"/>
        <v>0</v>
      </c>
      <c r="AS146" s="130">
        <f t="shared" si="56"/>
        <v>1.9243612029612234</v>
      </c>
      <c r="AT146" s="130">
        <f t="shared" si="57"/>
        <v>0</v>
      </c>
      <c r="AU146" s="130">
        <f t="shared" si="58"/>
        <v>0</v>
      </c>
      <c r="AV146" s="130">
        <f t="shared" si="59"/>
        <v>1.0697041169356465</v>
      </c>
      <c r="AW146" s="130">
        <f t="shared" si="60"/>
        <v>0.26872410975327571</v>
      </c>
      <c r="AX146" s="130">
        <f t="shared" si="61"/>
        <v>7.0048054654479844E-2</v>
      </c>
      <c r="AY146" s="130">
        <f t="shared" si="62"/>
        <v>0</v>
      </c>
      <c r="AZ146" s="130">
        <f t="shared" si="63"/>
        <v>0</v>
      </c>
      <c r="BA146" s="130">
        <f t="shared" si="64"/>
        <v>0</v>
      </c>
      <c r="BB146" s="130">
        <f t="shared" si="65"/>
        <v>2.7761483463000898E-2</v>
      </c>
      <c r="BC146" s="130">
        <f t="shared" si="66"/>
        <v>0</v>
      </c>
      <c r="BD146" s="130">
        <f t="shared" si="67"/>
        <v>0</v>
      </c>
      <c r="BE146" s="130">
        <f t="shared" si="68"/>
        <v>0</v>
      </c>
      <c r="BF146" s="130">
        <f t="shared" si="69"/>
        <v>0</v>
      </c>
      <c r="BG146" s="130">
        <f t="shared" si="70"/>
        <v>2.7822211708076215E-2</v>
      </c>
      <c r="BH146" s="130">
        <f t="shared" si="71"/>
        <v>0</v>
      </c>
      <c r="BI146" s="130">
        <f t="shared" si="72"/>
        <v>0</v>
      </c>
      <c r="BJ146" s="130">
        <f t="shared" si="73"/>
        <v>0</v>
      </c>
      <c r="BK146" s="130">
        <f t="shared" si="74"/>
        <v>-140.15230375184711</v>
      </c>
      <c r="BL146" s="130">
        <f>IF($K146=$L146,$BK146,IF(OR($K146="graphite",$K146="vitreous carbon"),$BK$406+($BM$389+$I146)*$BJ$406,IF($K146="Pyrolytic Boron Nitride","PBN",IF(COUNTIF($BH$396:$BH$416,$K146)&gt;0,VLOOKUP($K146,$BH$396:$BK$416,4,FALSE)+($BM$389+$I146)*VLOOKUP($K146,$BH$396:$BK$416,3,FALSE),IF(COUNTIF($L$2:$L145,$K146)&gt;0,VLOOKUP($K146,$L$2:$BK145,52,FALSE),"idk")))))</f>
        <v>-140.15230375184711</v>
      </c>
      <c r="BM146" s="130">
        <v>25.4</v>
      </c>
      <c r="BN146" s="130">
        <v>19</v>
      </c>
      <c r="BO146" s="130">
        <v>2</v>
      </c>
      <c r="BP146" s="129" t="s">
        <v>245</v>
      </c>
      <c r="BQ146" s="129" t="s">
        <v>351</v>
      </c>
      <c r="BR146" s="129" t="s">
        <v>247</v>
      </c>
      <c r="BS146" s="129"/>
      <c r="BT146" s="129">
        <v>0</v>
      </c>
      <c r="BU146" s="129">
        <v>7.17</v>
      </c>
      <c r="BV146" s="129">
        <v>4.5599999999999996</v>
      </c>
      <c r="BW146" s="129">
        <v>0.22</v>
      </c>
      <c r="BX146" s="129">
        <v>75.013000000000005</v>
      </c>
      <c r="BY146" s="129">
        <v>12.46</v>
      </c>
      <c r="BZ146" s="129">
        <v>6.66</v>
      </c>
      <c r="CA146" s="129">
        <v>4.57</v>
      </c>
      <c r="CB146" s="129">
        <v>56.17</v>
      </c>
      <c r="CC146" s="129">
        <v>0.16</v>
      </c>
      <c r="CD146" s="129">
        <v>20.93</v>
      </c>
      <c r="CE146" s="129">
        <v>0.88</v>
      </c>
      <c r="CH146" s="129">
        <v>366.31</v>
      </c>
      <c r="CP146" s="129">
        <v>76</v>
      </c>
      <c r="CQ146" s="129">
        <v>4.5599999999999996</v>
      </c>
      <c r="CR146" s="129">
        <v>0.22</v>
      </c>
      <c r="CS146" s="129">
        <v>75.013000000000005</v>
      </c>
      <c r="CT146" s="129">
        <v>12.46</v>
      </c>
      <c r="CU146" s="129">
        <v>8</v>
      </c>
      <c r="CV146" s="129">
        <v>280</v>
      </c>
      <c r="CW146" s="129">
        <v>56.17</v>
      </c>
      <c r="CX146" s="129">
        <v>0.16</v>
      </c>
      <c r="CZ146" s="129">
        <v>25</v>
      </c>
      <c r="DC146" s="129">
        <v>366.31</v>
      </c>
      <c r="DJ146" s="129">
        <v>0</v>
      </c>
      <c r="DK146" s="129">
        <v>0</v>
      </c>
      <c r="DL146" s="129"/>
      <c r="DM146" s="129">
        <v>-1.05</v>
      </c>
      <c r="DO146" s="129">
        <v>-0.75</v>
      </c>
      <c r="DQ146" s="129">
        <v>1372560</v>
      </c>
      <c r="DR146" s="129">
        <v>1</v>
      </c>
      <c r="DS146" s="129">
        <v>3</v>
      </c>
      <c r="DU146" s="129" t="s">
        <v>354</v>
      </c>
      <c r="DW146" s="129">
        <f>SUM(_2025_01_07T12_47_export3[[#This Row],[Ni_wt]:[H_wt]])</f>
        <v>99.902000000000015</v>
      </c>
      <c r="DY146" s="130">
        <f>SUM($AM146:BJ146)</f>
        <v>99.999999999999986</v>
      </c>
    </row>
    <row r="147" spans="1:129" hidden="1" x14ac:dyDescent="0.25">
      <c r="A147" s="129" t="s">
        <v>347</v>
      </c>
      <c r="B147" s="129">
        <v>155</v>
      </c>
      <c r="C147" s="129" t="s">
        <v>348</v>
      </c>
      <c r="D147" s="129">
        <v>2022</v>
      </c>
      <c r="E147" s="129" t="s">
        <v>349</v>
      </c>
      <c r="F147" s="129" t="s">
        <v>355</v>
      </c>
      <c r="G147" s="129" t="s">
        <v>344</v>
      </c>
      <c r="H147" s="129">
        <v>1.8</v>
      </c>
      <c r="I147" s="129">
        <v>592</v>
      </c>
      <c r="J147" s="129">
        <v>1000</v>
      </c>
      <c r="K147" s="129" t="s">
        <v>264</v>
      </c>
      <c r="L147" s="129" t="s">
        <v>264</v>
      </c>
      <c r="N147" s="129">
        <v>7980000</v>
      </c>
      <c r="O147" s="130">
        <v>13.3</v>
      </c>
      <c r="P147" s="130">
        <v>17.2</v>
      </c>
      <c r="Q147" s="130">
        <v>2.2999999999999998</v>
      </c>
      <c r="R147" s="130">
        <v>64.5</v>
      </c>
      <c r="S147" s="130"/>
      <c r="T147" s="130"/>
      <c r="U147" s="130">
        <v>1.9</v>
      </c>
      <c r="V147" s="130"/>
      <c r="W147" s="130"/>
      <c r="X147" s="130">
        <v>0.54</v>
      </c>
      <c r="Y147" s="130">
        <v>5.8000000000000003E-2</v>
      </c>
      <c r="Z147" s="130">
        <v>0.08</v>
      </c>
      <c r="AA147" s="130"/>
      <c r="AB147" s="130"/>
      <c r="AC147" s="130"/>
      <c r="AD147" s="130">
        <v>1.6E-2</v>
      </c>
      <c r="AE147" s="130"/>
      <c r="AF147" s="130"/>
      <c r="AG147" s="130"/>
      <c r="AH147" s="130"/>
      <c r="AI147" s="130">
        <v>8.0000000000000002E-3</v>
      </c>
      <c r="AJ147" s="130"/>
      <c r="AK147" s="130"/>
      <c r="AL147" s="130"/>
      <c r="AM147" s="130">
        <f t="shared" si="50"/>
        <v>12.60982844496213</v>
      </c>
      <c r="AN147" s="130">
        <f t="shared" si="51"/>
        <v>18.405463129958108</v>
      </c>
      <c r="AO147" s="130">
        <f t="shared" si="52"/>
        <v>1.3337033540761836</v>
      </c>
      <c r="AP147" s="130">
        <f t="shared" si="53"/>
        <v>64.262583891527882</v>
      </c>
      <c r="AQ147" s="130">
        <f t="shared" si="54"/>
        <v>0</v>
      </c>
      <c r="AR147" s="130">
        <f t="shared" si="55"/>
        <v>0</v>
      </c>
      <c r="AS147" s="130">
        <f t="shared" si="56"/>
        <v>1.9243612029612234</v>
      </c>
      <c r="AT147" s="130">
        <f t="shared" si="57"/>
        <v>0</v>
      </c>
      <c r="AU147" s="130">
        <f t="shared" si="58"/>
        <v>0</v>
      </c>
      <c r="AV147" s="130">
        <f t="shared" si="59"/>
        <v>1.0697041169356465</v>
      </c>
      <c r="AW147" s="130">
        <f t="shared" si="60"/>
        <v>0.26872410975327571</v>
      </c>
      <c r="AX147" s="130">
        <f t="shared" si="61"/>
        <v>7.0048054654479844E-2</v>
      </c>
      <c r="AY147" s="130">
        <f t="shared" si="62"/>
        <v>0</v>
      </c>
      <c r="AZ147" s="130">
        <f t="shared" si="63"/>
        <v>0</v>
      </c>
      <c r="BA147" s="130">
        <f t="shared" si="64"/>
        <v>0</v>
      </c>
      <c r="BB147" s="130">
        <f t="shared" si="65"/>
        <v>2.7761483463000898E-2</v>
      </c>
      <c r="BC147" s="130">
        <f t="shared" si="66"/>
        <v>0</v>
      </c>
      <c r="BD147" s="130">
        <f t="shared" si="67"/>
        <v>0</v>
      </c>
      <c r="BE147" s="130">
        <f t="shared" si="68"/>
        <v>0</v>
      </c>
      <c r="BF147" s="130">
        <f t="shared" si="69"/>
        <v>0</v>
      </c>
      <c r="BG147" s="130">
        <f t="shared" si="70"/>
        <v>2.7822211708076215E-2</v>
      </c>
      <c r="BH147" s="130">
        <f t="shared" si="71"/>
        <v>0</v>
      </c>
      <c r="BI147" s="130">
        <f t="shared" si="72"/>
        <v>0</v>
      </c>
      <c r="BJ147" s="130">
        <f t="shared" si="73"/>
        <v>0</v>
      </c>
      <c r="BK147" s="130">
        <f t="shared" si="74"/>
        <v>-140.50975138527329</v>
      </c>
      <c r="BL147" s="130">
        <f>IF($K147=$L147,$BK147,IF(OR($K147="graphite",$K147="vitreous carbon"),$BK$406+($BM$389+$I147)*$BJ$406,IF($K147="Pyrolytic Boron Nitride","PBN",IF(COUNTIF($BH$396:$BH$416,$K147)&gt;0,VLOOKUP($K147,$BH$396:$BK$416,4,FALSE)+($BM$389+$I147)*VLOOKUP($K147,$BH$396:$BK$416,3,FALSE),IF(COUNTIF($L$2:$L146,$K147)&gt;0,VLOOKUP($K147,$L$2:$BK146,52,FALSE),"idk")))))</f>
        <v>-140.50975138527329</v>
      </c>
      <c r="BM147" s="130">
        <v>25.4</v>
      </c>
      <c r="BN147" s="130">
        <v>19</v>
      </c>
      <c r="BO147" s="130">
        <v>2</v>
      </c>
      <c r="BP147" s="129" t="s">
        <v>245</v>
      </c>
      <c r="BQ147" s="129" t="s">
        <v>351</v>
      </c>
      <c r="BR147" s="129" t="s">
        <v>247</v>
      </c>
      <c r="BS147" s="129"/>
      <c r="BT147" s="129">
        <v>0</v>
      </c>
      <c r="BU147" s="129">
        <v>7.17</v>
      </c>
      <c r="BV147" s="129">
        <v>4.5599999999999996</v>
      </c>
      <c r="BW147" s="129">
        <v>0.22</v>
      </c>
      <c r="BX147" s="129">
        <v>75.013000000000005</v>
      </c>
      <c r="BY147" s="129">
        <v>12.46</v>
      </c>
      <c r="BZ147" s="129">
        <v>6.66</v>
      </c>
      <c r="CA147" s="129">
        <v>4.57</v>
      </c>
      <c r="CB147" s="129">
        <v>56.17</v>
      </c>
      <c r="CC147" s="129">
        <v>0.16</v>
      </c>
      <c r="CD147" s="129">
        <v>20.93</v>
      </c>
      <c r="CE147" s="129">
        <v>0.88</v>
      </c>
      <c r="CH147" s="129">
        <v>366.31</v>
      </c>
      <c r="CP147" s="129">
        <v>76</v>
      </c>
      <c r="CQ147" s="129">
        <v>4.5599999999999996</v>
      </c>
      <c r="CR147" s="129">
        <v>0.22</v>
      </c>
      <c r="CS147" s="129">
        <v>75.013000000000005</v>
      </c>
      <c r="CT147" s="129">
        <v>12.46</v>
      </c>
      <c r="CU147" s="129">
        <v>8</v>
      </c>
      <c r="CV147" s="129">
        <v>280</v>
      </c>
      <c r="CW147" s="129">
        <v>56.17</v>
      </c>
      <c r="CX147" s="129">
        <v>0.16</v>
      </c>
      <c r="CZ147" s="129">
        <v>25</v>
      </c>
      <c r="DC147" s="129">
        <v>366.31</v>
      </c>
      <c r="DJ147" s="129">
        <v>0</v>
      </c>
      <c r="DK147" s="129">
        <v>0</v>
      </c>
      <c r="DL147" s="129"/>
      <c r="DM147" s="129">
        <v>-2.14</v>
      </c>
      <c r="DO147" s="129">
        <v>-0.64</v>
      </c>
      <c r="DQ147" s="129">
        <v>1372560</v>
      </c>
      <c r="DR147" s="129">
        <v>1</v>
      </c>
      <c r="DS147" s="129">
        <v>3</v>
      </c>
      <c r="DU147" s="129" t="s">
        <v>354</v>
      </c>
      <c r="DW147" s="129">
        <f>SUM(_2025_01_07T12_47_export3[[#This Row],[Ni_wt]:[H_wt]])</f>
        <v>99.902000000000015</v>
      </c>
      <c r="DY147" s="130">
        <f>SUM($AM147:BJ147)</f>
        <v>99.999999999999986</v>
      </c>
    </row>
    <row r="148" spans="1:129" hidden="1" x14ac:dyDescent="0.25">
      <c r="A148" s="129" t="s">
        <v>347</v>
      </c>
      <c r="B148" s="129">
        <v>156</v>
      </c>
      <c r="C148" s="129" t="s">
        <v>348</v>
      </c>
      <c r="D148" s="129">
        <v>2022</v>
      </c>
      <c r="E148" s="129" t="s">
        <v>349</v>
      </c>
      <c r="F148" s="129" t="s">
        <v>355</v>
      </c>
      <c r="G148" s="129" t="s">
        <v>344</v>
      </c>
      <c r="H148" s="129">
        <v>1.8</v>
      </c>
      <c r="I148" s="129">
        <v>582</v>
      </c>
      <c r="J148" s="129">
        <v>1000</v>
      </c>
      <c r="K148" s="129" t="s">
        <v>264</v>
      </c>
      <c r="L148" s="129" t="s">
        <v>264</v>
      </c>
      <c r="N148" s="129">
        <v>7980000</v>
      </c>
      <c r="O148" s="130">
        <v>13.3</v>
      </c>
      <c r="P148" s="130">
        <v>17.2</v>
      </c>
      <c r="Q148" s="130">
        <v>2.2999999999999998</v>
      </c>
      <c r="R148" s="130">
        <v>64.5</v>
      </c>
      <c r="S148" s="130"/>
      <c r="T148" s="130"/>
      <c r="U148" s="130">
        <v>1.9</v>
      </c>
      <c r="V148" s="130"/>
      <c r="W148" s="130"/>
      <c r="X148" s="130">
        <v>0.54</v>
      </c>
      <c r="Y148" s="130">
        <v>5.8000000000000003E-2</v>
      </c>
      <c r="Z148" s="130">
        <v>0.08</v>
      </c>
      <c r="AA148" s="130"/>
      <c r="AB148" s="130"/>
      <c r="AC148" s="130"/>
      <c r="AD148" s="130">
        <v>1.6E-2</v>
      </c>
      <c r="AE148" s="130"/>
      <c r="AF148" s="130"/>
      <c r="AG148" s="130"/>
      <c r="AH148" s="130"/>
      <c r="AI148" s="130">
        <v>8.0000000000000002E-3</v>
      </c>
      <c r="AJ148" s="130"/>
      <c r="AK148" s="130"/>
      <c r="AL148" s="130"/>
      <c r="AM148" s="130">
        <f t="shared" si="50"/>
        <v>12.60982844496213</v>
      </c>
      <c r="AN148" s="130">
        <f t="shared" si="51"/>
        <v>18.405463129958108</v>
      </c>
      <c r="AO148" s="130">
        <f t="shared" si="52"/>
        <v>1.3337033540761836</v>
      </c>
      <c r="AP148" s="130">
        <f t="shared" si="53"/>
        <v>64.262583891527882</v>
      </c>
      <c r="AQ148" s="130">
        <f t="shared" si="54"/>
        <v>0</v>
      </c>
      <c r="AR148" s="130">
        <f t="shared" si="55"/>
        <v>0</v>
      </c>
      <c r="AS148" s="130">
        <f t="shared" si="56"/>
        <v>1.9243612029612234</v>
      </c>
      <c r="AT148" s="130">
        <f t="shared" si="57"/>
        <v>0</v>
      </c>
      <c r="AU148" s="130">
        <f t="shared" si="58"/>
        <v>0</v>
      </c>
      <c r="AV148" s="130">
        <f t="shared" si="59"/>
        <v>1.0697041169356465</v>
      </c>
      <c r="AW148" s="130">
        <f t="shared" si="60"/>
        <v>0.26872410975327571</v>
      </c>
      <c r="AX148" s="130">
        <f t="shared" si="61"/>
        <v>7.0048054654479844E-2</v>
      </c>
      <c r="AY148" s="130">
        <f t="shared" si="62"/>
        <v>0</v>
      </c>
      <c r="AZ148" s="130">
        <f t="shared" si="63"/>
        <v>0</v>
      </c>
      <c r="BA148" s="130">
        <f t="shared" si="64"/>
        <v>0</v>
      </c>
      <c r="BB148" s="130">
        <f t="shared" si="65"/>
        <v>2.7761483463000898E-2</v>
      </c>
      <c r="BC148" s="130">
        <f t="shared" si="66"/>
        <v>0</v>
      </c>
      <c r="BD148" s="130">
        <f t="shared" si="67"/>
        <v>0</v>
      </c>
      <c r="BE148" s="130">
        <f t="shared" si="68"/>
        <v>0</v>
      </c>
      <c r="BF148" s="130">
        <f t="shared" si="69"/>
        <v>0</v>
      </c>
      <c r="BG148" s="130">
        <f t="shared" si="70"/>
        <v>2.7822211708076215E-2</v>
      </c>
      <c r="BH148" s="130">
        <f t="shared" si="71"/>
        <v>0</v>
      </c>
      <c r="BI148" s="130">
        <f t="shared" si="72"/>
        <v>0</v>
      </c>
      <c r="BJ148" s="130">
        <f t="shared" si="73"/>
        <v>0</v>
      </c>
      <c r="BK148" s="130">
        <f t="shared" si="74"/>
        <v>-140.834703779297</v>
      </c>
      <c r="BL148" s="130">
        <f>IF($K148=$L148,$BK148,IF(OR($K148="graphite",$K148="vitreous carbon"),$BK$406+($BM$389+$I148)*$BJ$406,IF($K148="Pyrolytic Boron Nitride","PBN",IF(COUNTIF($BH$396:$BH$416,$K148)&gt;0,VLOOKUP($K148,$BH$396:$BK$416,4,FALSE)+($BM$389+$I148)*VLOOKUP($K148,$BH$396:$BK$416,3,FALSE),IF(COUNTIF($L$2:$L147,$K148)&gt;0,VLOOKUP($K148,$L$2:$BK147,52,FALSE),"idk")))))</f>
        <v>-140.834703779297</v>
      </c>
      <c r="BM148" s="130">
        <v>25.4</v>
      </c>
      <c r="BN148" s="130">
        <v>19</v>
      </c>
      <c r="BO148" s="130">
        <v>2</v>
      </c>
      <c r="BP148" s="129" t="s">
        <v>245</v>
      </c>
      <c r="BQ148" s="129" t="s">
        <v>351</v>
      </c>
      <c r="BR148" s="129" t="s">
        <v>247</v>
      </c>
      <c r="BS148" s="129"/>
      <c r="BT148" s="129">
        <v>0</v>
      </c>
      <c r="BU148" s="129">
        <v>7.17</v>
      </c>
      <c r="BV148" s="129">
        <v>4.5599999999999996</v>
      </c>
      <c r="BW148" s="129">
        <v>0.22</v>
      </c>
      <c r="BX148" s="129">
        <v>75.013000000000005</v>
      </c>
      <c r="BY148" s="129">
        <v>12.46</v>
      </c>
      <c r="BZ148" s="129">
        <v>6.66</v>
      </c>
      <c r="CA148" s="129">
        <v>4.57</v>
      </c>
      <c r="CB148" s="129">
        <v>56.17</v>
      </c>
      <c r="CC148" s="129">
        <v>0.16</v>
      </c>
      <c r="CD148" s="129">
        <v>20.93</v>
      </c>
      <c r="CE148" s="129">
        <v>0.88</v>
      </c>
      <c r="CH148" s="129">
        <v>366.31</v>
      </c>
      <c r="CP148" s="129">
        <v>76</v>
      </c>
      <c r="CQ148" s="129">
        <v>4.5599999999999996</v>
      </c>
      <c r="CR148" s="129">
        <v>0.22</v>
      </c>
      <c r="CS148" s="129">
        <v>75.013000000000005</v>
      </c>
      <c r="CT148" s="129">
        <v>12.46</v>
      </c>
      <c r="CU148" s="129">
        <v>8</v>
      </c>
      <c r="CV148" s="129">
        <v>280</v>
      </c>
      <c r="CW148" s="129">
        <v>56.17</v>
      </c>
      <c r="CX148" s="129">
        <v>0.16</v>
      </c>
      <c r="CZ148" s="129">
        <v>25</v>
      </c>
      <c r="DC148" s="129">
        <v>366.31</v>
      </c>
      <c r="DJ148" s="129">
        <v>0</v>
      </c>
      <c r="DK148" s="129">
        <v>0</v>
      </c>
      <c r="DL148" s="129"/>
      <c r="DM148" s="129">
        <v>-1.8</v>
      </c>
      <c r="DO148" s="129">
        <v>-0.5</v>
      </c>
      <c r="DQ148" s="129">
        <v>1372560</v>
      </c>
      <c r="DR148" s="129">
        <v>1</v>
      </c>
      <c r="DS148" s="129">
        <v>3</v>
      </c>
      <c r="DU148" s="129" t="s">
        <v>354</v>
      </c>
      <c r="DW148" s="129">
        <f>SUM(_2025_01_07T12_47_export3[[#This Row],[Ni_wt]:[H_wt]])</f>
        <v>99.902000000000015</v>
      </c>
      <c r="DY148" s="130">
        <f>SUM($AM148:BJ148)</f>
        <v>99.999999999999986</v>
      </c>
    </row>
    <row r="149" spans="1:129" hidden="1" x14ac:dyDescent="0.25">
      <c r="A149" s="129" t="s">
        <v>347</v>
      </c>
      <c r="B149" s="129">
        <v>157</v>
      </c>
      <c r="C149" s="129" t="s">
        <v>348</v>
      </c>
      <c r="D149" s="129">
        <v>2022</v>
      </c>
      <c r="E149" s="129" t="s">
        <v>349</v>
      </c>
      <c r="F149" s="129" t="s">
        <v>355</v>
      </c>
      <c r="G149" s="129" t="s">
        <v>346</v>
      </c>
      <c r="H149" s="129">
        <v>1.8</v>
      </c>
      <c r="I149" s="129">
        <v>604</v>
      </c>
      <c r="J149" s="129">
        <v>1000</v>
      </c>
      <c r="K149" s="129" t="s">
        <v>264</v>
      </c>
      <c r="L149" s="129" t="s">
        <v>264</v>
      </c>
      <c r="N149" s="129">
        <v>7980000</v>
      </c>
      <c r="O149" s="130">
        <v>13.3</v>
      </c>
      <c r="P149" s="130">
        <v>17.2</v>
      </c>
      <c r="Q149" s="130">
        <v>2.2999999999999998</v>
      </c>
      <c r="R149" s="130">
        <v>64.5</v>
      </c>
      <c r="S149" s="130"/>
      <c r="T149" s="130"/>
      <c r="U149" s="130">
        <v>1.9</v>
      </c>
      <c r="V149" s="130"/>
      <c r="W149" s="130"/>
      <c r="X149" s="130">
        <v>0.54</v>
      </c>
      <c r="Y149" s="130">
        <v>5.8000000000000003E-2</v>
      </c>
      <c r="Z149" s="130">
        <v>0.08</v>
      </c>
      <c r="AA149" s="130"/>
      <c r="AB149" s="130"/>
      <c r="AC149" s="130"/>
      <c r="AD149" s="130">
        <v>1.6E-2</v>
      </c>
      <c r="AE149" s="130"/>
      <c r="AF149" s="130"/>
      <c r="AG149" s="130"/>
      <c r="AH149" s="130"/>
      <c r="AI149" s="130">
        <v>8.0000000000000002E-3</v>
      </c>
      <c r="AJ149" s="130"/>
      <c r="AK149" s="130"/>
      <c r="AL149" s="130"/>
      <c r="AM149" s="130">
        <f t="shared" si="50"/>
        <v>12.60982844496213</v>
      </c>
      <c r="AN149" s="130">
        <f t="shared" si="51"/>
        <v>18.405463129958108</v>
      </c>
      <c r="AO149" s="130">
        <f t="shared" si="52"/>
        <v>1.3337033540761836</v>
      </c>
      <c r="AP149" s="130">
        <f t="shared" si="53"/>
        <v>64.262583891527882</v>
      </c>
      <c r="AQ149" s="130">
        <f t="shared" si="54"/>
        <v>0</v>
      </c>
      <c r="AR149" s="130">
        <f t="shared" si="55"/>
        <v>0</v>
      </c>
      <c r="AS149" s="130">
        <f t="shared" si="56"/>
        <v>1.9243612029612234</v>
      </c>
      <c r="AT149" s="130">
        <f t="shared" si="57"/>
        <v>0</v>
      </c>
      <c r="AU149" s="130">
        <f t="shared" si="58"/>
        <v>0</v>
      </c>
      <c r="AV149" s="130">
        <f t="shared" si="59"/>
        <v>1.0697041169356465</v>
      </c>
      <c r="AW149" s="130">
        <f t="shared" si="60"/>
        <v>0.26872410975327571</v>
      </c>
      <c r="AX149" s="130">
        <f t="shared" si="61"/>
        <v>7.0048054654479844E-2</v>
      </c>
      <c r="AY149" s="130">
        <f t="shared" si="62"/>
        <v>0</v>
      </c>
      <c r="AZ149" s="130">
        <f t="shared" si="63"/>
        <v>0</v>
      </c>
      <c r="BA149" s="130">
        <f t="shared" si="64"/>
        <v>0</v>
      </c>
      <c r="BB149" s="130">
        <f t="shared" si="65"/>
        <v>2.7761483463000898E-2</v>
      </c>
      <c r="BC149" s="130">
        <f t="shared" si="66"/>
        <v>0</v>
      </c>
      <c r="BD149" s="130">
        <f t="shared" si="67"/>
        <v>0</v>
      </c>
      <c r="BE149" s="130">
        <f t="shared" si="68"/>
        <v>0</v>
      </c>
      <c r="BF149" s="130">
        <f t="shared" si="69"/>
        <v>0</v>
      </c>
      <c r="BG149" s="130">
        <f t="shared" si="70"/>
        <v>2.7822211708076215E-2</v>
      </c>
      <c r="BH149" s="130">
        <f t="shared" si="71"/>
        <v>0</v>
      </c>
      <c r="BI149" s="130">
        <f t="shared" si="72"/>
        <v>0</v>
      </c>
      <c r="BJ149" s="130">
        <f t="shared" si="73"/>
        <v>0</v>
      </c>
      <c r="BK149" s="130">
        <f t="shared" si="74"/>
        <v>-140.11980851244476</v>
      </c>
      <c r="BL149" s="130">
        <f>IF($K149=$L149,$BK149,IF(OR($K149="graphite",$K149="vitreous carbon"),$BK$406+($BM$389+$I149)*$BJ$406,IF($K149="Pyrolytic Boron Nitride","PBN",IF(COUNTIF($BH$396:$BH$416,$K149)&gt;0,VLOOKUP($K149,$BH$396:$BK$416,4,FALSE)+($BM$389+$I149)*VLOOKUP($K149,$BH$396:$BK$416,3,FALSE),IF(COUNTIF($L$2:$L148,$K149)&gt;0,VLOOKUP($K149,$L$2:$BK148,52,FALSE),"idk")))))</f>
        <v>-140.11980851244476</v>
      </c>
      <c r="BM149" s="130">
        <v>25.4</v>
      </c>
      <c r="BN149" s="130">
        <v>19</v>
      </c>
      <c r="BO149" s="130">
        <v>2</v>
      </c>
      <c r="BP149" s="129" t="s">
        <v>245</v>
      </c>
      <c r="BQ149" s="129" t="s">
        <v>351</v>
      </c>
      <c r="BR149" s="129" t="s">
        <v>247</v>
      </c>
      <c r="BS149" s="129"/>
      <c r="BT149" s="129">
        <v>0</v>
      </c>
      <c r="BU149" s="129">
        <v>7.17</v>
      </c>
      <c r="BV149" s="129">
        <v>4.5599999999999996</v>
      </c>
      <c r="BW149" s="129">
        <v>0.22</v>
      </c>
      <c r="BX149" s="129">
        <v>75.013000000000005</v>
      </c>
      <c r="BY149" s="129">
        <v>12.46</v>
      </c>
      <c r="BZ149" s="129">
        <v>6.66</v>
      </c>
      <c r="CA149" s="129">
        <v>4.57</v>
      </c>
      <c r="CB149" s="129">
        <v>56.17</v>
      </c>
      <c r="CC149" s="129">
        <v>0.16</v>
      </c>
      <c r="CD149" s="129">
        <v>20.93</v>
      </c>
      <c r="CE149" s="129">
        <v>0.88</v>
      </c>
      <c r="CH149" s="129">
        <v>366.31</v>
      </c>
      <c r="CP149" s="129">
        <v>76</v>
      </c>
      <c r="CQ149" s="129">
        <v>4.5599999999999996</v>
      </c>
      <c r="CR149" s="129">
        <v>0.22</v>
      </c>
      <c r="CS149" s="129">
        <v>75.013000000000005</v>
      </c>
      <c r="CT149" s="129">
        <v>12.46</v>
      </c>
      <c r="CU149" s="129">
        <v>8</v>
      </c>
      <c r="CV149" s="129">
        <v>280</v>
      </c>
      <c r="CW149" s="129">
        <v>56.17</v>
      </c>
      <c r="CX149" s="129">
        <v>0.16</v>
      </c>
      <c r="CZ149" s="129">
        <v>25</v>
      </c>
      <c r="DC149" s="129">
        <v>366.31</v>
      </c>
      <c r="DJ149" s="129">
        <v>0</v>
      </c>
      <c r="DK149" s="129">
        <v>0</v>
      </c>
      <c r="DL149" s="129"/>
      <c r="DM149" s="129">
        <v>-2.16</v>
      </c>
      <c r="DO149" s="129">
        <v>-0.37</v>
      </c>
      <c r="DQ149" s="129">
        <v>1372560</v>
      </c>
      <c r="DR149" s="129">
        <v>1</v>
      </c>
      <c r="DS149" s="129">
        <v>3</v>
      </c>
      <c r="DU149" s="129" t="s">
        <v>354</v>
      </c>
      <c r="DW149" s="129">
        <f>SUM(_2025_01_07T12_47_export3[[#This Row],[Ni_wt]:[H_wt]])</f>
        <v>99.902000000000015</v>
      </c>
      <c r="DY149" s="130">
        <f>SUM($AM149:BJ149)</f>
        <v>99.999999999999986</v>
      </c>
    </row>
    <row r="150" spans="1:129" ht="16.5" hidden="1" thickBot="1" x14ac:dyDescent="0.3">
      <c r="A150" s="136" t="s">
        <v>347</v>
      </c>
      <c r="B150" s="136">
        <v>158</v>
      </c>
      <c r="C150" s="136" t="s">
        <v>348</v>
      </c>
      <c r="D150" s="136">
        <v>2022</v>
      </c>
      <c r="E150" s="136" t="s">
        <v>349</v>
      </c>
      <c r="F150" s="136" t="s">
        <v>355</v>
      </c>
      <c r="G150" s="136" t="s">
        <v>346</v>
      </c>
      <c r="H150" s="136">
        <v>1.8</v>
      </c>
      <c r="I150" s="136">
        <v>594</v>
      </c>
      <c r="J150" s="136">
        <v>1000</v>
      </c>
      <c r="K150" s="136" t="s">
        <v>264</v>
      </c>
      <c r="L150" s="136" t="s">
        <v>264</v>
      </c>
      <c r="M150" s="136"/>
      <c r="N150" s="136">
        <v>7980000</v>
      </c>
      <c r="O150" s="137">
        <v>13.3</v>
      </c>
      <c r="P150" s="137">
        <v>17.2</v>
      </c>
      <c r="Q150" s="137">
        <v>2.2999999999999998</v>
      </c>
      <c r="R150" s="137">
        <v>64.5</v>
      </c>
      <c r="S150" s="137"/>
      <c r="T150" s="137"/>
      <c r="U150" s="137">
        <v>1.9</v>
      </c>
      <c r="V150" s="137"/>
      <c r="W150" s="137"/>
      <c r="X150" s="137">
        <v>0.54</v>
      </c>
      <c r="Y150" s="137">
        <v>5.8000000000000003E-2</v>
      </c>
      <c r="Z150" s="137">
        <v>0.08</v>
      </c>
      <c r="AA150" s="137"/>
      <c r="AB150" s="137"/>
      <c r="AC150" s="137"/>
      <c r="AD150" s="137">
        <v>1.6E-2</v>
      </c>
      <c r="AE150" s="137"/>
      <c r="AF150" s="137"/>
      <c r="AG150" s="137"/>
      <c r="AH150" s="137"/>
      <c r="AI150" s="137">
        <v>8.0000000000000002E-3</v>
      </c>
      <c r="AJ150" s="137"/>
      <c r="AK150" s="137"/>
      <c r="AL150" s="137"/>
      <c r="AM150" s="137">
        <f t="shared" si="50"/>
        <v>12.60982844496213</v>
      </c>
      <c r="AN150" s="137">
        <f t="shared" si="51"/>
        <v>18.405463129958108</v>
      </c>
      <c r="AO150" s="137">
        <f t="shared" si="52"/>
        <v>1.3337033540761836</v>
      </c>
      <c r="AP150" s="137">
        <f t="shared" si="53"/>
        <v>64.262583891527882</v>
      </c>
      <c r="AQ150" s="137">
        <f t="shared" si="54"/>
        <v>0</v>
      </c>
      <c r="AR150" s="137">
        <f t="shared" si="55"/>
        <v>0</v>
      </c>
      <c r="AS150" s="137">
        <f t="shared" si="56"/>
        <v>1.9243612029612234</v>
      </c>
      <c r="AT150" s="137">
        <f t="shared" si="57"/>
        <v>0</v>
      </c>
      <c r="AU150" s="137">
        <f t="shared" si="58"/>
        <v>0</v>
      </c>
      <c r="AV150" s="137">
        <f t="shared" si="59"/>
        <v>1.0697041169356465</v>
      </c>
      <c r="AW150" s="137">
        <f t="shared" si="60"/>
        <v>0.26872410975327571</v>
      </c>
      <c r="AX150" s="137">
        <f t="shared" si="61"/>
        <v>7.0048054654479844E-2</v>
      </c>
      <c r="AY150" s="137">
        <f t="shared" si="62"/>
        <v>0</v>
      </c>
      <c r="AZ150" s="137">
        <f t="shared" si="63"/>
        <v>0</v>
      </c>
      <c r="BA150" s="137">
        <f t="shared" si="64"/>
        <v>0</v>
      </c>
      <c r="BB150" s="137">
        <f t="shared" si="65"/>
        <v>2.7761483463000898E-2</v>
      </c>
      <c r="BC150" s="137">
        <f t="shared" si="66"/>
        <v>0</v>
      </c>
      <c r="BD150" s="137">
        <f t="shared" si="67"/>
        <v>0</v>
      </c>
      <c r="BE150" s="137">
        <f t="shared" si="68"/>
        <v>0</v>
      </c>
      <c r="BF150" s="137">
        <f t="shared" si="69"/>
        <v>0</v>
      </c>
      <c r="BG150" s="137">
        <f t="shared" si="70"/>
        <v>2.7822211708076215E-2</v>
      </c>
      <c r="BH150" s="137">
        <f t="shared" si="71"/>
        <v>0</v>
      </c>
      <c r="BI150" s="137">
        <f t="shared" si="72"/>
        <v>0</v>
      </c>
      <c r="BJ150" s="137">
        <f t="shared" si="73"/>
        <v>0</v>
      </c>
      <c r="BK150" s="137">
        <f t="shared" si="74"/>
        <v>-140.4447609064685</v>
      </c>
      <c r="BL150" s="137">
        <f>IF($K150=$L150,$BK150,IF(OR($K150="graphite",$K150="vitreous carbon"),$BK$406+($BM$389+$I150)*$BJ$406,IF($K150="Pyrolytic Boron Nitride","PBN",IF(COUNTIF($BH$396:$BH$416,$K150)&gt;0,VLOOKUP($K150,$BH$396:$BK$416,4,FALSE)+($BM$389+$I150)*VLOOKUP($K150,$BH$396:$BK$416,3,FALSE),IF(COUNTIF($L$2:$L149,$K150)&gt;0,VLOOKUP($K150,$L$2:$BK149,52,FALSE),"idk")))))</f>
        <v>-140.4447609064685</v>
      </c>
      <c r="BM150" s="137">
        <v>25.4</v>
      </c>
      <c r="BN150" s="137">
        <v>19</v>
      </c>
      <c r="BO150" s="137">
        <v>2</v>
      </c>
      <c r="BP150" s="136" t="s">
        <v>245</v>
      </c>
      <c r="BQ150" s="136" t="s">
        <v>351</v>
      </c>
      <c r="BR150" s="136" t="s">
        <v>247</v>
      </c>
      <c r="BS150" s="136"/>
      <c r="BT150" s="136">
        <v>0</v>
      </c>
      <c r="BU150" s="136">
        <v>7.17</v>
      </c>
      <c r="BV150" s="136">
        <v>4.5599999999999996</v>
      </c>
      <c r="BW150" s="136">
        <v>0.22</v>
      </c>
      <c r="BX150" s="136">
        <v>75.013000000000005</v>
      </c>
      <c r="BY150" s="136">
        <v>12.46</v>
      </c>
      <c r="BZ150" s="136">
        <v>6.66</v>
      </c>
      <c r="CA150" s="136">
        <v>4.57</v>
      </c>
      <c r="CB150" s="136">
        <v>56.17</v>
      </c>
      <c r="CC150" s="136">
        <v>0.16</v>
      </c>
      <c r="CD150" s="136">
        <v>20.93</v>
      </c>
      <c r="CE150" s="136">
        <v>0.88</v>
      </c>
      <c r="CF150" s="136"/>
      <c r="CG150" s="136"/>
      <c r="CH150" s="136">
        <v>366.31</v>
      </c>
      <c r="CI150" s="136"/>
      <c r="CJ150" s="136"/>
      <c r="CK150" s="136"/>
      <c r="CL150" s="136"/>
      <c r="CM150" s="136"/>
      <c r="CN150" s="136"/>
      <c r="CO150" s="136"/>
      <c r="CP150" s="136">
        <v>76</v>
      </c>
      <c r="CQ150" s="136">
        <v>4.5599999999999996</v>
      </c>
      <c r="CR150" s="136">
        <v>0.22</v>
      </c>
      <c r="CS150" s="136">
        <v>75.013000000000005</v>
      </c>
      <c r="CT150" s="136">
        <v>12.46</v>
      </c>
      <c r="CU150" s="136">
        <v>8</v>
      </c>
      <c r="CV150" s="136">
        <v>280</v>
      </c>
      <c r="CW150" s="136">
        <v>56.17</v>
      </c>
      <c r="CX150" s="136">
        <v>0.16</v>
      </c>
      <c r="CY150" s="136"/>
      <c r="CZ150" s="136">
        <v>25</v>
      </c>
      <c r="DA150" s="136"/>
      <c r="DB150" s="136"/>
      <c r="DC150" s="136">
        <v>366.31</v>
      </c>
      <c r="DD150" s="136"/>
      <c r="DE150" s="136"/>
      <c r="DF150" s="136"/>
      <c r="DG150" s="136"/>
      <c r="DH150" s="136"/>
      <c r="DI150" s="136"/>
      <c r="DJ150" s="136">
        <v>0</v>
      </c>
      <c r="DK150" s="136">
        <v>0</v>
      </c>
      <c r="DL150" s="136"/>
      <c r="DM150" s="136">
        <v>1.6</v>
      </c>
      <c r="DN150" s="136"/>
      <c r="DO150" s="136">
        <v>-0.16</v>
      </c>
      <c r="DP150" s="136"/>
      <c r="DQ150" s="136">
        <v>1372560</v>
      </c>
      <c r="DR150" s="136">
        <v>1</v>
      </c>
      <c r="DS150" s="136">
        <v>3</v>
      </c>
      <c r="DT150" s="136"/>
      <c r="DU150" s="136" t="s">
        <v>354</v>
      </c>
      <c r="DW150" s="129">
        <f>SUM(_2025_01_07T12_47_export3[[#This Row],[Ni_wt]:[H_wt]])</f>
        <v>99.902000000000015</v>
      </c>
      <c r="DY150" s="130">
        <f>SUM($AM150:BJ150)</f>
        <v>99.999999999999986</v>
      </c>
    </row>
    <row r="151" spans="1:129" hidden="1" x14ac:dyDescent="0.25">
      <c r="A151" s="129" t="s">
        <v>356</v>
      </c>
      <c r="B151" s="129">
        <v>159</v>
      </c>
      <c r="C151" s="129" t="s">
        <v>357</v>
      </c>
      <c r="D151" s="129">
        <v>2020</v>
      </c>
      <c r="E151" s="129" t="s">
        <v>358</v>
      </c>
      <c r="F151" s="129" t="s">
        <v>359</v>
      </c>
      <c r="G151" s="129" t="s">
        <v>226</v>
      </c>
      <c r="H151" s="129">
        <v>0</v>
      </c>
      <c r="I151" s="129">
        <v>650</v>
      </c>
      <c r="J151" s="129">
        <v>4</v>
      </c>
      <c r="K151" s="234" t="s">
        <v>48</v>
      </c>
      <c r="L151" s="129" t="s">
        <v>241</v>
      </c>
      <c r="N151" s="129">
        <v>8570000</v>
      </c>
      <c r="O151" s="130">
        <v>80</v>
      </c>
      <c r="P151" s="130">
        <v>20</v>
      </c>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f t="shared" si="50"/>
        <v>77.993175597135249</v>
      </c>
      <c r="AN151" s="130">
        <f t="shared" si="51"/>
        <v>22.006824402864751</v>
      </c>
      <c r="AO151" s="130">
        <f t="shared" si="52"/>
        <v>0</v>
      </c>
      <c r="AP151" s="130">
        <f t="shared" si="53"/>
        <v>0</v>
      </c>
      <c r="AQ151" s="130">
        <f t="shared" si="54"/>
        <v>0</v>
      </c>
      <c r="AR151" s="130">
        <f t="shared" si="55"/>
        <v>0</v>
      </c>
      <c r="AS151" s="130">
        <f t="shared" si="56"/>
        <v>0</v>
      </c>
      <c r="AT151" s="130">
        <f t="shared" si="57"/>
        <v>0</v>
      </c>
      <c r="AU151" s="130">
        <f t="shared" si="58"/>
        <v>0</v>
      </c>
      <c r="AV151" s="130">
        <f t="shared" si="59"/>
        <v>0</v>
      </c>
      <c r="AW151" s="130">
        <f t="shared" si="60"/>
        <v>0</v>
      </c>
      <c r="AX151" s="130">
        <f t="shared" si="61"/>
        <v>0</v>
      </c>
      <c r="AY151" s="130">
        <f t="shared" si="62"/>
        <v>0</v>
      </c>
      <c r="AZ151" s="130">
        <f t="shared" si="63"/>
        <v>0</v>
      </c>
      <c r="BA151" s="130">
        <f t="shared" si="64"/>
        <v>0</v>
      </c>
      <c r="BB151" s="130">
        <f t="shared" si="65"/>
        <v>0</v>
      </c>
      <c r="BC151" s="130">
        <f t="shared" si="66"/>
        <v>0</v>
      </c>
      <c r="BD151" s="130">
        <f t="shared" si="67"/>
        <v>0</v>
      </c>
      <c r="BE151" s="130">
        <f t="shared" si="68"/>
        <v>0</v>
      </c>
      <c r="BF151" s="130">
        <f t="shared" si="69"/>
        <v>0</v>
      </c>
      <c r="BG151" s="130">
        <f t="shared" si="70"/>
        <v>0</v>
      </c>
      <c r="BH151" s="130">
        <f t="shared" si="71"/>
        <v>0</v>
      </c>
      <c r="BI151" s="130">
        <f t="shared" si="72"/>
        <v>0</v>
      </c>
      <c r="BJ151" s="130">
        <f t="shared" si="73"/>
        <v>0</v>
      </c>
      <c r="BK151" s="130">
        <f t="shared" si="74"/>
        <v>-129.6798982180143</v>
      </c>
      <c r="BL151" s="130">
        <f>IF($K151=$L151,$BK151,IF(OR($K151="graphite",$K151="vitreous carbon"),$BK$406+($BM$389+$I151)*$BJ$406,IF($K151="Pyrolytic Boron Nitride","PBN",IF(COUNTIF($BH$396:$BH$416,$K151)&gt;0,VLOOKUP($K151,$BH$396:$BK$416,4,FALSE)+($BM$389+$I151)*VLOOKUP($K151,$BH$396:$BK$416,3,FALSE),IF(COUNTIF($L$2:$L150,$K151)&gt;0,VLOOKUP($K151,$L$2:$BK150,52,FALSE),"idk")))))</f>
        <v>-123.53565520208147</v>
      </c>
      <c r="BM151" s="130">
        <v>5</v>
      </c>
      <c r="BN151" s="130">
        <v>5</v>
      </c>
      <c r="BO151" s="130">
        <v>0.03</v>
      </c>
      <c r="BP151" s="129" t="s">
        <v>245</v>
      </c>
      <c r="BQ151" s="129" t="s">
        <v>246</v>
      </c>
      <c r="BR151" s="129" t="s">
        <v>247</v>
      </c>
      <c r="BS151" s="129"/>
      <c r="BT151" s="129">
        <v>5</v>
      </c>
      <c r="BV151" s="129"/>
      <c r="BZ151" s="129"/>
      <c r="DJ151" s="129">
        <v>1</v>
      </c>
      <c r="DK151" s="129">
        <v>3</v>
      </c>
      <c r="DL151" s="129">
        <v>1.5</v>
      </c>
      <c r="DP151" s="129">
        <v>-0.18</v>
      </c>
      <c r="DQ151" s="129">
        <v>1714000</v>
      </c>
      <c r="DR151" s="129">
        <v>1</v>
      </c>
      <c r="DS151" s="129">
        <v>3</v>
      </c>
      <c r="DT151" s="134" t="s">
        <v>361</v>
      </c>
      <c r="DU151" s="129" t="s">
        <v>360</v>
      </c>
      <c r="DW151" s="129">
        <f>SUM(_2025_01_07T12_47_export3[[#This Row],[Ni_wt]:[H_wt]])</f>
        <v>100</v>
      </c>
      <c r="DY151" s="130">
        <f>SUM($AM151:BJ151)</f>
        <v>100</v>
      </c>
    </row>
    <row r="152" spans="1:129" x14ac:dyDescent="0.25">
      <c r="A152" s="129" t="s">
        <v>356</v>
      </c>
      <c r="B152" s="129">
        <v>160</v>
      </c>
      <c r="C152" s="129" t="s">
        <v>357</v>
      </c>
      <c r="D152" s="129">
        <v>2020</v>
      </c>
      <c r="E152" s="129" t="s">
        <v>358</v>
      </c>
      <c r="F152" s="129" t="s">
        <v>359</v>
      </c>
      <c r="G152" s="129" t="s">
        <v>226</v>
      </c>
      <c r="H152" s="129">
        <v>0</v>
      </c>
      <c r="I152" s="129">
        <v>650</v>
      </c>
      <c r="J152" s="129">
        <v>4</v>
      </c>
      <c r="K152" s="234" t="s">
        <v>48</v>
      </c>
      <c r="L152" s="129" t="s">
        <v>241</v>
      </c>
      <c r="N152" s="129">
        <v>8570000</v>
      </c>
      <c r="O152" s="130">
        <v>80</v>
      </c>
      <c r="P152" s="130">
        <v>20</v>
      </c>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f t="shared" si="50"/>
        <v>77.993175597135249</v>
      </c>
      <c r="AN152" s="130">
        <f t="shared" si="51"/>
        <v>22.006824402864751</v>
      </c>
      <c r="AO152" s="130">
        <f t="shared" si="52"/>
        <v>0</v>
      </c>
      <c r="AP152" s="130">
        <f t="shared" si="53"/>
        <v>0</v>
      </c>
      <c r="AQ152" s="130">
        <f t="shared" si="54"/>
        <v>0</v>
      </c>
      <c r="AR152" s="130">
        <f t="shared" si="55"/>
        <v>0</v>
      </c>
      <c r="AS152" s="130">
        <f t="shared" si="56"/>
        <v>0</v>
      </c>
      <c r="AT152" s="130">
        <f t="shared" si="57"/>
        <v>0</v>
      </c>
      <c r="AU152" s="130">
        <f t="shared" si="58"/>
        <v>0</v>
      </c>
      <c r="AV152" s="130">
        <f t="shared" si="59"/>
        <v>0</v>
      </c>
      <c r="AW152" s="130">
        <f t="shared" si="60"/>
        <v>0</v>
      </c>
      <c r="AX152" s="130">
        <f t="shared" si="61"/>
        <v>0</v>
      </c>
      <c r="AY152" s="130">
        <f t="shared" si="62"/>
        <v>0</v>
      </c>
      <c r="AZ152" s="130">
        <f t="shared" si="63"/>
        <v>0</v>
      </c>
      <c r="BA152" s="130">
        <f t="shared" si="64"/>
        <v>0</v>
      </c>
      <c r="BB152" s="130">
        <f t="shared" si="65"/>
        <v>0</v>
      </c>
      <c r="BC152" s="130">
        <f t="shared" si="66"/>
        <v>0</v>
      </c>
      <c r="BD152" s="130">
        <f t="shared" si="67"/>
        <v>0</v>
      </c>
      <c r="BE152" s="130">
        <f t="shared" si="68"/>
        <v>0</v>
      </c>
      <c r="BF152" s="130">
        <f t="shared" si="69"/>
        <v>0</v>
      </c>
      <c r="BG152" s="130">
        <f t="shared" si="70"/>
        <v>0</v>
      </c>
      <c r="BH152" s="130">
        <f t="shared" si="71"/>
        <v>0</v>
      </c>
      <c r="BI152" s="130">
        <f t="shared" si="72"/>
        <v>0</v>
      </c>
      <c r="BJ152" s="130">
        <f t="shared" si="73"/>
        <v>0</v>
      </c>
      <c r="BK152" s="130">
        <f t="shared" si="74"/>
        <v>-129.6798982180143</v>
      </c>
      <c r="BL152" s="130">
        <f>IF($K152=$L152,$BK152,IF(OR($K152="graphite",$K152="vitreous carbon"),$BK$406+($BM$389+$I152)*$BJ$406,IF($K152="Pyrolytic Boron Nitride","PBN",IF(COUNTIF($BH$396:$BH$416,$K152)&gt;0,VLOOKUP($K152,$BH$396:$BK$416,4,FALSE)+($BM$389+$I152)*VLOOKUP($K152,$BH$396:$BK$416,3,FALSE),IF(COUNTIF($L$2:$L151,$K152)&gt;0,VLOOKUP($K152,$L$2:$BK151,52,FALSE),"idk")))))</f>
        <v>-123.53565520208147</v>
      </c>
      <c r="BM152" s="130">
        <v>14</v>
      </c>
      <c r="BN152" s="130">
        <v>14</v>
      </c>
      <c r="BO152" s="130">
        <v>0.03</v>
      </c>
      <c r="BP152" s="129" t="s">
        <v>245</v>
      </c>
      <c r="BQ152" s="129" t="s">
        <v>246</v>
      </c>
      <c r="BR152" s="129" t="s">
        <v>247</v>
      </c>
      <c r="BS152" s="129"/>
      <c r="BT152" s="129">
        <v>5</v>
      </c>
      <c r="BV152" s="129"/>
      <c r="BZ152" s="129"/>
      <c r="DJ152" s="129">
        <v>0</v>
      </c>
      <c r="DK152" s="129">
        <v>0</v>
      </c>
      <c r="DL152" s="129"/>
      <c r="DP152" s="129">
        <v>-0.64</v>
      </c>
      <c r="DQ152" s="129">
        <v>1714000</v>
      </c>
      <c r="DS152" s="129">
        <v>3</v>
      </c>
      <c r="DT152" s="4" t="s">
        <v>612</v>
      </c>
      <c r="DU152" s="129" t="s">
        <v>360</v>
      </c>
      <c r="DW152" s="129">
        <f>SUM(_2025_01_07T12_47_export3[[#This Row],[Ni_wt]:[H_wt]])</f>
        <v>100</v>
      </c>
      <c r="DY152" s="130">
        <f>SUM($AM152:BJ152)</f>
        <v>100</v>
      </c>
    </row>
    <row r="153" spans="1:129" hidden="1" x14ac:dyDescent="0.25">
      <c r="A153" s="129" t="s">
        <v>356</v>
      </c>
      <c r="B153" s="129">
        <v>161</v>
      </c>
      <c r="C153" s="129" t="s">
        <v>357</v>
      </c>
      <c r="D153" s="129">
        <v>2020</v>
      </c>
      <c r="E153" s="129" t="s">
        <v>358</v>
      </c>
      <c r="F153" s="129" t="s">
        <v>359</v>
      </c>
      <c r="G153" s="129" t="s">
        <v>226</v>
      </c>
      <c r="H153" s="129">
        <v>0</v>
      </c>
      <c r="I153" s="129">
        <v>650</v>
      </c>
      <c r="J153" s="129">
        <v>4</v>
      </c>
      <c r="K153" s="234" t="s">
        <v>48</v>
      </c>
      <c r="L153" s="129" t="s">
        <v>241</v>
      </c>
      <c r="N153" s="129">
        <v>8570000</v>
      </c>
      <c r="O153" s="130">
        <v>80</v>
      </c>
      <c r="P153" s="130">
        <v>20</v>
      </c>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f t="shared" si="50"/>
        <v>77.993175597135249</v>
      </c>
      <c r="AN153" s="130">
        <f t="shared" si="51"/>
        <v>22.006824402864751</v>
      </c>
      <c r="AO153" s="130">
        <f t="shared" si="52"/>
        <v>0</v>
      </c>
      <c r="AP153" s="130">
        <f t="shared" si="53"/>
        <v>0</v>
      </c>
      <c r="AQ153" s="130">
        <f t="shared" si="54"/>
        <v>0</v>
      </c>
      <c r="AR153" s="130">
        <f t="shared" si="55"/>
        <v>0</v>
      </c>
      <c r="AS153" s="130">
        <f t="shared" si="56"/>
        <v>0</v>
      </c>
      <c r="AT153" s="130">
        <f t="shared" si="57"/>
        <v>0</v>
      </c>
      <c r="AU153" s="130">
        <f t="shared" si="58"/>
        <v>0</v>
      </c>
      <c r="AV153" s="130">
        <f t="shared" si="59"/>
        <v>0</v>
      </c>
      <c r="AW153" s="130">
        <f t="shared" si="60"/>
        <v>0</v>
      </c>
      <c r="AX153" s="130">
        <f t="shared" si="61"/>
        <v>0</v>
      </c>
      <c r="AY153" s="130">
        <f t="shared" si="62"/>
        <v>0</v>
      </c>
      <c r="AZ153" s="130">
        <f t="shared" si="63"/>
        <v>0</v>
      </c>
      <c r="BA153" s="130">
        <f t="shared" si="64"/>
        <v>0</v>
      </c>
      <c r="BB153" s="130">
        <f t="shared" si="65"/>
        <v>0</v>
      </c>
      <c r="BC153" s="130">
        <f t="shared" si="66"/>
        <v>0</v>
      </c>
      <c r="BD153" s="130">
        <f t="shared" si="67"/>
        <v>0</v>
      </c>
      <c r="BE153" s="130">
        <f t="shared" si="68"/>
        <v>0</v>
      </c>
      <c r="BF153" s="130">
        <f t="shared" si="69"/>
        <v>0</v>
      </c>
      <c r="BG153" s="130">
        <f t="shared" si="70"/>
        <v>0</v>
      </c>
      <c r="BH153" s="130">
        <f t="shared" si="71"/>
        <v>0</v>
      </c>
      <c r="BI153" s="130">
        <f t="shared" si="72"/>
        <v>0</v>
      </c>
      <c r="BJ153" s="130">
        <f t="shared" si="73"/>
        <v>0</v>
      </c>
      <c r="BK153" s="130">
        <f t="shared" si="74"/>
        <v>-129.6798982180143</v>
      </c>
      <c r="BL153" s="130">
        <f>IF($K153=$L153,$BK153,IF(OR($K153="graphite",$K153="vitreous carbon"),$BK$406+($BM$389+$I153)*$BJ$406,IF($K153="Pyrolytic Boron Nitride","PBN",IF(COUNTIF($BH$396:$BH$416,$K153)&gt;0,VLOOKUP($K153,$BH$396:$BK$416,4,FALSE)+($BM$389+$I153)*VLOOKUP($K153,$BH$396:$BK$416,3,FALSE),IF(COUNTIF($L$2:$L152,$K153)&gt;0,VLOOKUP($K153,$L$2:$BK152,52,FALSE),"idk")))))</f>
        <v>-123.53565520208147</v>
      </c>
      <c r="BM153" s="130">
        <v>5</v>
      </c>
      <c r="BN153" s="130">
        <v>5</v>
      </c>
      <c r="BO153" s="130">
        <v>0.03</v>
      </c>
      <c r="BP153" s="129" t="s">
        <v>245</v>
      </c>
      <c r="BQ153" s="129" t="s">
        <v>246</v>
      </c>
      <c r="BR153" s="129" t="s">
        <v>247</v>
      </c>
      <c r="BS153" s="129"/>
      <c r="BT153" s="129">
        <v>5</v>
      </c>
      <c r="BV153" s="129"/>
      <c r="BZ153" s="129"/>
      <c r="DJ153" s="129">
        <v>1</v>
      </c>
      <c r="DK153" s="129">
        <v>3</v>
      </c>
      <c r="DL153" s="129">
        <v>2</v>
      </c>
      <c r="DP153" s="129">
        <v>0.5</v>
      </c>
      <c r="DQ153" s="129">
        <v>1714000</v>
      </c>
      <c r="DS153" s="129">
        <v>3</v>
      </c>
      <c r="DU153" s="129" t="s">
        <v>360</v>
      </c>
      <c r="DW153" s="129">
        <f>SUM(_2025_01_07T12_47_export3[[#This Row],[Ni_wt]:[H_wt]])</f>
        <v>100</v>
      </c>
      <c r="DY153" s="130">
        <f>SUM($AM153:BJ153)</f>
        <v>100</v>
      </c>
    </row>
    <row r="154" spans="1:129" x14ac:dyDescent="0.25">
      <c r="A154" s="129" t="s">
        <v>356</v>
      </c>
      <c r="B154" s="129">
        <v>162</v>
      </c>
      <c r="C154" s="129" t="s">
        <v>357</v>
      </c>
      <c r="D154" s="129">
        <v>2020</v>
      </c>
      <c r="E154" s="129" t="s">
        <v>358</v>
      </c>
      <c r="F154" s="129" t="s">
        <v>359</v>
      </c>
      <c r="G154" s="129" t="s">
        <v>226</v>
      </c>
      <c r="H154" s="129">
        <v>0</v>
      </c>
      <c r="I154" s="129">
        <v>650</v>
      </c>
      <c r="J154" s="129">
        <v>4</v>
      </c>
      <c r="K154" s="234" t="s">
        <v>48</v>
      </c>
      <c r="L154" s="129" t="s">
        <v>241</v>
      </c>
      <c r="N154" s="129">
        <v>8570000</v>
      </c>
      <c r="O154" s="130">
        <v>80</v>
      </c>
      <c r="P154" s="130">
        <v>20</v>
      </c>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f t="shared" si="50"/>
        <v>77.993175597135249</v>
      </c>
      <c r="AN154" s="130">
        <f t="shared" si="51"/>
        <v>22.006824402864751</v>
      </c>
      <c r="AO154" s="130">
        <f t="shared" si="52"/>
        <v>0</v>
      </c>
      <c r="AP154" s="130">
        <f t="shared" si="53"/>
        <v>0</v>
      </c>
      <c r="AQ154" s="130">
        <f t="shared" si="54"/>
        <v>0</v>
      </c>
      <c r="AR154" s="130">
        <f t="shared" si="55"/>
        <v>0</v>
      </c>
      <c r="AS154" s="130">
        <f t="shared" si="56"/>
        <v>0</v>
      </c>
      <c r="AT154" s="130">
        <f t="shared" si="57"/>
        <v>0</v>
      </c>
      <c r="AU154" s="130">
        <f t="shared" si="58"/>
        <v>0</v>
      </c>
      <c r="AV154" s="130">
        <f t="shared" si="59"/>
        <v>0</v>
      </c>
      <c r="AW154" s="130">
        <f t="shared" si="60"/>
        <v>0</v>
      </c>
      <c r="AX154" s="130">
        <f t="shared" si="61"/>
        <v>0</v>
      </c>
      <c r="AY154" s="130">
        <f t="shared" si="62"/>
        <v>0</v>
      </c>
      <c r="AZ154" s="130">
        <f t="shared" si="63"/>
        <v>0</v>
      </c>
      <c r="BA154" s="130">
        <f t="shared" si="64"/>
        <v>0</v>
      </c>
      <c r="BB154" s="130">
        <f t="shared" si="65"/>
        <v>0</v>
      </c>
      <c r="BC154" s="130">
        <f t="shared" si="66"/>
        <v>0</v>
      </c>
      <c r="BD154" s="130">
        <f t="shared" si="67"/>
        <v>0</v>
      </c>
      <c r="BE154" s="130">
        <f t="shared" si="68"/>
        <v>0</v>
      </c>
      <c r="BF154" s="130">
        <f t="shared" si="69"/>
        <v>0</v>
      </c>
      <c r="BG154" s="130">
        <f t="shared" si="70"/>
        <v>0</v>
      </c>
      <c r="BH154" s="130">
        <f t="shared" si="71"/>
        <v>0</v>
      </c>
      <c r="BI154" s="130">
        <f t="shared" si="72"/>
        <v>0</v>
      </c>
      <c r="BJ154" s="130">
        <f t="shared" si="73"/>
        <v>0</v>
      </c>
      <c r="BK154" s="130">
        <f t="shared" si="74"/>
        <v>-129.6798982180143</v>
      </c>
      <c r="BL154" s="130">
        <f>IF($K154=$L154,$BK154,IF(OR($K154="graphite",$K154="vitreous carbon"),$BK$406+($BM$389+$I154)*$BJ$406,IF($K154="Pyrolytic Boron Nitride","PBN",IF(COUNTIF($BH$396:$BH$416,$K154)&gt;0,VLOOKUP($K154,$BH$396:$BK$416,4,FALSE)+($BM$389+$I154)*VLOOKUP($K154,$BH$396:$BK$416,3,FALSE),IF(COUNTIF($L$2:$L153,$K154)&gt;0,VLOOKUP($K154,$L$2:$BK153,52,FALSE),"idk")))))</f>
        <v>-123.53565520208147</v>
      </c>
      <c r="BM154" s="130">
        <v>14</v>
      </c>
      <c r="BN154" s="130">
        <v>14</v>
      </c>
      <c r="BO154" s="130">
        <v>0.03</v>
      </c>
      <c r="BP154" s="129" t="s">
        <v>245</v>
      </c>
      <c r="BQ154" s="129" t="s">
        <v>246</v>
      </c>
      <c r="BR154" s="129" t="s">
        <v>247</v>
      </c>
      <c r="BS154" s="129"/>
      <c r="BT154" s="129">
        <v>5</v>
      </c>
      <c r="BV154" s="129"/>
      <c r="BZ154" s="129"/>
      <c r="DJ154" s="129">
        <v>0</v>
      </c>
      <c r="DK154" s="129">
        <v>0</v>
      </c>
      <c r="DL154" s="129"/>
      <c r="DP154" s="129">
        <v>0.72</v>
      </c>
      <c r="DQ154" s="129">
        <v>1714000</v>
      </c>
      <c r="DS154" s="129">
        <v>3</v>
      </c>
      <c r="DU154" s="129" t="s">
        <v>360</v>
      </c>
      <c r="DW154" s="129">
        <f>SUM(_2025_01_07T12_47_export3[[#This Row],[Ni_wt]:[H_wt]])</f>
        <v>100</v>
      </c>
      <c r="DY154" s="130">
        <f>SUM($AM154:BJ154)</f>
        <v>100</v>
      </c>
    </row>
    <row r="155" spans="1:129" hidden="1" x14ac:dyDescent="0.25">
      <c r="A155" s="129" t="s">
        <v>356</v>
      </c>
      <c r="B155" s="129">
        <v>163</v>
      </c>
      <c r="C155" s="129" t="s">
        <v>357</v>
      </c>
      <c r="D155" s="129">
        <v>2020</v>
      </c>
      <c r="E155" s="129" t="s">
        <v>358</v>
      </c>
      <c r="F155" s="129" t="s">
        <v>359</v>
      </c>
      <c r="G155" s="129" t="s">
        <v>226</v>
      </c>
      <c r="H155" s="129">
        <v>0</v>
      </c>
      <c r="I155" s="129">
        <v>650</v>
      </c>
      <c r="J155" s="129">
        <v>4</v>
      </c>
      <c r="K155" s="234" t="s">
        <v>48</v>
      </c>
      <c r="L155" s="129" t="s">
        <v>241</v>
      </c>
      <c r="N155" s="129">
        <v>8570000</v>
      </c>
      <c r="O155" s="130">
        <v>80</v>
      </c>
      <c r="P155" s="130">
        <v>20</v>
      </c>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f t="shared" si="50"/>
        <v>77.993175597135249</v>
      </c>
      <c r="AN155" s="130">
        <f t="shared" si="51"/>
        <v>22.006824402864751</v>
      </c>
      <c r="AO155" s="130">
        <f t="shared" si="52"/>
        <v>0</v>
      </c>
      <c r="AP155" s="130">
        <f t="shared" si="53"/>
        <v>0</v>
      </c>
      <c r="AQ155" s="130">
        <f t="shared" si="54"/>
        <v>0</v>
      </c>
      <c r="AR155" s="130">
        <f t="shared" si="55"/>
        <v>0</v>
      </c>
      <c r="AS155" s="130">
        <f t="shared" si="56"/>
        <v>0</v>
      </c>
      <c r="AT155" s="130">
        <f t="shared" si="57"/>
        <v>0</v>
      </c>
      <c r="AU155" s="130">
        <f t="shared" si="58"/>
        <v>0</v>
      </c>
      <c r="AV155" s="130">
        <f t="shared" si="59"/>
        <v>0</v>
      </c>
      <c r="AW155" s="130">
        <f t="shared" si="60"/>
        <v>0</v>
      </c>
      <c r="AX155" s="130">
        <f t="shared" si="61"/>
        <v>0</v>
      </c>
      <c r="AY155" s="130">
        <f t="shared" si="62"/>
        <v>0</v>
      </c>
      <c r="AZ155" s="130">
        <f t="shared" si="63"/>
        <v>0</v>
      </c>
      <c r="BA155" s="130">
        <f t="shared" si="64"/>
        <v>0</v>
      </c>
      <c r="BB155" s="130">
        <f t="shared" si="65"/>
        <v>0</v>
      </c>
      <c r="BC155" s="130">
        <f t="shared" si="66"/>
        <v>0</v>
      </c>
      <c r="BD155" s="130">
        <f t="shared" si="67"/>
        <v>0</v>
      </c>
      <c r="BE155" s="130">
        <f t="shared" si="68"/>
        <v>0</v>
      </c>
      <c r="BF155" s="130">
        <f t="shared" si="69"/>
        <v>0</v>
      </c>
      <c r="BG155" s="130">
        <f t="shared" si="70"/>
        <v>0</v>
      </c>
      <c r="BH155" s="130">
        <f t="shared" si="71"/>
        <v>0</v>
      </c>
      <c r="BI155" s="130">
        <f t="shared" si="72"/>
        <v>0</v>
      </c>
      <c r="BJ155" s="130">
        <f t="shared" si="73"/>
        <v>0</v>
      </c>
      <c r="BK155" s="130">
        <f t="shared" si="74"/>
        <v>-129.6798982180143</v>
      </c>
      <c r="BL155" s="130">
        <f>IF($K155=$L155,$BK155,IF(OR($K155="graphite",$K155="vitreous carbon"),$BK$406+($BM$389+$I155)*$BJ$406,IF($K155="Pyrolytic Boron Nitride","PBN",IF(COUNTIF($BH$396:$BH$416,$K155)&gt;0,VLOOKUP($K155,$BH$396:$BK$416,4,FALSE)+($BM$389+$I155)*VLOOKUP($K155,$BH$396:$BK$416,3,FALSE),IF(COUNTIF($L$2:$L154,$K155)&gt;0,VLOOKUP($K155,$L$2:$BK154,52,FALSE),"idk")))))</f>
        <v>-123.53565520208147</v>
      </c>
      <c r="BM155" s="130">
        <v>5</v>
      </c>
      <c r="BN155" s="130">
        <v>5</v>
      </c>
      <c r="BO155" s="130">
        <v>0.03</v>
      </c>
      <c r="BP155" s="129" t="s">
        <v>245</v>
      </c>
      <c r="BQ155" s="129" t="s">
        <v>246</v>
      </c>
      <c r="BR155" s="129" t="s">
        <v>247</v>
      </c>
      <c r="BS155" s="129"/>
      <c r="BT155" s="129">
        <v>5</v>
      </c>
      <c r="BV155" s="129"/>
      <c r="BZ155" s="129"/>
      <c r="DJ155" s="129">
        <v>1</v>
      </c>
      <c r="DK155" s="129">
        <v>3</v>
      </c>
      <c r="DL155" s="129">
        <v>2.5</v>
      </c>
      <c r="DP155" s="129">
        <v>0.56999999999999995</v>
      </c>
      <c r="DQ155" s="129">
        <v>1714000</v>
      </c>
      <c r="DS155" s="129">
        <v>3</v>
      </c>
      <c r="DU155" s="129" t="s">
        <v>360</v>
      </c>
      <c r="DW155" s="129">
        <f>SUM(_2025_01_07T12_47_export3[[#This Row],[Ni_wt]:[H_wt]])</f>
        <v>100</v>
      </c>
      <c r="DY155" s="130">
        <f>SUM($AM155:BJ155)</f>
        <v>100</v>
      </c>
    </row>
    <row r="156" spans="1:129" ht="16.5" thickBot="1" x14ac:dyDescent="0.3">
      <c r="A156" s="136" t="s">
        <v>356</v>
      </c>
      <c r="B156" s="136">
        <v>164</v>
      </c>
      <c r="C156" s="136" t="s">
        <v>357</v>
      </c>
      <c r="D156" s="136">
        <v>2020</v>
      </c>
      <c r="E156" s="136" t="s">
        <v>358</v>
      </c>
      <c r="F156" s="136" t="s">
        <v>359</v>
      </c>
      <c r="G156" s="136" t="s">
        <v>226</v>
      </c>
      <c r="H156" s="136">
        <v>0</v>
      </c>
      <c r="I156" s="136">
        <v>650</v>
      </c>
      <c r="J156" s="136">
        <v>4</v>
      </c>
      <c r="K156" s="235" t="s">
        <v>48</v>
      </c>
      <c r="L156" s="136" t="s">
        <v>241</v>
      </c>
      <c r="M156" s="136"/>
      <c r="N156" s="136">
        <v>8570000</v>
      </c>
      <c r="O156" s="137">
        <v>80</v>
      </c>
      <c r="P156" s="137">
        <v>20</v>
      </c>
      <c r="Q156" s="137"/>
      <c r="R156" s="137"/>
      <c r="S156" s="137"/>
      <c r="T156" s="137"/>
      <c r="U156" s="137"/>
      <c r="V156" s="137"/>
      <c r="W156" s="137"/>
      <c r="X156" s="137"/>
      <c r="Y156" s="137"/>
      <c r="Z156" s="137"/>
      <c r="AA156" s="137"/>
      <c r="AB156" s="137"/>
      <c r="AC156" s="137"/>
      <c r="AD156" s="137"/>
      <c r="AE156" s="137"/>
      <c r="AF156" s="137"/>
      <c r="AG156" s="137"/>
      <c r="AH156" s="137"/>
      <c r="AI156" s="137"/>
      <c r="AJ156" s="137"/>
      <c r="AK156" s="137"/>
      <c r="AL156" s="137"/>
      <c r="AM156" s="137">
        <f t="shared" si="50"/>
        <v>77.993175597135249</v>
      </c>
      <c r="AN156" s="137">
        <f t="shared" si="51"/>
        <v>22.006824402864751</v>
      </c>
      <c r="AO156" s="137">
        <f t="shared" si="52"/>
        <v>0</v>
      </c>
      <c r="AP156" s="137">
        <f t="shared" si="53"/>
        <v>0</v>
      </c>
      <c r="AQ156" s="137">
        <f t="shared" si="54"/>
        <v>0</v>
      </c>
      <c r="AR156" s="137">
        <f t="shared" si="55"/>
        <v>0</v>
      </c>
      <c r="AS156" s="137">
        <f t="shared" si="56"/>
        <v>0</v>
      </c>
      <c r="AT156" s="137">
        <f t="shared" si="57"/>
        <v>0</v>
      </c>
      <c r="AU156" s="137">
        <f t="shared" si="58"/>
        <v>0</v>
      </c>
      <c r="AV156" s="137">
        <f t="shared" si="59"/>
        <v>0</v>
      </c>
      <c r="AW156" s="137">
        <f t="shared" si="60"/>
        <v>0</v>
      </c>
      <c r="AX156" s="137">
        <f t="shared" si="61"/>
        <v>0</v>
      </c>
      <c r="AY156" s="137">
        <f t="shared" si="62"/>
        <v>0</v>
      </c>
      <c r="AZ156" s="137">
        <f t="shared" si="63"/>
        <v>0</v>
      </c>
      <c r="BA156" s="137">
        <f t="shared" si="64"/>
        <v>0</v>
      </c>
      <c r="BB156" s="137">
        <f t="shared" si="65"/>
        <v>0</v>
      </c>
      <c r="BC156" s="137">
        <f t="shared" si="66"/>
        <v>0</v>
      </c>
      <c r="BD156" s="137">
        <f t="shared" si="67"/>
        <v>0</v>
      </c>
      <c r="BE156" s="137">
        <f t="shared" si="68"/>
        <v>0</v>
      </c>
      <c r="BF156" s="137">
        <f t="shared" si="69"/>
        <v>0</v>
      </c>
      <c r="BG156" s="137">
        <f t="shared" si="70"/>
        <v>0</v>
      </c>
      <c r="BH156" s="137">
        <f t="shared" si="71"/>
        <v>0</v>
      </c>
      <c r="BI156" s="137">
        <f t="shared" si="72"/>
        <v>0</v>
      </c>
      <c r="BJ156" s="137">
        <f t="shared" si="73"/>
        <v>0</v>
      </c>
      <c r="BK156" s="137">
        <f t="shared" si="74"/>
        <v>-129.6798982180143</v>
      </c>
      <c r="BL156" s="137">
        <f>IF($K156=$L156,$BK156,IF(OR($K156="graphite",$K156="vitreous carbon"),$BK$406+($BM$389+$I156)*$BJ$406,IF($K156="Pyrolytic Boron Nitride","PBN",IF(COUNTIF($BH$396:$BH$416,$K156)&gt;0,VLOOKUP($K156,$BH$396:$BK$416,4,FALSE)+($BM$389+$I156)*VLOOKUP($K156,$BH$396:$BK$416,3,FALSE),IF(COUNTIF($L$2:$L155,$K156)&gt;0,VLOOKUP($K156,$L$2:$BK155,52,FALSE),"idk")))))</f>
        <v>-123.53565520208147</v>
      </c>
      <c r="BM156" s="137">
        <v>14</v>
      </c>
      <c r="BN156" s="137">
        <v>14</v>
      </c>
      <c r="BO156" s="137">
        <v>0.03</v>
      </c>
      <c r="BP156" s="136" t="s">
        <v>245</v>
      </c>
      <c r="BQ156" s="136" t="s">
        <v>246</v>
      </c>
      <c r="BR156" s="136" t="s">
        <v>247</v>
      </c>
      <c r="BS156" s="136"/>
      <c r="BT156" s="136">
        <v>5</v>
      </c>
      <c r="BU156" s="136"/>
      <c r="BV156" s="136"/>
      <c r="BW156" s="136"/>
      <c r="BX156" s="136"/>
      <c r="BY156" s="136"/>
      <c r="BZ156" s="136"/>
      <c r="CA156" s="136"/>
      <c r="CB156" s="136"/>
      <c r="CC156" s="136"/>
      <c r="CD156" s="136"/>
      <c r="CE156" s="136"/>
      <c r="CF156" s="136"/>
      <c r="CG156" s="136"/>
      <c r="CH156" s="136"/>
      <c r="CI156" s="136"/>
      <c r="CJ156" s="136"/>
      <c r="CK156" s="136"/>
      <c r="CL156" s="136"/>
      <c r="CM156" s="136"/>
      <c r="CN156" s="136"/>
      <c r="CO156" s="136"/>
      <c r="CP156" s="136"/>
      <c r="CQ156" s="136"/>
      <c r="CR156" s="136"/>
      <c r="CS156" s="136"/>
      <c r="CT156" s="136"/>
      <c r="CU156" s="136"/>
      <c r="CV156" s="136"/>
      <c r="CW156" s="136"/>
      <c r="CX156" s="136"/>
      <c r="CY156" s="136"/>
      <c r="CZ156" s="136"/>
      <c r="DA156" s="136"/>
      <c r="DB156" s="136"/>
      <c r="DC156" s="136"/>
      <c r="DD156" s="136"/>
      <c r="DE156" s="136"/>
      <c r="DF156" s="136"/>
      <c r="DG156" s="136"/>
      <c r="DH156" s="136"/>
      <c r="DI156" s="136"/>
      <c r="DJ156" s="136">
        <v>0</v>
      </c>
      <c r="DK156" s="136">
        <v>0</v>
      </c>
      <c r="DL156" s="136"/>
      <c r="DM156" s="136"/>
      <c r="DN156" s="136"/>
      <c r="DO156" s="136"/>
      <c r="DP156" s="136">
        <v>0.77</v>
      </c>
      <c r="DQ156" s="136">
        <v>1714000</v>
      </c>
      <c r="DR156" s="136"/>
      <c r="DS156" s="136">
        <v>3</v>
      </c>
      <c r="DT156" s="136"/>
      <c r="DU156" s="136" t="s">
        <v>360</v>
      </c>
      <c r="DW156" s="129">
        <f>SUM(_2025_01_07T12_47_export3[[#This Row],[Ni_wt]:[H_wt]])</f>
        <v>100</v>
      </c>
      <c r="DY156" s="130">
        <f>SUM($AM156:BJ156)</f>
        <v>100</v>
      </c>
    </row>
    <row r="157" spans="1:129" x14ac:dyDescent="0.25">
      <c r="A157" s="238" t="s">
        <v>362</v>
      </c>
      <c r="B157" s="238">
        <v>165</v>
      </c>
      <c r="C157" s="238" t="s">
        <v>223</v>
      </c>
      <c r="D157" s="238">
        <v>2009</v>
      </c>
      <c r="E157" s="238" t="s">
        <v>363</v>
      </c>
      <c r="F157" s="238" t="s">
        <v>364</v>
      </c>
      <c r="G157" s="238" t="s">
        <v>226</v>
      </c>
      <c r="H157" s="238">
        <v>0</v>
      </c>
      <c r="I157" s="238">
        <v>850</v>
      </c>
      <c r="J157" s="238">
        <v>500</v>
      </c>
      <c r="K157" s="238" t="s">
        <v>233</v>
      </c>
      <c r="L157" s="238" t="s">
        <v>239</v>
      </c>
      <c r="M157" s="238"/>
      <c r="N157" s="238">
        <v>8860000</v>
      </c>
      <c r="O157" s="239">
        <v>72.17</v>
      </c>
      <c r="P157" s="239">
        <v>6.31</v>
      </c>
      <c r="Q157" s="239">
        <v>16.11</v>
      </c>
      <c r="R157" s="239">
        <v>4.03</v>
      </c>
      <c r="S157" s="239">
        <v>0.06</v>
      </c>
      <c r="T157" s="239">
        <v>0.15</v>
      </c>
      <c r="U157" s="239">
        <v>0.53</v>
      </c>
      <c r="V157" s="239">
        <v>0.01</v>
      </c>
      <c r="W157" s="239">
        <v>0.01</v>
      </c>
      <c r="X157" s="239">
        <v>0.38</v>
      </c>
      <c r="Y157" s="239">
        <v>0.03</v>
      </c>
      <c r="Z157" s="239">
        <v>0.01</v>
      </c>
      <c r="AA157" s="239"/>
      <c r="AB157" s="239">
        <v>0.02</v>
      </c>
      <c r="AC157" s="239">
        <v>6.0000000000000001E-3</v>
      </c>
      <c r="AD157" s="239">
        <v>3.0000000000000001E-3</v>
      </c>
      <c r="AE157" s="239"/>
      <c r="AF157" s="239">
        <v>0.01</v>
      </c>
      <c r="AG157" s="239"/>
      <c r="AH157" s="239">
        <v>0.01</v>
      </c>
      <c r="AI157" s="239"/>
      <c r="AJ157" s="239"/>
      <c r="AK157" s="239"/>
      <c r="AL157" s="239"/>
      <c r="AM157" s="239">
        <f t="shared" si="50"/>
        <v>75.833705010989803</v>
      </c>
      <c r="AN157" s="239">
        <f t="shared" si="51"/>
        <v>7.4833437418513435</v>
      </c>
      <c r="AO157" s="239">
        <f t="shared" si="52"/>
        <v>10.353208976111462</v>
      </c>
      <c r="AP157" s="239">
        <f t="shared" si="53"/>
        <v>4.4499132823866496</v>
      </c>
      <c r="AQ157" s="239">
        <f t="shared" si="54"/>
        <v>2.0131466948481683E-2</v>
      </c>
      <c r="AR157" s="239">
        <f t="shared" si="55"/>
        <v>0.15697283323990049</v>
      </c>
      <c r="AS157" s="239">
        <f t="shared" si="56"/>
        <v>0.59491770456236959</v>
      </c>
      <c r="AT157" s="239">
        <f t="shared" si="57"/>
        <v>2.2857447647213577E-2</v>
      </c>
      <c r="AU157" s="239">
        <f t="shared" si="58"/>
        <v>1.2882680959302745E-2</v>
      </c>
      <c r="AV157" s="239">
        <f t="shared" si="59"/>
        <v>0.83426022163863478</v>
      </c>
      <c r="AW157" s="239">
        <f t="shared" si="60"/>
        <v>0.15404511345257843</v>
      </c>
      <c r="AX157" s="239">
        <f t="shared" si="61"/>
        <v>9.7040745479437026E-3</v>
      </c>
      <c r="AY157" s="239">
        <f t="shared" si="62"/>
        <v>0</v>
      </c>
      <c r="AZ157" s="239">
        <f t="shared" si="63"/>
        <v>2.4212561347539158E-2</v>
      </c>
      <c r="BA157" s="239">
        <f t="shared" si="64"/>
        <v>1.194757386222452E-2</v>
      </c>
      <c r="BB157" s="239">
        <f t="shared" si="65"/>
        <v>5.7688862256484782E-3</v>
      </c>
      <c r="BC157" s="239">
        <f t="shared" si="66"/>
        <v>0</v>
      </c>
      <c r="BD157" s="239">
        <f t="shared" si="67"/>
        <v>2.5367911868441888E-2</v>
      </c>
      <c r="BE157" s="239">
        <f t="shared" si="68"/>
        <v>0</v>
      </c>
      <c r="BF157" s="239">
        <f t="shared" si="69"/>
        <v>6.7605123604672478E-3</v>
      </c>
      <c r="BG157" s="239">
        <f t="shared" si="70"/>
        <v>0</v>
      </c>
      <c r="BH157" s="239">
        <f t="shared" si="71"/>
        <v>0</v>
      </c>
      <c r="BI157" s="239">
        <f t="shared" si="72"/>
        <v>0</v>
      </c>
      <c r="BJ157" s="239">
        <f t="shared" si="73"/>
        <v>0</v>
      </c>
      <c r="BK157" s="239">
        <f t="shared" si="74"/>
        <v>-119.31255669636327</v>
      </c>
      <c r="BL157" s="239">
        <f>IF($K157=$L157,$BK157,IF(OR($K157="graphite",$K157="vitreous carbon"),$BK$406+($BM$389+$I157)*$BJ$406,IF($K157="Pyrolytic Boron Nitride","PBN",IF(COUNTIF($BH$396:$BH$416,$K157)&gt;0,VLOOKUP($K157,$BH$396:$BK$416,4,FALSE)+($BM$389+$I157)*VLOOKUP($K157,$BH$396:$BK$416,3,FALSE),IF(COUNTIF($L$2:$L156,$K157)&gt;0,VLOOKUP($K157,$L$2:$BK156,52,FALSE),"idk")))))</f>
        <v>-60.821750226979574</v>
      </c>
      <c r="BM157" s="239">
        <v>32</v>
      </c>
      <c r="BN157" s="239">
        <v>13</v>
      </c>
      <c r="BO157" s="239">
        <v>1</v>
      </c>
      <c r="BP157" s="238" t="s">
        <v>245</v>
      </c>
      <c r="BQ157" s="238" t="s">
        <v>351</v>
      </c>
      <c r="BR157" s="238" t="s">
        <v>230</v>
      </c>
      <c r="BS157" s="238"/>
      <c r="BT157" s="238">
        <v>0</v>
      </c>
      <c r="BU157" s="238"/>
      <c r="BV157" s="238"/>
      <c r="BW157" s="238"/>
      <c r="BX157" s="238"/>
      <c r="BY157" s="238"/>
      <c r="BZ157" s="238"/>
      <c r="CA157" s="238"/>
      <c r="CB157" s="238"/>
      <c r="CC157" s="238"/>
      <c r="CD157" s="238"/>
      <c r="CE157" s="238"/>
      <c r="CF157" s="238"/>
      <c r="CG157" s="238"/>
      <c r="CH157" s="238"/>
      <c r="CI157" s="238"/>
      <c r="CJ157" s="238"/>
      <c r="CK157" s="238"/>
      <c r="CL157" s="238"/>
      <c r="CM157" s="238"/>
      <c r="CN157" s="238"/>
      <c r="CO157" s="238"/>
      <c r="CP157" s="238"/>
      <c r="CQ157" s="238"/>
      <c r="CR157" s="238"/>
      <c r="CS157" s="238"/>
      <c r="CT157" s="238"/>
      <c r="CU157" s="238"/>
      <c r="CV157" s="238"/>
      <c r="CW157" s="238"/>
      <c r="CX157" s="238"/>
      <c r="CY157" s="238"/>
      <c r="CZ157" s="238"/>
      <c r="DA157" s="238"/>
      <c r="DB157" s="238"/>
      <c r="DC157" s="238"/>
      <c r="DD157" s="238"/>
      <c r="DE157" s="238"/>
      <c r="DF157" s="238"/>
      <c r="DG157" s="238"/>
      <c r="DH157" s="238"/>
      <c r="DI157" s="238"/>
      <c r="DJ157" s="238">
        <v>0</v>
      </c>
      <c r="DK157" s="238">
        <v>0</v>
      </c>
      <c r="DL157" s="238"/>
      <c r="DM157" s="238"/>
      <c r="DN157" s="238"/>
      <c r="DO157" s="238">
        <v>-2.5</v>
      </c>
      <c r="DP157" s="238"/>
      <c r="DQ157" s="238"/>
      <c r="DR157" s="238"/>
      <c r="DS157" s="238"/>
      <c r="DT157" s="135" t="s">
        <v>366</v>
      </c>
      <c r="DU157" s="238" t="s">
        <v>365</v>
      </c>
      <c r="DW157" s="129">
        <f>SUM(_2025_01_07T12_47_export3[[#This Row],[Ni_wt]:[H_wt]])</f>
        <v>99.849000000000032</v>
      </c>
      <c r="DY157" s="130">
        <f>SUM($AM157:BJ157)</f>
        <v>100.00000000000001</v>
      </c>
    </row>
    <row r="158" spans="1:129" x14ac:dyDescent="0.25">
      <c r="A158" s="129" t="s">
        <v>367</v>
      </c>
      <c r="B158" s="129">
        <v>166</v>
      </c>
      <c r="C158" s="129" t="s">
        <v>223</v>
      </c>
      <c r="D158" s="129">
        <v>2009</v>
      </c>
      <c r="E158" s="129" t="s">
        <v>363</v>
      </c>
      <c r="F158" s="129" t="s">
        <v>364</v>
      </c>
      <c r="G158" s="129" t="s">
        <v>226</v>
      </c>
      <c r="H158" s="129">
        <v>0</v>
      </c>
      <c r="I158" s="129">
        <v>850</v>
      </c>
      <c r="J158" s="129">
        <v>500</v>
      </c>
      <c r="K158" s="129" t="s">
        <v>233</v>
      </c>
      <c r="L158" s="129" t="s">
        <v>368</v>
      </c>
      <c r="N158" s="129">
        <v>8220000</v>
      </c>
      <c r="O158" s="130">
        <v>47.5</v>
      </c>
      <c r="P158" s="130">
        <v>21.34</v>
      </c>
      <c r="Q158" s="130">
        <v>8.76</v>
      </c>
      <c r="R158" s="130">
        <v>19.29</v>
      </c>
      <c r="S158" s="130">
        <v>0.4</v>
      </c>
      <c r="T158" s="130">
        <v>1.39</v>
      </c>
      <c r="U158" s="130">
        <v>0.54</v>
      </c>
      <c r="V158" s="130">
        <v>0.08</v>
      </c>
      <c r="W158" s="130">
        <v>0.01</v>
      </c>
      <c r="X158" s="130">
        <v>0.57999999999999996</v>
      </c>
      <c r="Y158" s="130">
        <v>5.8999999999999997E-2</v>
      </c>
      <c r="Z158" s="130"/>
      <c r="AA158" s="130"/>
      <c r="AB158" s="130"/>
      <c r="AC158" s="130">
        <v>0.22</v>
      </c>
      <c r="AD158" s="130">
        <v>1E-3</v>
      </c>
      <c r="AE158" s="130">
        <v>2.5999999999999999E-3</v>
      </c>
      <c r="AF158" s="130"/>
      <c r="AG158" s="130"/>
      <c r="AH158" s="130"/>
      <c r="AI158" s="130"/>
      <c r="AJ158" s="130"/>
      <c r="AK158" s="130"/>
      <c r="AL158" s="130"/>
      <c r="AM158" s="130">
        <f t="shared" si="50"/>
        <v>46.83388768298488</v>
      </c>
      <c r="AN158" s="130">
        <f t="shared" si="51"/>
        <v>23.747712439498351</v>
      </c>
      <c r="AO158" s="130">
        <f t="shared" si="52"/>
        <v>5.2825616824295194</v>
      </c>
      <c r="AP158" s="130">
        <f t="shared" si="53"/>
        <v>19.986638626368162</v>
      </c>
      <c r="AQ158" s="130">
        <f t="shared" si="54"/>
        <v>0.12593463687598111</v>
      </c>
      <c r="AR158" s="130">
        <f t="shared" si="55"/>
        <v>1.3649258823328272</v>
      </c>
      <c r="AS158" s="130">
        <f t="shared" si="56"/>
        <v>0.56876886508986513</v>
      </c>
      <c r="AT158" s="130">
        <f t="shared" si="57"/>
        <v>0.17158477581768219</v>
      </c>
      <c r="AU158" s="130">
        <f t="shared" si="58"/>
        <v>1.2088357143203119E-2</v>
      </c>
      <c r="AV158" s="130">
        <f t="shared" si="59"/>
        <v>1.1948323272986014</v>
      </c>
      <c r="AW158" s="130">
        <f t="shared" si="60"/>
        <v>0.28427568468162245</v>
      </c>
      <c r="AX158" s="130">
        <f t="shared" si="61"/>
        <v>0</v>
      </c>
      <c r="AY158" s="130">
        <f t="shared" si="62"/>
        <v>0</v>
      </c>
      <c r="AZ158" s="130">
        <f t="shared" si="63"/>
        <v>0</v>
      </c>
      <c r="BA158" s="130">
        <f t="shared" si="64"/>
        <v>0.4110665948270239</v>
      </c>
      <c r="BB158" s="130">
        <f t="shared" si="65"/>
        <v>1.8043955611011322E-3</v>
      </c>
      <c r="BC158" s="130">
        <f t="shared" si="66"/>
        <v>1.391804909118729E-2</v>
      </c>
      <c r="BD158" s="130">
        <f t="shared" si="67"/>
        <v>0</v>
      </c>
      <c r="BE158" s="130">
        <f t="shared" si="68"/>
        <v>0</v>
      </c>
      <c r="BF158" s="130">
        <f t="shared" si="69"/>
        <v>0</v>
      </c>
      <c r="BG158" s="130">
        <f t="shared" si="70"/>
        <v>0</v>
      </c>
      <c r="BH158" s="130">
        <f t="shared" si="71"/>
        <v>0</v>
      </c>
      <c r="BI158" s="130">
        <f t="shared" si="72"/>
        <v>0</v>
      </c>
      <c r="BJ158" s="130">
        <f t="shared" si="73"/>
        <v>0</v>
      </c>
      <c r="BK158" s="130">
        <f t="shared" si="74"/>
        <v>-126.68775759643229</v>
      </c>
      <c r="BL158" s="130">
        <f>IF($K158=$L158,$BK158,IF(OR($K158="graphite",$K158="vitreous carbon"),$BK$406+($BM$389+$I158)*$BJ$406,IF($K158="Pyrolytic Boron Nitride","PBN",IF(COUNTIF($BH$396:$BH$416,$K158)&gt;0,VLOOKUP($K158,$BH$396:$BK$416,4,FALSE)+($BM$389+$I158)*VLOOKUP($K158,$BH$396:$BK$416,3,FALSE),IF(COUNTIF($L$2:$L157,$K158)&gt;0,VLOOKUP($K158,$L$2:$BK157,52,FALSE),"idk")))))</f>
        <v>-60.821750226979574</v>
      </c>
      <c r="BM158" s="130">
        <v>32</v>
      </c>
      <c r="BN158" s="130">
        <v>13</v>
      </c>
      <c r="BO158" s="130">
        <v>1</v>
      </c>
      <c r="BP158" s="129" t="s">
        <v>245</v>
      </c>
      <c r="BQ158" s="129" t="s">
        <v>351</v>
      </c>
      <c r="BR158" s="129" t="s">
        <v>230</v>
      </c>
      <c r="BS158" s="129"/>
      <c r="BT158" s="129">
        <v>0</v>
      </c>
      <c r="BV158" s="129"/>
      <c r="BZ158" s="129"/>
      <c r="DJ158" s="129">
        <v>0</v>
      </c>
      <c r="DK158" s="129">
        <v>0</v>
      </c>
      <c r="DL158" s="129"/>
      <c r="DO158" s="129">
        <v>-13.6</v>
      </c>
      <c r="DS158" s="129"/>
      <c r="DT158" s="132" t="s">
        <v>369</v>
      </c>
      <c r="DU158" s="129" t="s">
        <v>365</v>
      </c>
      <c r="DW158" s="129">
        <f>SUM(_2025_01_07T12_47_export3[[#This Row],[Ni_wt]:[H_wt]])</f>
        <v>100.17260000000003</v>
      </c>
      <c r="DY158" s="130">
        <f>SUM($AM158:BJ158)</f>
        <v>99.999999999999972</v>
      </c>
    </row>
    <row r="159" spans="1:129" x14ac:dyDescent="0.25">
      <c r="A159" s="129" t="s">
        <v>370</v>
      </c>
      <c r="B159" s="129">
        <v>167</v>
      </c>
      <c r="C159" s="129" t="s">
        <v>223</v>
      </c>
      <c r="D159" s="129">
        <v>2009</v>
      </c>
      <c r="E159" s="129" t="s">
        <v>363</v>
      </c>
      <c r="F159" s="129" t="s">
        <v>364</v>
      </c>
      <c r="G159" s="129" t="s">
        <v>226</v>
      </c>
      <c r="H159" s="129">
        <v>0</v>
      </c>
      <c r="I159" s="129">
        <v>850</v>
      </c>
      <c r="J159" s="129">
        <v>500</v>
      </c>
      <c r="K159" s="129" t="s">
        <v>233</v>
      </c>
      <c r="L159" s="129" t="s">
        <v>371</v>
      </c>
      <c r="N159" s="129">
        <v>8960000</v>
      </c>
      <c r="O159" s="130">
        <v>59</v>
      </c>
      <c r="P159" s="130">
        <v>22.5</v>
      </c>
      <c r="Q159" s="130">
        <v>1.22</v>
      </c>
      <c r="R159" s="130">
        <v>1.8</v>
      </c>
      <c r="S159" s="130">
        <v>14.11</v>
      </c>
      <c r="T159" s="130">
        <v>0.27</v>
      </c>
      <c r="U159" s="130">
        <v>0.51</v>
      </c>
      <c r="V159" s="130">
        <v>0.32</v>
      </c>
      <c r="W159" s="130">
        <v>0.01</v>
      </c>
      <c r="X159" s="130">
        <v>0.38</v>
      </c>
      <c r="Y159" s="130">
        <v>0.1</v>
      </c>
      <c r="Z159" s="130"/>
      <c r="AA159" s="130"/>
      <c r="AB159" s="130"/>
      <c r="AC159" s="130">
        <v>5.0000000000000001E-3</v>
      </c>
      <c r="AD159" s="130">
        <v>2E-3</v>
      </c>
      <c r="AE159" s="130">
        <v>6.0000000000000001E-3</v>
      </c>
      <c r="AF159" s="130"/>
      <c r="AG159" s="130"/>
      <c r="AH159" s="130">
        <v>0.01</v>
      </c>
      <c r="AI159" s="130"/>
      <c r="AJ159" s="130"/>
      <c r="AK159" s="130"/>
      <c r="AL159" s="130"/>
      <c r="AM159" s="130">
        <f t="shared" si="50"/>
        <v>62.503455723884677</v>
      </c>
      <c r="AN159" s="130">
        <f t="shared" si="51"/>
        <v>26.902664885848377</v>
      </c>
      <c r="AO159" s="130">
        <f t="shared" si="52"/>
        <v>0.79047059439498901</v>
      </c>
      <c r="AP159" s="130">
        <f t="shared" si="53"/>
        <v>2.0038511356334689</v>
      </c>
      <c r="AQ159" s="130">
        <f t="shared" si="54"/>
        <v>4.7730681368745413</v>
      </c>
      <c r="AR159" s="130">
        <f t="shared" si="55"/>
        <v>0.28486785828558264</v>
      </c>
      <c r="AS159" s="130">
        <f t="shared" si="56"/>
        <v>0.57716189198131207</v>
      </c>
      <c r="AT159" s="130">
        <f t="shared" si="57"/>
        <v>0.73743570332018271</v>
      </c>
      <c r="AU159" s="130">
        <f t="shared" si="58"/>
        <v>1.2988311622348635E-2</v>
      </c>
      <c r="AV159" s="130">
        <f t="shared" si="59"/>
        <v>0.84110068137235694</v>
      </c>
      <c r="AW159" s="130">
        <f t="shared" si="60"/>
        <v>0.51769398614640227</v>
      </c>
      <c r="AX159" s="130">
        <f t="shared" si="61"/>
        <v>0</v>
      </c>
      <c r="AY159" s="130">
        <f t="shared" si="62"/>
        <v>0</v>
      </c>
      <c r="AZ159" s="130">
        <f t="shared" si="63"/>
        <v>0</v>
      </c>
      <c r="BA159" s="130">
        <f t="shared" si="64"/>
        <v>1.0037947648721814E-2</v>
      </c>
      <c r="BB159" s="130">
        <f t="shared" si="65"/>
        <v>3.877458542948731E-3</v>
      </c>
      <c r="BC159" s="130">
        <f t="shared" si="66"/>
        <v>3.4509739724060823E-2</v>
      </c>
      <c r="BD159" s="130">
        <f t="shared" si="67"/>
        <v>0</v>
      </c>
      <c r="BE159" s="130">
        <f t="shared" si="68"/>
        <v>0</v>
      </c>
      <c r="BF159" s="130">
        <f t="shared" si="69"/>
        <v>6.815944720037592E-3</v>
      </c>
      <c r="BG159" s="130">
        <f t="shared" si="70"/>
        <v>0</v>
      </c>
      <c r="BH159" s="130">
        <f t="shared" si="71"/>
        <v>0</v>
      </c>
      <c r="BI159" s="130">
        <f t="shared" si="72"/>
        <v>0</v>
      </c>
      <c r="BJ159" s="130">
        <f t="shared" si="73"/>
        <v>0</v>
      </c>
      <c r="BK159" s="130">
        <f t="shared" si="74"/>
        <v>-125.47416545076635</v>
      </c>
      <c r="BL159" s="130">
        <f>IF($K159=$L159,$BK159,IF(OR($K159="graphite",$K159="vitreous carbon"),$BK$406+($BM$389+$I159)*$BJ$406,IF($K159="Pyrolytic Boron Nitride","PBN",IF(COUNTIF($BH$396:$BH$416,$K159)&gt;0,VLOOKUP($K159,$BH$396:$BK$416,4,FALSE)+($BM$389+$I159)*VLOOKUP($K159,$BH$396:$BK$416,3,FALSE),IF(COUNTIF($L$2:$L158,$K159)&gt;0,VLOOKUP($K159,$L$2:$BK158,52,FALSE),"idk")))))</f>
        <v>-60.821750226979574</v>
      </c>
      <c r="BM159" s="130">
        <v>32</v>
      </c>
      <c r="BN159" s="130">
        <v>13</v>
      </c>
      <c r="BO159" s="130">
        <v>1</v>
      </c>
      <c r="BP159" s="129" t="s">
        <v>245</v>
      </c>
      <c r="BQ159" s="129" t="s">
        <v>351</v>
      </c>
      <c r="BR159" s="129" t="s">
        <v>230</v>
      </c>
      <c r="BS159" s="129"/>
      <c r="BT159" s="129">
        <v>0</v>
      </c>
      <c r="BV159" s="129"/>
      <c r="BZ159" s="129"/>
      <c r="DJ159" s="129">
        <v>0</v>
      </c>
      <c r="DK159" s="129">
        <v>0</v>
      </c>
      <c r="DL159" s="129"/>
      <c r="DO159" s="129">
        <v>-52.6</v>
      </c>
      <c r="DS159" s="129"/>
      <c r="DU159" s="129" t="s">
        <v>365</v>
      </c>
      <c r="DW159" s="129">
        <f>SUM(_2025_01_07T12_47_export3[[#This Row],[Ni_wt]:[H_wt]])</f>
        <v>100.24299999999998</v>
      </c>
      <c r="DY159" s="130">
        <f>SUM($AM159:BJ159)</f>
        <v>99.999999999999986</v>
      </c>
    </row>
    <row r="160" spans="1:129" x14ac:dyDescent="0.25">
      <c r="A160" s="129" t="s">
        <v>372</v>
      </c>
      <c r="B160" s="129">
        <v>168</v>
      </c>
      <c r="C160" s="129" t="s">
        <v>223</v>
      </c>
      <c r="D160" s="129">
        <v>2009</v>
      </c>
      <c r="E160" s="129" t="s">
        <v>363</v>
      </c>
      <c r="F160" s="129" t="s">
        <v>364</v>
      </c>
      <c r="G160" s="129" t="s">
        <v>226</v>
      </c>
      <c r="H160" s="129">
        <v>0</v>
      </c>
      <c r="I160" s="129">
        <v>850</v>
      </c>
      <c r="J160" s="129">
        <v>500</v>
      </c>
      <c r="K160" s="129" t="s">
        <v>233</v>
      </c>
      <c r="L160" s="129" t="s">
        <v>250</v>
      </c>
      <c r="N160" s="129">
        <v>7940000</v>
      </c>
      <c r="O160" s="130">
        <v>31.59</v>
      </c>
      <c r="P160" s="130">
        <v>20.420000000000002</v>
      </c>
      <c r="Q160" s="130"/>
      <c r="R160" s="130">
        <v>45.26</v>
      </c>
      <c r="S160" s="130"/>
      <c r="T160" s="130"/>
      <c r="U160" s="130">
        <v>0.76</v>
      </c>
      <c r="V160" s="130">
        <v>0.5</v>
      </c>
      <c r="W160" s="130">
        <v>0.54</v>
      </c>
      <c r="X160" s="130">
        <v>0.13</v>
      </c>
      <c r="Y160" s="130">
        <v>6.9000000000000006E-2</v>
      </c>
      <c r="Z160" s="130">
        <v>0.42</v>
      </c>
      <c r="AA160" s="130"/>
      <c r="AB160" s="130"/>
      <c r="AC160" s="130">
        <v>1.4E-2</v>
      </c>
      <c r="AD160" s="130">
        <v>1E-3</v>
      </c>
      <c r="AE160" s="130"/>
      <c r="AF160" s="130"/>
      <c r="AG160" s="130"/>
      <c r="AH160" s="130"/>
      <c r="AI160" s="130"/>
      <c r="AJ160" s="130"/>
      <c r="AK160" s="130"/>
      <c r="AL160" s="130"/>
      <c r="AM160" s="130">
        <f t="shared" si="50"/>
        <v>29.862390040750313</v>
      </c>
      <c r="AN160" s="130">
        <f t="shared" si="51"/>
        <v>21.786699400893177</v>
      </c>
      <c r="AO160" s="130">
        <f t="shared" si="52"/>
        <v>0</v>
      </c>
      <c r="AP160" s="130">
        <f t="shared" si="53"/>
        <v>44.960426192298442</v>
      </c>
      <c r="AQ160" s="130">
        <f t="shared" si="54"/>
        <v>0</v>
      </c>
      <c r="AR160" s="130">
        <f t="shared" si="55"/>
        <v>0</v>
      </c>
      <c r="AS160" s="130">
        <f t="shared" si="56"/>
        <v>0.76747455270703857</v>
      </c>
      <c r="AT160" s="130">
        <f t="shared" si="57"/>
        <v>1.0281751571759954</v>
      </c>
      <c r="AU160" s="130">
        <f t="shared" si="58"/>
        <v>0.62584873615744774</v>
      </c>
      <c r="AV160" s="130">
        <f t="shared" si="59"/>
        <v>0.25676194704728272</v>
      </c>
      <c r="AW160" s="130">
        <f t="shared" si="60"/>
        <v>0.31874628411356809</v>
      </c>
      <c r="AX160" s="130">
        <f t="shared" si="61"/>
        <v>0.36666780837310803</v>
      </c>
      <c r="AY160" s="130">
        <f t="shared" si="62"/>
        <v>0</v>
      </c>
      <c r="AZ160" s="130">
        <f t="shared" si="63"/>
        <v>0</v>
      </c>
      <c r="BA160" s="130">
        <f t="shared" si="64"/>
        <v>2.5079904447434093E-2</v>
      </c>
      <c r="BB160" s="130">
        <f t="shared" si="65"/>
        <v>1.7299760362088151E-3</v>
      </c>
      <c r="BC160" s="130">
        <f t="shared" si="66"/>
        <v>0</v>
      </c>
      <c r="BD160" s="130">
        <f t="shared" si="67"/>
        <v>0</v>
      </c>
      <c r="BE160" s="130">
        <f t="shared" si="68"/>
        <v>0</v>
      </c>
      <c r="BF160" s="130">
        <f t="shared" si="69"/>
        <v>0</v>
      </c>
      <c r="BG160" s="130">
        <f t="shared" si="70"/>
        <v>0</v>
      </c>
      <c r="BH160" s="130">
        <f t="shared" si="71"/>
        <v>0</v>
      </c>
      <c r="BI160" s="130">
        <f t="shared" si="72"/>
        <v>0</v>
      </c>
      <c r="BJ160" s="130">
        <f t="shared" si="73"/>
        <v>0</v>
      </c>
      <c r="BK160" s="130">
        <f t="shared" si="74"/>
        <v>-130.21142101812333</v>
      </c>
      <c r="BL160" s="130">
        <f>IF($K160=$L160,$BK160,IF(OR($K160="graphite",$K160="vitreous carbon"),$BK$406+($BM$389+$I160)*$BJ$406,IF($K160="Pyrolytic Boron Nitride","PBN",IF(COUNTIF($BH$396:$BH$416,$K160)&gt;0,VLOOKUP($K160,$BH$396:$BK$416,4,FALSE)+($BM$389+$I160)*VLOOKUP($K160,$BH$396:$BK$416,3,FALSE),IF(COUNTIF($L$2:$L159,$K160)&gt;0,VLOOKUP($K160,$L$2:$BK159,52,FALSE),"idk")))))</f>
        <v>-60.821750226979574</v>
      </c>
      <c r="BM160" s="130">
        <v>32</v>
      </c>
      <c r="BN160" s="130">
        <v>13</v>
      </c>
      <c r="BO160" s="130">
        <v>1</v>
      </c>
      <c r="BP160" s="129" t="s">
        <v>245</v>
      </c>
      <c r="BQ160" s="129" t="s">
        <v>351</v>
      </c>
      <c r="BR160" s="129" t="s">
        <v>230</v>
      </c>
      <c r="BS160" s="129"/>
      <c r="BT160" s="129">
        <v>0</v>
      </c>
      <c r="BV160" s="129"/>
      <c r="BZ160" s="129"/>
      <c r="DJ160" s="129">
        <v>0</v>
      </c>
      <c r="DK160" s="129">
        <v>0</v>
      </c>
      <c r="DL160" s="129"/>
      <c r="DO160" s="129">
        <v>-31.2</v>
      </c>
      <c r="DS160" s="129"/>
      <c r="DU160" s="129" t="s">
        <v>365</v>
      </c>
      <c r="DW160" s="129">
        <f>SUM(_2025_01_07T12_47_export3[[#This Row],[Ni_wt]:[H_wt]])</f>
        <v>99.704000000000022</v>
      </c>
      <c r="DY160" s="130">
        <f>SUM($AM160:BJ160)</f>
        <v>100.00000000000001</v>
      </c>
    </row>
    <row r="161" spans="1:129" ht="15" customHeight="1" x14ac:dyDescent="0.25">
      <c r="A161" s="238" t="s">
        <v>372</v>
      </c>
      <c r="B161" s="238">
        <v>169</v>
      </c>
      <c r="C161" s="238" t="s">
        <v>223</v>
      </c>
      <c r="D161" s="238">
        <v>2009</v>
      </c>
      <c r="E161" s="238" t="s">
        <v>363</v>
      </c>
      <c r="F161" s="238" t="s">
        <v>364</v>
      </c>
      <c r="G161" s="238" t="s">
        <v>226</v>
      </c>
      <c r="H161" s="238">
        <v>0</v>
      </c>
      <c r="I161" s="238">
        <v>850</v>
      </c>
      <c r="J161" s="238">
        <v>500</v>
      </c>
      <c r="K161" s="238" t="s">
        <v>250</v>
      </c>
      <c r="L161" s="238" t="s">
        <v>250</v>
      </c>
      <c r="M161" s="238"/>
      <c r="N161" s="238">
        <v>7940000</v>
      </c>
      <c r="O161" s="239">
        <v>31.59</v>
      </c>
      <c r="P161" s="239">
        <v>20.420000000000002</v>
      </c>
      <c r="Q161" s="239"/>
      <c r="R161" s="239">
        <v>45.26</v>
      </c>
      <c r="S161" s="239"/>
      <c r="T161" s="239"/>
      <c r="U161" s="239">
        <v>0.76</v>
      </c>
      <c r="V161" s="239">
        <v>0.5</v>
      </c>
      <c r="W161" s="239">
        <v>0.54</v>
      </c>
      <c r="X161" s="239">
        <v>0.13</v>
      </c>
      <c r="Y161" s="239">
        <v>6.9000000000000006E-2</v>
      </c>
      <c r="Z161" s="239">
        <v>0.42</v>
      </c>
      <c r="AA161" s="239"/>
      <c r="AB161" s="239"/>
      <c r="AC161" s="239">
        <v>1.4E-2</v>
      </c>
      <c r="AD161" s="239">
        <v>1E-3</v>
      </c>
      <c r="AE161" s="239"/>
      <c r="AF161" s="239"/>
      <c r="AG161" s="239"/>
      <c r="AH161" s="239"/>
      <c r="AI161" s="239"/>
      <c r="AJ161" s="239"/>
      <c r="AK161" s="239"/>
      <c r="AL161" s="239"/>
      <c r="AM161" s="239">
        <f t="shared" si="50"/>
        <v>29.862390040750313</v>
      </c>
      <c r="AN161" s="239">
        <f t="shared" si="51"/>
        <v>21.786699400893177</v>
      </c>
      <c r="AO161" s="239">
        <f t="shared" si="52"/>
        <v>0</v>
      </c>
      <c r="AP161" s="239">
        <f t="shared" si="53"/>
        <v>44.960426192298442</v>
      </c>
      <c r="AQ161" s="239">
        <f t="shared" si="54"/>
        <v>0</v>
      </c>
      <c r="AR161" s="239">
        <f t="shared" si="55"/>
        <v>0</v>
      </c>
      <c r="AS161" s="239">
        <f t="shared" si="56"/>
        <v>0.76747455270703857</v>
      </c>
      <c r="AT161" s="239">
        <f t="shared" si="57"/>
        <v>1.0281751571759954</v>
      </c>
      <c r="AU161" s="239">
        <f t="shared" si="58"/>
        <v>0.62584873615744774</v>
      </c>
      <c r="AV161" s="239">
        <f t="shared" si="59"/>
        <v>0.25676194704728272</v>
      </c>
      <c r="AW161" s="239">
        <f t="shared" si="60"/>
        <v>0.31874628411356809</v>
      </c>
      <c r="AX161" s="239">
        <f t="shared" si="61"/>
        <v>0.36666780837310803</v>
      </c>
      <c r="AY161" s="239">
        <f t="shared" si="62"/>
        <v>0</v>
      </c>
      <c r="AZ161" s="239">
        <f t="shared" si="63"/>
        <v>0</v>
      </c>
      <c r="BA161" s="239">
        <f t="shared" si="64"/>
        <v>2.5079904447434093E-2</v>
      </c>
      <c r="BB161" s="239">
        <f t="shared" si="65"/>
        <v>1.7299760362088151E-3</v>
      </c>
      <c r="BC161" s="239">
        <f t="shared" si="66"/>
        <v>0</v>
      </c>
      <c r="BD161" s="239">
        <f t="shared" si="67"/>
        <v>0</v>
      </c>
      <c r="BE161" s="239">
        <f t="shared" si="68"/>
        <v>0</v>
      </c>
      <c r="BF161" s="239">
        <f t="shared" si="69"/>
        <v>0</v>
      </c>
      <c r="BG161" s="239">
        <f t="shared" si="70"/>
        <v>0</v>
      </c>
      <c r="BH161" s="239">
        <f t="shared" si="71"/>
        <v>0</v>
      </c>
      <c r="BI161" s="239">
        <f t="shared" si="72"/>
        <v>0</v>
      </c>
      <c r="BJ161" s="239">
        <f t="shared" si="73"/>
        <v>0</v>
      </c>
      <c r="BK161" s="239">
        <f t="shared" si="74"/>
        <v>-130.21142101812333</v>
      </c>
      <c r="BL161" s="239">
        <f>IF($K161=$L161,$BK161,IF(OR($K161="graphite",$K161="vitreous carbon"),$BK$406+($BM$389+$I161)*$BJ$406,IF($K161="Pyrolytic Boron Nitride","PBN",IF(COUNTIF($BH$396:$BH$416,$K161)&gt;0,VLOOKUP($K161,$BH$396:$BK$416,4,FALSE)+($BM$389+$I161)*VLOOKUP($K161,$BH$396:$BK$416,3,FALSE),IF(COUNTIF($L$2:$L160,$K161)&gt;0,VLOOKUP($K161,$L$2:$BK160,52,FALSE),"idk")))))</f>
        <v>-130.21142101812333</v>
      </c>
      <c r="BM161" s="239">
        <v>32</v>
      </c>
      <c r="BN161" s="239">
        <v>13</v>
      </c>
      <c r="BO161" s="239">
        <v>1</v>
      </c>
      <c r="BP161" s="238" t="s">
        <v>245</v>
      </c>
      <c r="BQ161" s="238" t="s">
        <v>351</v>
      </c>
      <c r="BR161" s="238" t="s">
        <v>230</v>
      </c>
      <c r="BS161" s="238"/>
      <c r="BT161" s="238">
        <v>0</v>
      </c>
      <c r="BU161" s="238"/>
      <c r="BV161" s="238"/>
      <c r="BW161" s="238"/>
      <c r="BX161" s="238"/>
      <c r="BY161" s="238"/>
      <c r="BZ161" s="238"/>
      <c r="CA161" s="238"/>
      <c r="CB161" s="238"/>
      <c r="CC161" s="238"/>
      <c r="CD161" s="238"/>
      <c r="CE161" s="238"/>
      <c r="CF161" s="238"/>
      <c r="CG161" s="238"/>
      <c r="CH161" s="238"/>
      <c r="CI161" s="238"/>
      <c r="CJ161" s="238"/>
      <c r="CK161" s="238"/>
      <c r="CL161" s="238"/>
      <c r="CM161" s="238"/>
      <c r="CN161" s="238"/>
      <c r="CO161" s="238"/>
      <c r="CP161" s="238"/>
      <c r="CQ161" s="238"/>
      <c r="CR161" s="238"/>
      <c r="CS161" s="238"/>
      <c r="CT161" s="238"/>
      <c r="CU161" s="238"/>
      <c r="CV161" s="238"/>
      <c r="CW161" s="238"/>
      <c r="CX161" s="238"/>
      <c r="CY161" s="238"/>
      <c r="CZ161" s="238"/>
      <c r="DA161" s="238"/>
      <c r="DB161" s="238"/>
      <c r="DC161" s="238"/>
      <c r="DD161" s="238"/>
      <c r="DE161" s="238"/>
      <c r="DF161" s="238"/>
      <c r="DG161" s="238"/>
      <c r="DH161" s="238"/>
      <c r="DI161" s="238"/>
      <c r="DJ161" s="238">
        <v>0</v>
      </c>
      <c r="DK161" s="238">
        <v>0</v>
      </c>
      <c r="DL161" s="238"/>
      <c r="DM161" s="238"/>
      <c r="DN161" s="238"/>
      <c r="DO161" s="238">
        <v>-0.37</v>
      </c>
      <c r="DP161" s="238"/>
      <c r="DQ161" s="238">
        <v>1667400</v>
      </c>
      <c r="DR161" s="238"/>
      <c r="DS161" s="238">
        <v>3</v>
      </c>
      <c r="DT161" s="238"/>
      <c r="DU161" s="238" t="s">
        <v>365</v>
      </c>
      <c r="DW161" s="129">
        <f>SUM(_2025_01_07T12_47_export3[[#This Row],[Ni_wt]:[H_wt]])</f>
        <v>99.704000000000022</v>
      </c>
      <c r="DY161" s="130">
        <f>SUM($AM161:BJ161)</f>
        <v>100.00000000000001</v>
      </c>
    </row>
    <row r="162" spans="1:129" x14ac:dyDescent="0.25">
      <c r="A162" s="129" t="s">
        <v>372</v>
      </c>
      <c r="B162" s="129">
        <v>170</v>
      </c>
      <c r="C162" s="129" t="s">
        <v>223</v>
      </c>
      <c r="D162" s="129">
        <v>2009</v>
      </c>
      <c r="E162" s="129" t="s">
        <v>363</v>
      </c>
      <c r="F162" s="129" t="s">
        <v>364</v>
      </c>
      <c r="G162" s="129" t="s">
        <v>226</v>
      </c>
      <c r="H162" s="129">
        <v>0</v>
      </c>
      <c r="I162" s="129">
        <v>850</v>
      </c>
      <c r="J162" s="129">
        <v>1000</v>
      </c>
      <c r="K162" s="129" t="s">
        <v>250</v>
      </c>
      <c r="L162" s="129" t="s">
        <v>250</v>
      </c>
      <c r="N162" s="129">
        <v>7940000</v>
      </c>
      <c r="O162" s="130">
        <v>31.59</v>
      </c>
      <c r="P162" s="130">
        <v>20.420000000000002</v>
      </c>
      <c r="Q162" s="130"/>
      <c r="R162" s="130">
        <v>45.26</v>
      </c>
      <c r="S162" s="130"/>
      <c r="T162" s="130"/>
      <c r="U162" s="130">
        <v>0.76</v>
      </c>
      <c r="V162" s="130">
        <v>0.5</v>
      </c>
      <c r="W162" s="130">
        <v>0.54</v>
      </c>
      <c r="X162" s="130">
        <v>0.13</v>
      </c>
      <c r="Y162" s="130">
        <v>6.9000000000000006E-2</v>
      </c>
      <c r="Z162" s="130">
        <v>0.42</v>
      </c>
      <c r="AA162" s="130"/>
      <c r="AB162" s="130"/>
      <c r="AC162" s="130">
        <v>1.4E-2</v>
      </c>
      <c r="AD162" s="130">
        <v>1E-3</v>
      </c>
      <c r="AE162" s="130"/>
      <c r="AF162" s="130"/>
      <c r="AG162" s="130"/>
      <c r="AH162" s="130"/>
      <c r="AI162" s="130"/>
      <c r="AJ162" s="130"/>
      <c r="AK162" s="130"/>
      <c r="AL162" s="130"/>
      <c r="AM162" s="130">
        <f t="shared" si="50"/>
        <v>29.862390040750313</v>
      </c>
      <c r="AN162" s="130">
        <f t="shared" si="51"/>
        <v>21.786699400893177</v>
      </c>
      <c r="AO162" s="130">
        <f t="shared" si="52"/>
        <v>0</v>
      </c>
      <c r="AP162" s="130">
        <f t="shared" si="53"/>
        <v>44.960426192298442</v>
      </c>
      <c r="AQ162" s="130">
        <f t="shared" si="54"/>
        <v>0</v>
      </c>
      <c r="AR162" s="130">
        <f t="shared" si="55"/>
        <v>0</v>
      </c>
      <c r="AS162" s="130">
        <f t="shared" si="56"/>
        <v>0.76747455270703857</v>
      </c>
      <c r="AT162" s="130">
        <f t="shared" si="57"/>
        <v>1.0281751571759954</v>
      </c>
      <c r="AU162" s="130">
        <f t="shared" si="58"/>
        <v>0.62584873615744774</v>
      </c>
      <c r="AV162" s="130">
        <f t="shared" si="59"/>
        <v>0.25676194704728272</v>
      </c>
      <c r="AW162" s="130">
        <f t="shared" si="60"/>
        <v>0.31874628411356809</v>
      </c>
      <c r="AX162" s="130">
        <f t="shared" si="61"/>
        <v>0.36666780837310803</v>
      </c>
      <c r="AY162" s="130">
        <f t="shared" si="62"/>
        <v>0</v>
      </c>
      <c r="AZ162" s="130">
        <f t="shared" si="63"/>
        <v>0</v>
      </c>
      <c r="BA162" s="130">
        <f t="shared" si="64"/>
        <v>2.5079904447434093E-2</v>
      </c>
      <c r="BB162" s="130">
        <f t="shared" si="65"/>
        <v>1.7299760362088151E-3</v>
      </c>
      <c r="BC162" s="130">
        <f t="shared" si="66"/>
        <v>0</v>
      </c>
      <c r="BD162" s="130">
        <f t="shared" si="67"/>
        <v>0</v>
      </c>
      <c r="BE162" s="130">
        <f t="shared" si="68"/>
        <v>0</v>
      </c>
      <c r="BF162" s="130">
        <f t="shared" si="69"/>
        <v>0</v>
      </c>
      <c r="BG162" s="130">
        <f t="shared" si="70"/>
        <v>0</v>
      </c>
      <c r="BH162" s="130">
        <f t="shared" si="71"/>
        <v>0</v>
      </c>
      <c r="BI162" s="130">
        <f t="shared" si="72"/>
        <v>0</v>
      </c>
      <c r="BJ162" s="130">
        <f t="shared" si="73"/>
        <v>0</v>
      </c>
      <c r="BK162" s="130">
        <f t="shared" si="74"/>
        <v>-130.21142101812333</v>
      </c>
      <c r="BL162" s="130">
        <f>IF($K162=$L162,$BK162,IF(OR($K162="graphite",$K162="vitreous carbon"),$BK$406+($BM$389+$I162)*$BJ$406,IF($K162="Pyrolytic Boron Nitride","PBN",IF(COUNTIF($BH$396:$BH$416,$K162)&gt;0,VLOOKUP($K162,$BH$396:$BK$416,4,FALSE)+($BM$389+$I162)*VLOOKUP($K162,$BH$396:$BK$416,3,FALSE),IF(COUNTIF($L$2:$L161,$K162)&gt;0,VLOOKUP($K162,$L$2:$BK161,52,FALSE),"idk")))))</f>
        <v>-130.21142101812333</v>
      </c>
      <c r="BM162" s="130">
        <v>32</v>
      </c>
      <c r="BN162" s="130">
        <v>13</v>
      </c>
      <c r="BO162" s="130">
        <v>1</v>
      </c>
      <c r="BP162" s="129" t="s">
        <v>245</v>
      </c>
      <c r="BQ162" s="129" t="s">
        <v>351</v>
      </c>
      <c r="BR162" s="129" t="s">
        <v>230</v>
      </c>
      <c r="BS162" s="129"/>
      <c r="BT162" s="129">
        <v>0</v>
      </c>
      <c r="BV162" s="129"/>
      <c r="BZ162" s="129"/>
      <c r="DJ162" s="129">
        <v>0</v>
      </c>
      <c r="DK162" s="129">
        <v>0</v>
      </c>
      <c r="DL162" s="129"/>
      <c r="DO162" s="129">
        <v>-0.3</v>
      </c>
      <c r="DQ162" s="129">
        <v>1667400</v>
      </c>
      <c r="DS162" s="129">
        <v>3</v>
      </c>
      <c r="DU162" s="129" t="s">
        <v>365</v>
      </c>
      <c r="DW162" s="129">
        <f>SUM(_2025_01_07T12_47_export3[[#This Row],[Ni_wt]:[H_wt]])</f>
        <v>99.704000000000022</v>
      </c>
      <c r="DY162" s="130">
        <f>SUM($AM162:BJ162)</f>
        <v>100.00000000000001</v>
      </c>
    </row>
    <row r="163" spans="1:129" x14ac:dyDescent="0.25">
      <c r="A163" s="238" t="s">
        <v>372</v>
      </c>
      <c r="B163" s="238">
        <v>171</v>
      </c>
      <c r="C163" s="238" t="s">
        <v>223</v>
      </c>
      <c r="D163" s="238">
        <v>2009</v>
      </c>
      <c r="E163" s="238" t="s">
        <v>363</v>
      </c>
      <c r="F163" s="238" t="s">
        <v>364</v>
      </c>
      <c r="G163" s="238" t="s">
        <v>226</v>
      </c>
      <c r="H163" s="238">
        <v>0</v>
      </c>
      <c r="I163" s="238">
        <v>850</v>
      </c>
      <c r="J163" s="238">
        <v>2000</v>
      </c>
      <c r="K163" s="238" t="s">
        <v>250</v>
      </c>
      <c r="L163" s="238" t="s">
        <v>250</v>
      </c>
      <c r="M163" s="238"/>
      <c r="N163" s="238">
        <v>7940000</v>
      </c>
      <c r="O163" s="239">
        <v>31.59</v>
      </c>
      <c r="P163" s="239">
        <v>20.420000000000002</v>
      </c>
      <c r="Q163" s="239"/>
      <c r="R163" s="239">
        <v>45.26</v>
      </c>
      <c r="S163" s="239"/>
      <c r="T163" s="239"/>
      <c r="U163" s="239">
        <v>0.76</v>
      </c>
      <c r="V163" s="239">
        <v>0.5</v>
      </c>
      <c r="W163" s="239">
        <v>0.54</v>
      </c>
      <c r="X163" s="239">
        <v>0.13</v>
      </c>
      <c r="Y163" s="239">
        <v>6.9000000000000006E-2</v>
      </c>
      <c r="Z163" s="239">
        <v>0.42</v>
      </c>
      <c r="AA163" s="239"/>
      <c r="AB163" s="239"/>
      <c r="AC163" s="239">
        <v>1.4E-2</v>
      </c>
      <c r="AD163" s="239">
        <v>1E-3</v>
      </c>
      <c r="AE163" s="239"/>
      <c r="AF163" s="239"/>
      <c r="AG163" s="239"/>
      <c r="AH163" s="239"/>
      <c r="AI163" s="239"/>
      <c r="AJ163" s="239"/>
      <c r="AK163" s="239"/>
      <c r="AL163" s="239"/>
      <c r="AM163" s="239">
        <f t="shared" si="50"/>
        <v>29.862390040750313</v>
      </c>
      <c r="AN163" s="239">
        <f t="shared" si="51"/>
        <v>21.786699400893177</v>
      </c>
      <c r="AO163" s="239">
        <f t="shared" si="52"/>
        <v>0</v>
      </c>
      <c r="AP163" s="239">
        <f t="shared" si="53"/>
        <v>44.960426192298442</v>
      </c>
      <c r="AQ163" s="239">
        <f t="shared" si="54"/>
        <v>0</v>
      </c>
      <c r="AR163" s="239">
        <f t="shared" si="55"/>
        <v>0</v>
      </c>
      <c r="AS163" s="239">
        <f t="shared" si="56"/>
        <v>0.76747455270703857</v>
      </c>
      <c r="AT163" s="239">
        <f t="shared" si="57"/>
        <v>1.0281751571759954</v>
      </c>
      <c r="AU163" s="239">
        <f t="shared" si="58"/>
        <v>0.62584873615744774</v>
      </c>
      <c r="AV163" s="239">
        <f t="shared" si="59"/>
        <v>0.25676194704728272</v>
      </c>
      <c r="AW163" s="239">
        <f t="shared" si="60"/>
        <v>0.31874628411356809</v>
      </c>
      <c r="AX163" s="239">
        <f t="shared" si="61"/>
        <v>0.36666780837310803</v>
      </c>
      <c r="AY163" s="239">
        <f t="shared" si="62"/>
        <v>0</v>
      </c>
      <c r="AZ163" s="239">
        <f t="shared" si="63"/>
        <v>0</v>
      </c>
      <c r="BA163" s="239">
        <f t="shared" si="64"/>
        <v>2.5079904447434093E-2</v>
      </c>
      <c r="BB163" s="239">
        <f t="shared" si="65"/>
        <v>1.7299760362088151E-3</v>
      </c>
      <c r="BC163" s="239">
        <f t="shared" si="66"/>
        <v>0</v>
      </c>
      <c r="BD163" s="239">
        <f t="shared" si="67"/>
        <v>0</v>
      </c>
      <c r="BE163" s="239">
        <f t="shared" si="68"/>
        <v>0</v>
      </c>
      <c r="BF163" s="239">
        <f t="shared" si="69"/>
        <v>0</v>
      </c>
      <c r="BG163" s="239">
        <f t="shared" si="70"/>
        <v>0</v>
      </c>
      <c r="BH163" s="239">
        <f t="shared" si="71"/>
        <v>0</v>
      </c>
      <c r="BI163" s="239">
        <f t="shared" si="72"/>
        <v>0</v>
      </c>
      <c r="BJ163" s="239">
        <f t="shared" si="73"/>
        <v>0</v>
      </c>
      <c r="BK163" s="239">
        <f t="shared" si="74"/>
        <v>-130.21142101812333</v>
      </c>
      <c r="BL163" s="239">
        <f>IF($K163=$L163,$BK163,IF(OR($K163="graphite",$K163="vitreous carbon"),$BK$406+($BM$389+$I163)*$BJ$406,IF($K163="Pyrolytic Boron Nitride","PBN",IF(COUNTIF($BH$396:$BH$416,$K163)&gt;0,VLOOKUP($K163,$BH$396:$BK$416,4,FALSE)+($BM$389+$I163)*VLOOKUP($K163,$BH$396:$BK$416,3,FALSE),IF(COUNTIF($L$2:$L162,$K163)&gt;0,VLOOKUP($K163,$L$2:$BK162,52,FALSE),"idk")))))</f>
        <v>-130.21142101812333</v>
      </c>
      <c r="BM163" s="239">
        <v>32</v>
      </c>
      <c r="BN163" s="239">
        <v>13</v>
      </c>
      <c r="BO163" s="239">
        <v>1</v>
      </c>
      <c r="BP163" s="238" t="s">
        <v>245</v>
      </c>
      <c r="BQ163" s="238" t="s">
        <v>351</v>
      </c>
      <c r="BR163" s="238" t="s">
        <v>230</v>
      </c>
      <c r="BS163" s="238"/>
      <c r="BT163" s="238">
        <v>0</v>
      </c>
      <c r="BU163" s="238"/>
      <c r="BV163" s="238"/>
      <c r="BW163" s="238"/>
      <c r="BX163" s="238"/>
      <c r="BY163" s="238"/>
      <c r="BZ163" s="238"/>
      <c r="CA163" s="238"/>
      <c r="CB163" s="238"/>
      <c r="CC163" s="238"/>
      <c r="CD163" s="238"/>
      <c r="CE163" s="238"/>
      <c r="CF163" s="238"/>
      <c r="CG163" s="238"/>
      <c r="CH163" s="238"/>
      <c r="CI163" s="238"/>
      <c r="CJ163" s="238"/>
      <c r="CK163" s="238"/>
      <c r="CL163" s="238"/>
      <c r="CM163" s="238"/>
      <c r="CN163" s="238"/>
      <c r="CO163" s="238"/>
      <c r="CP163" s="238"/>
      <c r="CQ163" s="238"/>
      <c r="CR163" s="238"/>
      <c r="CS163" s="238"/>
      <c r="CT163" s="238"/>
      <c r="CU163" s="238"/>
      <c r="CV163" s="238"/>
      <c r="CW163" s="238"/>
      <c r="CX163" s="238"/>
      <c r="CY163" s="238"/>
      <c r="CZ163" s="238"/>
      <c r="DA163" s="238"/>
      <c r="DB163" s="238"/>
      <c r="DC163" s="238"/>
      <c r="DD163" s="238"/>
      <c r="DE163" s="238"/>
      <c r="DF163" s="238"/>
      <c r="DG163" s="238"/>
      <c r="DH163" s="238"/>
      <c r="DI163" s="238"/>
      <c r="DJ163" s="238">
        <v>0</v>
      </c>
      <c r="DK163" s="238">
        <v>0</v>
      </c>
      <c r="DL163" s="238"/>
      <c r="DM163" s="238"/>
      <c r="DN163" s="238"/>
      <c r="DO163" s="238">
        <v>-0.67</v>
      </c>
      <c r="DP163" s="238"/>
      <c r="DQ163" s="238">
        <v>1667400</v>
      </c>
      <c r="DR163" s="238"/>
      <c r="DS163" s="238">
        <v>3</v>
      </c>
      <c r="DT163" s="238"/>
      <c r="DU163" s="238" t="s">
        <v>365</v>
      </c>
      <c r="DW163" s="129">
        <f>SUM(_2025_01_07T12_47_export3[[#This Row],[Ni_wt]:[H_wt]])</f>
        <v>99.704000000000022</v>
      </c>
      <c r="DY163" s="130">
        <f>SUM($AM163:BJ163)</f>
        <v>100.00000000000001</v>
      </c>
    </row>
    <row r="164" spans="1:129" x14ac:dyDescent="0.25">
      <c r="A164" s="129" t="s">
        <v>373</v>
      </c>
      <c r="B164" s="129">
        <v>172</v>
      </c>
      <c r="C164" s="129" t="s">
        <v>223</v>
      </c>
      <c r="D164" s="129">
        <v>2009</v>
      </c>
      <c r="E164" s="129" t="s">
        <v>363</v>
      </c>
      <c r="F164" s="129" t="s">
        <v>364</v>
      </c>
      <c r="G164" s="129" t="s">
        <v>226</v>
      </c>
      <c r="H164" s="129">
        <v>0</v>
      </c>
      <c r="I164" s="129">
        <v>850</v>
      </c>
      <c r="J164" s="129">
        <v>500</v>
      </c>
      <c r="K164" s="129" t="s">
        <v>233</v>
      </c>
      <c r="L164" s="129" t="s">
        <v>374</v>
      </c>
      <c r="N164" s="129">
        <v>8360000</v>
      </c>
      <c r="O164" s="130">
        <v>52.93</v>
      </c>
      <c r="P164" s="130">
        <v>22.1</v>
      </c>
      <c r="Q164" s="130">
        <v>9.58</v>
      </c>
      <c r="R164" s="130">
        <v>1.0891999999999999</v>
      </c>
      <c r="S164" s="130"/>
      <c r="T164" s="130">
        <v>12.4</v>
      </c>
      <c r="U164" s="130">
        <v>6.0900000000000003E-2</v>
      </c>
      <c r="V164" s="130">
        <v>1.05</v>
      </c>
      <c r="W164" s="130">
        <v>0.4</v>
      </c>
      <c r="X164" s="130">
        <v>0.1</v>
      </c>
      <c r="Y164" s="130">
        <v>0.08</v>
      </c>
      <c r="Z164" s="130">
        <v>1.37E-2</v>
      </c>
      <c r="AA164" s="130"/>
      <c r="AB164" s="130"/>
      <c r="AC164" s="130">
        <v>2E-3</v>
      </c>
      <c r="AD164" s="130">
        <v>2E-3</v>
      </c>
      <c r="AE164" s="130">
        <v>2E-3</v>
      </c>
      <c r="AF164" s="130"/>
      <c r="AG164" s="130"/>
      <c r="AH164" s="130"/>
      <c r="AI164" s="130"/>
      <c r="AJ164" s="130"/>
      <c r="AK164" s="130"/>
      <c r="AL164" s="130"/>
      <c r="AM164" s="130">
        <f t="shared" si="50"/>
        <v>52.563664585142554</v>
      </c>
      <c r="AN164" s="130">
        <f t="shared" si="51"/>
        <v>24.770614522262555</v>
      </c>
      <c r="AO164" s="130">
        <f t="shared" si="52"/>
        <v>5.8186618719386818</v>
      </c>
      <c r="AP164" s="130">
        <f t="shared" si="53"/>
        <v>1.1366645252577121</v>
      </c>
      <c r="AQ164" s="130">
        <f t="shared" si="54"/>
        <v>0</v>
      </c>
      <c r="AR164" s="130">
        <f t="shared" si="55"/>
        <v>12.264026914327294</v>
      </c>
      <c r="AS164" s="130">
        <f t="shared" si="56"/>
        <v>6.4606540799836812E-2</v>
      </c>
      <c r="AT164" s="130">
        <f t="shared" si="57"/>
        <v>2.2682723802708482</v>
      </c>
      <c r="AU164" s="130">
        <f t="shared" si="58"/>
        <v>0.48701732923260416</v>
      </c>
      <c r="AV164" s="130">
        <f t="shared" si="59"/>
        <v>0.20748949404027017</v>
      </c>
      <c r="AW164" s="130">
        <f t="shared" si="60"/>
        <v>0.3882351298978311</v>
      </c>
      <c r="AX164" s="130">
        <f t="shared" si="61"/>
        <v>1.25647213941777E-2</v>
      </c>
      <c r="AY164" s="130">
        <f t="shared" si="62"/>
        <v>0</v>
      </c>
      <c r="AZ164" s="130">
        <f t="shared" si="63"/>
        <v>0</v>
      </c>
      <c r="BA164" s="130">
        <f t="shared" si="64"/>
        <v>3.7638875606013492E-3</v>
      </c>
      <c r="BB164" s="130">
        <f t="shared" si="65"/>
        <v>3.6347863346374732E-3</v>
      </c>
      <c r="BC164" s="130">
        <f t="shared" si="66"/>
        <v>1.078331154040923E-2</v>
      </c>
      <c r="BD164" s="130">
        <f t="shared" si="67"/>
        <v>0</v>
      </c>
      <c r="BE164" s="130">
        <f t="shared" si="68"/>
        <v>0</v>
      </c>
      <c r="BF164" s="130">
        <f t="shared" si="69"/>
        <v>0</v>
      </c>
      <c r="BG164" s="130">
        <f t="shared" si="70"/>
        <v>0</v>
      </c>
      <c r="BH164" s="130">
        <f t="shared" si="71"/>
        <v>0</v>
      </c>
      <c r="BI164" s="130">
        <f t="shared" si="72"/>
        <v>0</v>
      </c>
      <c r="BJ164" s="130">
        <f t="shared" si="73"/>
        <v>0</v>
      </c>
      <c r="BK164" s="130">
        <f t="shared" si="74"/>
        <v>-125.15968658948964</v>
      </c>
      <c r="BL164" s="130">
        <f>IF($K164=$L164,$BK164,IF(OR($K164="graphite",$K164="vitreous carbon"),$BK$406+($BM$389+$I164)*$BJ$406,IF($K164="Pyrolytic Boron Nitride","PBN",IF(COUNTIF($BH$396:$BH$416,$K164)&gt;0,VLOOKUP($K164,$BH$396:$BK$416,4,FALSE)+($BM$389+$I164)*VLOOKUP($K164,$BH$396:$BK$416,3,FALSE),IF(COUNTIF($L$2:$L163,$K164)&gt;0,VLOOKUP($K164,$L$2:$BK163,52,FALSE),"idk")))))</f>
        <v>-60.821750226979574</v>
      </c>
      <c r="BM164" s="130">
        <v>32</v>
      </c>
      <c r="BN164" s="130">
        <v>13</v>
      </c>
      <c r="BO164" s="130">
        <v>1</v>
      </c>
      <c r="BP164" s="129" t="s">
        <v>245</v>
      </c>
      <c r="BQ164" s="129" t="s">
        <v>351</v>
      </c>
      <c r="BR164" s="129" t="s">
        <v>230</v>
      </c>
      <c r="BS164" s="129"/>
      <c r="BT164" s="129">
        <v>0</v>
      </c>
      <c r="BV164" s="129"/>
      <c r="BZ164" s="129"/>
      <c r="DJ164" s="129">
        <v>0</v>
      </c>
      <c r="DK164" s="129">
        <v>0</v>
      </c>
      <c r="DL164" s="129"/>
      <c r="DO164" s="129">
        <v>-32.5</v>
      </c>
      <c r="DS164" s="129"/>
      <c r="DU164" s="129" t="s">
        <v>365</v>
      </c>
      <c r="DW164" s="129">
        <f>SUM(_2025_01_07T12_47_export3[[#This Row],[Ni_wt]:[H_wt]])</f>
        <v>99.809799999999996</v>
      </c>
      <c r="DY164" s="130">
        <f>SUM($AM164:BJ164)</f>
        <v>100.00000000000003</v>
      </c>
    </row>
    <row r="165" spans="1:129" x14ac:dyDescent="0.25">
      <c r="A165" s="129" t="s">
        <v>375</v>
      </c>
      <c r="B165" s="129">
        <v>173</v>
      </c>
      <c r="C165" s="129" t="s">
        <v>223</v>
      </c>
      <c r="D165" s="129">
        <v>2009</v>
      </c>
      <c r="E165" s="129" t="s">
        <v>363</v>
      </c>
      <c r="F165" s="129" t="s">
        <v>364</v>
      </c>
      <c r="G165" s="129" t="s">
        <v>226</v>
      </c>
      <c r="H165" s="129">
        <v>0</v>
      </c>
      <c r="I165" s="129">
        <v>850</v>
      </c>
      <c r="J165" s="129">
        <v>500</v>
      </c>
      <c r="K165" s="129" t="s">
        <v>233</v>
      </c>
      <c r="L165" s="129" t="s">
        <v>376</v>
      </c>
      <c r="N165" s="129">
        <v>8570000</v>
      </c>
      <c r="O165" s="130">
        <v>2.5000000000000001E-3</v>
      </c>
      <c r="P165" s="130">
        <v>2E-3</v>
      </c>
      <c r="Q165" s="130">
        <v>3.0000000000000001E-3</v>
      </c>
      <c r="R165" s="130">
        <v>3.5000000000000001E-3</v>
      </c>
      <c r="S165" s="130">
        <v>3.0000000000000001E-3</v>
      </c>
      <c r="T165" s="130">
        <v>2E-3</v>
      </c>
      <c r="U165" s="130"/>
      <c r="V165" s="130">
        <v>2E-3</v>
      </c>
      <c r="W165" s="130">
        <v>4.0000000000000001E-3</v>
      </c>
      <c r="X165" s="130">
        <v>5.0000000000000001E-3</v>
      </c>
      <c r="Y165" s="130">
        <v>2.2000000000000001E-3</v>
      </c>
      <c r="Z165" s="130"/>
      <c r="AA165" s="130">
        <v>99.05</v>
      </c>
      <c r="AB165" s="130"/>
      <c r="AC165" s="130"/>
      <c r="AD165" s="130"/>
      <c r="AE165" s="130">
        <v>2.0000000000000001E-4</v>
      </c>
      <c r="AF165" s="130"/>
      <c r="AG165" s="130"/>
      <c r="AH165" s="130">
        <v>0.95</v>
      </c>
      <c r="AI165" s="130">
        <v>1.2999999999999999E-2</v>
      </c>
      <c r="AJ165" s="130">
        <v>4.5999999999999999E-3</v>
      </c>
      <c r="AK165" s="130"/>
      <c r="AL165" s="130">
        <v>2.9999999999999997E-4</v>
      </c>
      <c r="AM165" s="130">
        <f t="shared" si="50"/>
        <v>3.9488883158128891E-3</v>
      </c>
      <c r="AN165" s="130">
        <f t="shared" si="51"/>
        <v>3.5655423885393614E-3</v>
      </c>
      <c r="AO165" s="130">
        <f t="shared" si="52"/>
        <v>2.8982107785126116E-3</v>
      </c>
      <c r="AP165" s="130">
        <f t="shared" si="53"/>
        <v>5.8095677234929607E-3</v>
      </c>
      <c r="AQ165" s="130">
        <f t="shared" si="54"/>
        <v>1.5131246262571829E-3</v>
      </c>
      <c r="AR165" s="130">
        <f t="shared" si="55"/>
        <v>3.1462447684379225E-3</v>
      </c>
      <c r="AS165" s="130">
        <f t="shared" si="56"/>
        <v>0</v>
      </c>
      <c r="AT165" s="130">
        <f t="shared" si="57"/>
        <v>6.872060941588095E-3</v>
      </c>
      <c r="AU165" s="130">
        <f t="shared" si="58"/>
        <v>7.7463214624627881E-3</v>
      </c>
      <c r="AV165" s="130">
        <f t="shared" si="59"/>
        <v>1.650126416910349E-2</v>
      </c>
      <c r="AW165" s="130">
        <f t="shared" si="60"/>
        <v>1.6981600718105869E-2</v>
      </c>
      <c r="AX165" s="130">
        <f t="shared" si="61"/>
        <v>0</v>
      </c>
      <c r="AY165" s="130">
        <f t="shared" si="62"/>
        <v>98.830495244918922</v>
      </c>
      <c r="AZ165" s="130">
        <f t="shared" si="63"/>
        <v>0</v>
      </c>
      <c r="BA165" s="130">
        <f t="shared" si="64"/>
        <v>0</v>
      </c>
      <c r="BB165" s="130">
        <f t="shared" si="65"/>
        <v>0</v>
      </c>
      <c r="BC165" s="130">
        <f t="shared" si="66"/>
        <v>1.7151545254768434E-3</v>
      </c>
      <c r="BD165" s="130">
        <f t="shared" si="67"/>
        <v>0</v>
      </c>
      <c r="BE165" s="130">
        <f t="shared" si="68"/>
        <v>0</v>
      </c>
      <c r="BF165" s="130">
        <f t="shared" si="69"/>
        <v>0.96545600742076554</v>
      </c>
      <c r="BG165" s="130">
        <f t="shared" si="70"/>
        <v>7.5322082957894013E-2</v>
      </c>
      <c r="BH165" s="130">
        <f t="shared" si="71"/>
        <v>3.0438177706588694E-2</v>
      </c>
      <c r="BI165" s="130">
        <f t="shared" si="72"/>
        <v>0</v>
      </c>
      <c r="BJ165" s="130">
        <f t="shared" si="73"/>
        <v>2.7590506577983152E-2</v>
      </c>
      <c r="BK165" s="130">
        <f t="shared" si="74"/>
        <v>-143.58679215487112</v>
      </c>
      <c r="BL165" s="130">
        <f>IF($K165=$L165,$BK165,IF(OR($K165="graphite",$K165="vitreous carbon"),$BK$406+($BM$389+$I165)*$BJ$406,IF($K165="Pyrolytic Boron Nitride","PBN",IF(COUNTIF($BH$396:$BH$416,$K165)&gt;0,VLOOKUP($K165,$BH$396:$BK$416,4,FALSE)+($BM$389+$I165)*VLOOKUP($K165,$BH$396:$BK$416,3,FALSE),IF(COUNTIF($L$2:$L164,$K165)&gt;0,VLOOKUP($K165,$L$2:$BK164,52,FALSE),"idk")))))</f>
        <v>-60.821750226979574</v>
      </c>
      <c r="BM165" s="130">
        <v>32</v>
      </c>
      <c r="BN165" s="130">
        <v>13</v>
      </c>
      <c r="BO165" s="130">
        <v>1</v>
      </c>
      <c r="BP165" s="129" t="s">
        <v>245</v>
      </c>
      <c r="BQ165" s="129" t="s">
        <v>351</v>
      </c>
      <c r="BR165" s="129" t="s">
        <v>230</v>
      </c>
      <c r="BS165" s="129"/>
      <c r="BT165" s="129">
        <v>0</v>
      </c>
      <c r="BV165" s="129"/>
      <c r="BZ165" s="129"/>
      <c r="DJ165" s="129">
        <v>0</v>
      </c>
      <c r="DK165" s="129">
        <v>0</v>
      </c>
      <c r="DL165" s="129"/>
      <c r="DO165" s="129">
        <v>-180</v>
      </c>
      <c r="DS165" s="129"/>
      <c r="DU165" s="129" t="s">
        <v>365</v>
      </c>
      <c r="DW165" s="129">
        <f>SUM(_2025_01_07T12_47_export3[[#This Row],[Ni_wt]:[H_wt]])</f>
        <v>100.04730000000001</v>
      </c>
      <c r="DY165" s="130">
        <f>SUM($AM165:BJ165)</f>
        <v>99.999999999999943</v>
      </c>
    </row>
    <row r="166" spans="1:129" ht="16.5" thickBot="1" x14ac:dyDescent="0.3">
      <c r="A166" s="136" t="s">
        <v>377</v>
      </c>
      <c r="B166" s="136">
        <v>174</v>
      </c>
      <c r="C166" s="136" t="s">
        <v>223</v>
      </c>
      <c r="D166" s="136">
        <v>2009</v>
      </c>
      <c r="E166" s="136" t="s">
        <v>363</v>
      </c>
      <c r="F166" s="136" t="s">
        <v>364</v>
      </c>
      <c r="G166" s="136" t="s">
        <v>226</v>
      </c>
      <c r="H166" s="136">
        <v>0</v>
      </c>
      <c r="I166" s="136">
        <v>850</v>
      </c>
      <c r="J166" s="136">
        <v>500</v>
      </c>
      <c r="K166" s="136" t="s">
        <v>233</v>
      </c>
      <c r="L166" s="136" t="s">
        <v>251</v>
      </c>
      <c r="M166" s="136"/>
      <c r="N166" s="136">
        <v>8900000</v>
      </c>
      <c r="O166" s="137">
        <v>99.4</v>
      </c>
      <c r="P166" s="137"/>
      <c r="Q166" s="137"/>
      <c r="R166" s="137">
        <v>0.05</v>
      </c>
      <c r="S166" s="137"/>
      <c r="T166" s="137">
        <v>0.02</v>
      </c>
      <c r="U166" s="137">
        <v>0.19</v>
      </c>
      <c r="V166" s="137"/>
      <c r="W166" s="137">
        <v>0.02</v>
      </c>
      <c r="X166" s="137">
        <v>0.09</v>
      </c>
      <c r="Y166" s="137">
        <v>0.02</v>
      </c>
      <c r="Z166" s="137">
        <v>0.01</v>
      </c>
      <c r="AA166" s="137"/>
      <c r="AB166" s="137"/>
      <c r="AC166" s="137"/>
      <c r="AD166" s="137">
        <v>1E-3</v>
      </c>
      <c r="AE166" s="137"/>
      <c r="AF166" s="137"/>
      <c r="AG166" s="137"/>
      <c r="AH166" s="137"/>
      <c r="AI166" s="137"/>
      <c r="AJ166" s="137"/>
      <c r="AK166" s="137"/>
      <c r="AL166" s="137"/>
      <c r="AM166" s="137">
        <f t="shared" si="50"/>
        <v>99.40318798221314</v>
      </c>
      <c r="AN166" s="137">
        <f t="shared" si="51"/>
        <v>0</v>
      </c>
      <c r="AO166" s="137">
        <f t="shared" si="52"/>
        <v>0</v>
      </c>
      <c r="AP166" s="137">
        <f t="shared" si="53"/>
        <v>5.2544209776799453E-2</v>
      </c>
      <c r="AQ166" s="137">
        <f t="shared" si="54"/>
        <v>0</v>
      </c>
      <c r="AR166" s="137">
        <f t="shared" si="55"/>
        <v>1.9919186261898862E-2</v>
      </c>
      <c r="AS166" s="137">
        <f t="shared" si="56"/>
        <v>0.2029752027835848</v>
      </c>
      <c r="AT166" s="137">
        <f t="shared" si="57"/>
        <v>0</v>
      </c>
      <c r="AU166" s="137">
        <f t="shared" si="58"/>
        <v>2.4521362991721328E-2</v>
      </c>
      <c r="AV166" s="137">
        <f t="shared" si="59"/>
        <v>0.18804803876331966</v>
      </c>
      <c r="AW166" s="137">
        <f t="shared" si="60"/>
        <v>9.7738355238442959E-2</v>
      </c>
      <c r="AX166" s="137">
        <f t="shared" si="61"/>
        <v>9.235544031579071E-3</v>
      </c>
      <c r="AY166" s="137">
        <f t="shared" si="62"/>
        <v>0</v>
      </c>
      <c r="AZ166" s="137">
        <f t="shared" si="63"/>
        <v>0</v>
      </c>
      <c r="BA166" s="137">
        <f t="shared" si="64"/>
        <v>0</v>
      </c>
      <c r="BB166" s="137">
        <f t="shared" si="65"/>
        <v>1.8301179395286869E-3</v>
      </c>
      <c r="BC166" s="137">
        <f t="shared" si="66"/>
        <v>0</v>
      </c>
      <c r="BD166" s="137">
        <f t="shared" si="67"/>
        <v>0</v>
      </c>
      <c r="BE166" s="137">
        <f t="shared" si="68"/>
        <v>0</v>
      </c>
      <c r="BF166" s="137">
        <f t="shared" si="69"/>
        <v>0</v>
      </c>
      <c r="BG166" s="137">
        <f t="shared" si="70"/>
        <v>0</v>
      </c>
      <c r="BH166" s="137">
        <f t="shared" si="71"/>
        <v>0</v>
      </c>
      <c r="BI166" s="137">
        <f t="shared" si="72"/>
        <v>0</v>
      </c>
      <c r="BJ166" s="137">
        <f t="shared" si="73"/>
        <v>0</v>
      </c>
      <c r="BK166" s="137">
        <f t="shared" si="74"/>
        <v>-116.51601495143476</v>
      </c>
      <c r="BL166" s="137">
        <f>IF($K166=$L166,$BK166,IF(OR($K166="graphite",$K166="vitreous carbon"),$BK$406+($BM$389+$I166)*$BJ$406,IF($K166="Pyrolytic Boron Nitride","PBN",IF(COUNTIF($BH$396:$BH$416,$K166)&gt;0,VLOOKUP($K166,$BH$396:$BK$416,4,FALSE)+($BM$389+$I166)*VLOOKUP($K166,$BH$396:$BK$416,3,FALSE),IF(COUNTIF($L$2:$L165,$K166)&gt;0,VLOOKUP($K166,$L$2:$BK165,52,FALSE),"idk")))))</f>
        <v>-60.821750226979574</v>
      </c>
      <c r="BM166" s="137">
        <v>32</v>
      </c>
      <c r="BN166" s="137">
        <v>13</v>
      </c>
      <c r="BO166" s="137">
        <v>1</v>
      </c>
      <c r="BP166" s="136" t="s">
        <v>245</v>
      </c>
      <c r="BQ166" s="136" t="s">
        <v>351</v>
      </c>
      <c r="BR166" s="136" t="s">
        <v>230</v>
      </c>
      <c r="BS166" s="136"/>
      <c r="BT166" s="136">
        <v>0</v>
      </c>
      <c r="BU166" s="136"/>
      <c r="BV166" s="136"/>
      <c r="BW166" s="136"/>
      <c r="BX166" s="136"/>
      <c r="BY166" s="136"/>
      <c r="BZ166" s="136"/>
      <c r="CA166" s="136"/>
      <c r="CB166" s="136"/>
      <c r="CC166" s="136"/>
      <c r="CD166" s="136"/>
      <c r="CE166" s="136"/>
      <c r="CF166" s="136"/>
      <c r="CG166" s="136"/>
      <c r="CH166" s="136"/>
      <c r="CI166" s="136"/>
      <c r="CJ166" s="136"/>
      <c r="CK166" s="136"/>
      <c r="CL166" s="136"/>
      <c r="CM166" s="136"/>
      <c r="CN166" s="136"/>
      <c r="CO166" s="136"/>
      <c r="CP166" s="136"/>
      <c r="CQ166" s="136"/>
      <c r="CR166" s="136"/>
      <c r="CS166" s="136"/>
      <c r="CT166" s="136"/>
      <c r="CU166" s="136"/>
      <c r="CV166" s="136"/>
      <c r="CW166" s="136"/>
      <c r="CX166" s="136"/>
      <c r="CY166" s="136"/>
      <c r="CZ166" s="136"/>
      <c r="DA166" s="136"/>
      <c r="DB166" s="136"/>
      <c r="DC166" s="136"/>
      <c r="DD166" s="136"/>
      <c r="DE166" s="136"/>
      <c r="DF166" s="136"/>
      <c r="DG166" s="136"/>
      <c r="DH166" s="136"/>
      <c r="DI166" s="136"/>
      <c r="DJ166" s="136">
        <v>0</v>
      </c>
      <c r="DK166" s="136">
        <v>0</v>
      </c>
      <c r="DL166" s="136"/>
      <c r="DM166" s="136"/>
      <c r="DN166" s="136"/>
      <c r="DO166" s="136">
        <v>-0.1</v>
      </c>
      <c r="DP166" s="136"/>
      <c r="DQ166" s="136"/>
      <c r="DR166" s="136"/>
      <c r="DS166" s="136"/>
      <c r="DT166" s="136"/>
      <c r="DU166" s="136" t="s">
        <v>365</v>
      </c>
      <c r="DW166" s="129">
        <f>SUM(_2025_01_07T12_47_export3[[#This Row],[Ni_wt]:[H_wt]])</f>
        <v>99.801000000000002</v>
      </c>
      <c r="DY166" s="130">
        <f>SUM($AM166:BJ166)</f>
        <v>100.00000000000003</v>
      </c>
    </row>
    <row r="167" spans="1:129" x14ac:dyDescent="0.25">
      <c r="A167" s="129" t="s">
        <v>395</v>
      </c>
      <c r="B167" s="129">
        <v>175</v>
      </c>
      <c r="C167" s="129" t="s">
        <v>379</v>
      </c>
      <c r="D167" s="129">
        <v>2023</v>
      </c>
      <c r="E167" s="129" t="s">
        <v>380</v>
      </c>
      <c r="F167" s="129" t="s">
        <v>381</v>
      </c>
      <c r="G167" s="129" t="s">
        <v>226</v>
      </c>
      <c r="H167" s="129">
        <v>0</v>
      </c>
      <c r="I167" s="129">
        <v>750</v>
      </c>
      <c r="J167" s="129">
        <v>1000</v>
      </c>
      <c r="K167" s="129" t="s">
        <v>55</v>
      </c>
      <c r="L167" s="129" t="s">
        <v>264</v>
      </c>
      <c r="N167" s="129">
        <v>7980000</v>
      </c>
      <c r="O167" s="130">
        <v>10.029999999999999</v>
      </c>
      <c r="P167" s="130">
        <v>16.600000000000001</v>
      </c>
      <c r="Q167" s="130">
        <v>2.0099999999999998</v>
      </c>
      <c r="R167" s="130">
        <v>68.88</v>
      </c>
      <c r="S167" s="130"/>
      <c r="T167" s="130">
        <v>0.56000000000000005</v>
      </c>
      <c r="U167" s="130">
        <v>1.1399999999999999</v>
      </c>
      <c r="V167" s="130"/>
      <c r="W167" s="130"/>
      <c r="X167" s="130"/>
      <c r="Y167" s="130"/>
      <c r="Z167" s="130">
        <v>0.33</v>
      </c>
      <c r="AA167" s="130"/>
      <c r="AB167" s="130"/>
      <c r="AC167" s="130"/>
      <c r="AD167" s="130"/>
      <c r="AE167" s="130"/>
      <c r="AF167" s="130"/>
      <c r="AG167" s="130"/>
      <c r="AH167" s="130"/>
      <c r="AI167" s="130"/>
      <c r="AJ167" s="130"/>
      <c r="AK167" s="130"/>
      <c r="AL167" s="130"/>
      <c r="AM167" s="130">
        <f t="shared" si="50"/>
        <v>9.6019577325472891</v>
      </c>
      <c r="AN167" s="130">
        <f t="shared" si="51"/>
        <v>17.936087370130238</v>
      </c>
      <c r="AO167" s="130">
        <f t="shared" si="52"/>
        <v>1.1768707920004398</v>
      </c>
      <c r="AP167" s="130">
        <f t="shared" si="53"/>
        <v>69.293568507337511</v>
      </c>
      <c r="AQ167" s="130">
        <f t="shared" si="54"/>
        <v>0</v>
      </c>
      <c r="AR167" s="130">
        <f t="shared" si="55"/>
        <v>0.53391798746132602</v>
      </c>
      <c r="AS167" s="130">
        <f t="shared" si="56"/>
        <v>1.1658405657226509</v>
      </c>
      <c r="AT167" s="130">
        <f t="shared" si="57"/>
        <v>0</v>
      </c>
      <c r="AU167" s="130">
        <f t="shared" si="58"/>
        <v>0</v>
      </c>
      <c r="AV167" s="130">
        <f t="shared" si="59"/>
        <v>0</v>
      </c>
      <c r="AW167" s="130">
        <f t="shared" si="60"/>
        <v>0</v>
      </c>
      <c r="AX167" s="130">
        <f t="shared" si="61"/>
        <v>0.29175704480054121</v>
      </c>
      <c r="AY167" s="130">
        <f t="shared" si="62"/>
        <v>0</v>
      </c>
      <c r="AZ167" s="130">
        <f t="shared" si="63"/>
        <v>0</v>
      </c>
      <c r="BA167" s="130">
        <f t="shared" si="64"/>
        <v>0</v>
      </c>
      <c r="BB167" s="130">
        <f t="shared" si="65"/>
        <v>0</v>
      </c>
      <c r="BC167" s="130">
        <f t="shared" si="66"/>
        <v>0</v>
      </c>
      <c r="BD167" s="130">
        <f t="shared" si="67"/>
        <v>0</v>
      </c>
      <c r="BE167" s="130">
        <f t="shared" si="68"/>
        <v>0</v>
      </c>
      <c r="BF167" s="130">
        <f t="shared" si="69"/>
        <v>0</v>
      </c>
      <c r="BG167" s="130">
        <f t="shared" si="70"/>
        <v>0</v>
      </c>
      <c r="BH167" s="130">
        <f t="shared" si="71"/>
        <v>0</v>
      </c>
      <c r="BI167" s="130">
        <f t="shared" si="72"/>
        <v>0</v>
      </c>
      <c r="BJ167" s="130">
        <f t="shared" si="73"/>
        <v>0</v>
      </c>
      <c r="BK167" s="130">
        <f t="shared" si="74"/>
        <v>-135.32117352499264</v>
      </c>
      <c r="BL167" s="130">
        <f>IF($K167=$L167,$BK167,IF(OR($K167="graphite",$K167="vitreous carbon"),$BK$406+($BM$389+$I167)*$BJ$406,IF($K167="Pyrolytic Boron Nitride","PBN",IF(COUNTIF($BH$396:$BH$416,$K167)&gt;0,VLOOKUP($K167,$BH$396:$BK$416,4,FALSE)+($BM$389+$I167)*VLOOKUP($K167,$BH$396:$BK$416,3,FALSE),IF(COUNTIF($L$2:$L166,$K167)&gt;0,VLOOKUP($K167,$L$2:$BK166,52,FALSE),"idk")))))</f>
        <v>-113.97577374311049</v>
      </c>
      <c r="BM167" s="130">
        <v>12.7</v>
      </c>
      <c r="BN167" s="130">
        <v>6.35</v>
      </c>
      <c r="BO167" s="130">
        <v>1.6</v>
      </c>
      <c r="BP167" s="129" t="s">
        <v>228</v>
      </c>
      <c r="BQ167" s="129"/>
      <c r="BR167" s="129" t="s">
        <v>230</v>
      </c>
      <c r="BS167" s="129"/>
      <c r="BT167" s="129">
        <v>0</v>
      </c>
      <c r="BV167" s="129"/>
      <c r="BZ167" s="129"/>
      <c r="DJ167" s="129">
        <v>0</v>
      </c>
      <c r="DK167" s="129">
        <v>0</v>
      </c>
      <c r="DL167" s="129"/>
      <c r="DM167" s="129">
        <v>-65</v>
      </c>
      <c r="DO167" s="129">
        <v>-4.13</v>
      </c>
      <c r="DQ167" s="129">
        <v>1372560</v>
      </c>
      <c r="DS167" s="129">
        <v>1</v>
      </c>
      <c r="DT167" s="4" t="s">
        <v>383</v>
      </c>
      <c r="DU167" s="129" t="s">
        <v>382</v>
      </c>
      <c r="DW167" s="129">
        <f>SUM(_2025_01_07T12_47_export3[[#This Row],[Ni_wt]:[H_wt]])</f>
        <v>99.55</v>
      </c>
      <c r="DY167" s="130">
        <f>SUM($AM167:BJ167)</f>
        <v>100</v>
      </c>
    </row>
    <row r="168" spans="1:129" x14ac:dyDescent="0.25">
      <c r="A168" s="129" t="s">
        <v>395</v>
      </c>
      <c r="B168" s="129">
        <v>176</v>
      </c>
      <c r="C168" s="129" t="s">
        <v>379</v>
      </c>
      <c r="D168" s="129">
        <v>2023</v>
      </c>
      <c r="E168" s="129" t="s">
        <v>380</v>
      </c>
      <c r="F168" s="129" t="s">
        <v>381</v>
      </c>
      <c r="G168" s="129" t="s">
        <v>226</v>
      </c>
      <c r="H168" s="129">
        <v>0</v>
      </c>
      <c r="I168" s="129">
        <v>750</v>
      </c>
      <c r="J168" s="129">
        <v>1000</v>
      </c>
      <c r="K168" s="129" t="s">
        <v>55</v>
      </c>
      <c r="L168" s="129" t="s">
        <v>264</v>
      </c>
      <c r="N168" s="129">
        <v>7980000</v>
      </c>
      <c r="O168" s="130">
        <v>10.029999999999999</v>
      </c>
      <c r="P168" s="130">
        <v>16.600000000000001</v>
      </c>
      <c r="Q168" s="130">
        <v>2.0099999999999998</v>
      </c>
      <c r="R168" s="130">
        <v>68.88</v>
      </c>
      <c r="S168" s="130"/>
      <c r="T168" s="130">
        <v>0.56000000000000005</v>
      </c>
      <c r="U168" s="130">
        <v>1.1399999999999999</v>
      </c>
      <c r="V168" s="130"/>
      <c r="W168" s="130"/>
      <c r="X168" s="130"/>
      <c r="Y168" s="130"/>
      <c r="Z168" s="130">
        <v>0.33</v>
      </c>
      <c r="AA168" s="130"/>
      <c r="AB168" s="130"/>
      <c r="AC168" s="130"/>
      <c r="AD168" s="130"/>
      <c r="AE168" s="130"/>
      <c r="AF168" s="130"/>
      <c r="AG168" s="130"/>
      <c r="AH168" s="130"/>
      <c r="AI168" s="130"/>
      <c r="AJ168" s="130"/>
      <c r="AK168" s="130"/>
      <c r="AL168" s="130"/>
      <c r="AM168" s="130">
        <f t="shared" si="50"/>
        <v>9.6019577325472891</v>
      </c>
      <c r="AN168" s="130">
        <f t="shared" si="51"/>
        <v>17.936087370130238</v>
      </c>
      <c r="AO168" s="130">
        <f t="shared" si="52"/>
        <v>1.1768707920004398</v>
      </c>
      <c r="AP168" s="130">
        <f t="shared" si="53"/>
        <v>69.293568507337511</v>
      </c>
      <c r="AQ168" s="130">
        <f t="shared" si="54"/>
        <v>0</v>
      </c>
      <c r="AR168" s="130">
        <f t="shared" si="55"/>
        <v>0.53391798746132602</v>
      </c>
      <c r="AS168" s="130">
        <f t="shared" si="56"/>
        <v>1.1658405657226509</v>
      </c>
      <c r="AT168" s="130">
        <f t="shared" si="57"/>
        <v>0</v>
      </c>
      <c r="AU168" s="130">
        <f t="shared" si="58"/>
        <v>0</v>
      </c>
      <c r="AV168" s="130">
        <f t="shared" si="59"/>
        <v>0</v>
      </c>
      <c r="AW168" s="130">
        <f t="shared" si="60"/>
        <v>0</v>
      </c>
      <c r="AX168" s="130">
        <f t="shared" si="61"/>
        <v>0.29175704480054121</v>
      </c>
      <c r="AY168" s="130">
        <f t="shared" si="62"/>
        <v>0</v>
      </c>
      <c r="AZ168" s="130">
        <f t="shared" si="63"/>
        <v>0</v>
      </c>
      <c r="BA168" s="130">
        <f t="shared" si="64"/>
        <v>0</v>
      </c>
      <c r="BB168" s="130">
        <f t="shared" si="65"/>
        <v>0</v>
      </c>
      <c r="BC168" s="130">
        <f t="shared" si="66"/>
        <v>0</v>
      </c>
      <c r="BD168" s="130">
        <f t="shared" si="67"/>
        <v>0</v>
      </c>
      <c r="BE168" s="130">
        <f t="shared" si="68"/>
        <v>0</v>
      </c>
      <c r="BF168" s="130">
        <f t="shared" si="69"/>
        <v>0</v>
      </c>
      <c r="BG168" s="130">
        <f t="shared" si="70"/>
        <v>0</v>
      </c>
      <c r="BH168" s="130">
        <f t="shared" si="71"/>
        <v>0</v>
      </c>
      <c r="BI168" s="130">
        <f t="shared" si="72"/>
        <v>0</v>
      </c>
      <c r="BJ168" s="130">
        <f t="shared" si="73"/>
        <v>0</v>
      </c>
      <c r="BK168" s="130">
        <f t="shared" si="74"/>
        <v>-135.32117352499264</v>
      </c>
      <c r="BL168" s="130">
        <f>IF($K168=$L168,$BK168,IF(OR($K168="graphite",$K168="vitreous carbon"),$BK$406+($BM$389+$I168)*$BJ$406,IF($K168="Pyrolytic Boron Nitride","PBN",IF(COUNTIF($BH$396:$BH$416,$K168)&gt;0,VLOOKUP($K168,$BH$396:$BK$416,4,FALSE)+($BM$389+$I168)*VLOOKUP($K168,$BH$396:$BK$416,3,FALSE),IF(COUNTIF($L$2:$L167,$K168)&gt;0,VLOOKUP($K168,$L$2:$BK167,52,FALSE),"idk")))))</f>
        <v>-113.97577374311049</v>
      </c>
      <c r="BM168" s="130">
        <v>12.7</v>
      </c>
      <c r="BN168" s="130">
        <v>6.35</v>
      </c>
      <c r="BO168" s="130">
        <v>1.6</v>
      </c>
      <c r="BP168" s="129" t="s">
        <v>228</v>
      </c>
      <c r="BQ168" s="129"/>
      <c r="BR168" s="129" t="s">
        <v>230</v>
      </c>
      <c r="BS168" s="129"/>
      <c r="BT168" s="129">
        <v>0</v>
      </c>
      <c r="BV168" s="129"/>
      <c r="BZ168" s="129"/>
      <c r="DJ168" s="129">
        <v>0</v>
      </c>
      <c r="DK168" s="129">
        <v>0</v>
      </c>
      <c r="DL168" s="129"/>
      <c r="DM168" s="129">
        <v>-30</v>
      </c>
      <c r="DO168" s="129">
        <v>-2.2200000000000002</v>
      </c>
      <c r="DQ168" s="129">
        <v>1372560</v>
      </c>
      <c r="DS168" s="129">
        <v>1</v>
      </c>
      <c r="DU168" s="129" t="s">
        <v>382</v>
      </c>
      <c r="DW168" s="129">
        <f>SUM(_2025_01_07T12_47_export3[[#This Row],[Ni_wt]:[H_wt]])</f>
        <v>99.55</v>
      </c>
      <c r="DY168" s="130">
        <f>SUM($AM168:BJ168)</f>
        <v>100</v>
      </c>
    </row>
    <row r="169" spans="1:129" x14ac:dyDescent="0.25">
      <c r="A169" s="129" t="s">
        <v>396</v>
      </c>
      <c r="B169" s="129">
        <v>177</v>
      </c>
      <c r="C169" s="129" t="s">
        <v>379</v>
      </c>
      <c r="D169" s="129">
        <v>2023</v>
      </c>
      <c r="E169" s="129" t="s">
        <v>380</v>
      </c>
      <c r="F169" s="129" t="s">
        <v>381</v>
      </c>
      <c r="G169" s="129" t="s">
        <v>226</v>
      </c>
      <c r="H169" s="129">
        <v>0</v>
      </c>
      <c r="I169" s="129">
        <v>750</v>
      </c>
      <c r="J169" s="129">
        <v>1000</v>
      </c>
      <c r="K169" s="129" t="s">
        <v>55</v>
      </c>
      <c r="L169" s="129" t="s">
        <v>397</v>
      </c>
      <c r="N169" s="129">
        <v>8030000</v>
      </c>
      <c r="O169" s="130">
        <v>9.18</v>
      </c>
      <c r="P169" s="130">
        <v>16.86</v>
      </c>
      <c r="Q169" s="130">
        <v>0.33</v>
      </c>
      <c r="R169" s="130">
        <v>70.989999999999995</v>
      </c>
      <c r="S169" s="130"/>
      <c r="T169" s="130">
        <v>0.25</v>
      </c>
      <c r="U169" s="130">
        <v>1.49</v>
      </c>
      <c r="V169" s="130"/>
      <c r="W169" s="130">
        <v>0.2</v>
      </c>
      <c r="X169" s="130">
        <v>0.4</v>
      </c>
      <c r="Y169" s="130"/>
      <c r="Z169" s="130"/>
      <c r="AA169" s="130"/>
      <c r="AB169" s="130"/>
      <c r="AC169" s="130"/>
      <c r="AD169" s="130"/>
      <c r="AE169" s="130"/>
      <c r="AF169" s="130"/>
      <c r="AG169" s="130"/>
      <c r="AH169" s="130"/>
      <c r="AI169" s="130"/>
      <c r="AJ169" s="130"/>
      <c r="AK169" s="130"/>
      <c r="AL169" s="130"/>
      <c r="AM169" s="130">
        <f t="shared" si="50"/>
        <v>8.6659003988959018</v>
      </c>
      <c r="AN169" s="130">
        <f t="shared" si="51"/>
        <v>17.963433399892828</v>
      </c>
      <c r="AO169" s="130">
        <f t="shared" si="52"/>
        <v>0.1905280058998986</v>
      </c>
      <c r="AP169" s="130">
        <f t="shared" si="53"/>
        <v>70.422124087924431</v>
      </c>
      <c r="AQ169" s="130">
        <f t="shared" si="54"/>
        <v>0</v>
      </c>
      <c r="AR169" s="130">
        <f t="shared" si="55"/>
        <v>0.23503832803884256</v>
      </c>
      <c r="AS169" s="130">
        <f t="shared" si="56"/>
        <v>1.5025631540065669</v>
      </c>
      <c r="AT169" s="130">
        <f t="shared" si="57"/>
        <v>0</v>
      </c>
      <c r="AU169" s="130">
        <f t="shared" si="58"/>
        <v>0.23147371917825765</v>
      </c>
      <c r="AV169" s="130">
        <f t="shared" si="59"/>
        <v>0.78893890616327467</v>
      </c>
      <c r="AW169" s="130">
        <f t="shared" si="60"/>
        <v>0</v>
      </c>
      <c r="AX169" s="130">
        <f t="shared" si="61"/>
        <v>0</v>
      </c>
      <c r="AY169" s="130">
        <f t="shared" si="62"/>
        <v>0</v>
      </c>
      <c r="AZ169" s="130">
        <f t="shared" si="63"/>
        <v>0</v>
      </c>
      <c r="BA169" s="130">
        <f t="shared" si="64"/>
        <v>0</v>
      </c>
      <c r="BB169" s="130">
        <f t="shared" si="65"/>
        <v>0</v>
      </c>
      <c r="BC169" s="130">
        <f t="shared" si="66"/>
        <v>0</v>
      </c>
      <c r="BD169" s="130">
        <f t="shared" si="67"/>
        <v>0</v>
      </c>
      <c r="BE169" s="130">
        <f t="shared" si="68"/>
        <v>0</v>
      </c>
      <c r="BF169" s="130">
        <f t="shared" si="69"/>
        <v>0</v>
      </c>
      <c r="BG169" s="130">
        <f t="shared" si="70"/>
        <v>0</v>
      </c>
      <c r="BH169" s="130">
        <f t="shared" si="71"/>
        <v>0</v>
      </c>
      <c r="BI169" s="130">
        <f t="shared" si="72"/>
        <v>0</v>
      </c>
      <c r="BJ169" s="130">
        <f t="shared" si="73"/>
        <v>0</v>
      </c>
      <c r="BK169" s="130">
        <f t="shared" si="74"/>
        <v>-136.21292126204736</v>
      </c>
      <c r="BL169" s="130">
        <f>IF($K169=$L169,$BK169,IF(OR($K169="graphite",$K169="vitreous carbon"),$BK$406+($BM$389+$I169)*$BJ$406,IF($K169="Pyrolytic Boron Nitride","PBN",IF(COUNTIF($BH$396:$BH$416,$K169)&gt;0,VLOOKUP($K169,$BH$396:$BK$416,4,FALSE)+($BM$389+$I169)*VLOOKUP($K169,$BH$396:$BK$416,3,FALSE),IF(COUNTIF($L$2:$L168,$K169)&gt;0,VLOOKUP($K169,$L$2:$BK168,52,FALSE),"idk")))))</f>
        <v>-113.97577374311049</v>
      </c>
      <c r="BM169" s="130">
        <v>12.7</v>
      </c>
      <c r="BN169" s="130">
        <v>6.35</v>
      </c>
      <c r="BO169" s="130">
        <v>1.6</v>
      </c>
      <c r="BP169" s="129" t="s">
        <v>228</v>
      </c>
      <c r="BQ169" s="129"/>
      <c r="BR169" s="129" t="s">
        <v>230</v>
      </c>
      <c r="BS169" s="129"/>
      <c r="BT169" s="129">
        <v>0</v>
      </c>
      <c r="BV169" s="129"/>
      <c r="BZ169" s="129"/>
      <c r="DJ169" s="129">
        <v>0</v>
      </c>
      <c r="DK169" s="129">
        <v>0</v>
      </c>
      <c r="DL169" s="129"/>
      <c r="DM169" s="129">
        <v>-60</v>
      </c>
      <c r="DO169" s="129">
        <v>-3.37</v>
      </c>
      <c r="DQ169" s="129">
        <v>1353858</v>
      </c>
      <c r="DS169" s="129">
        <v>1</v>
      </c>
      <c r="DU169" s="129" t="s">
        <v>382</v>
      </c>
      <c r="DW169" s="129">
        <f>SUM(_2025_01_07T12_47_export3[[#This Row],[Ni_wt]:[H_wt]])</f>
        <v>99.699999999999989</v>
      </c>
      <c r="DY169" s="130">
        <f>SUM($AM169:BJ169)</f>
        <v>100</v>
      </c>
    </row>
    <row r="170" spans="1:129" x14ac:dyDescent="0.25">
      <c r="A170" s="238" t="s">
        <v>396</v>
      </c>
      <c r="B170" s="238">
        <v>178</v>
      </c>
      <c r="C170" s="238" t="s">
        <v>379</v>
      </c>
      <c r="D170" s="238">
        <v>2023</v>
      </c>
      <c r="E170" s="238" t="s">
        <v>380</v>
      </c>
      <c r="F170" s="238" t="s">
        <v>381</v>
      </c>
      <c r="G170" s="238" t="s">
        <v>226</v>
      </c>
      <c r="H170" s="238">
        <v>0</v>
      </c>
      <c r="I170" s="238">
        <v>750</v>
      </c>
      <c r="J170" s="238">
        <v>1000</v>
      </c>
      <c r="K170" s="238" t="s">
        <v>55</v>
      </c>
      <c r="L170" s="238" t="s">
        <v>397</v>
      </c>
      <c r="M170" s="238"/>
      <c r="N170" s="238">
        <v>8030000</v>
      </c>
      <c r="O170" s="239">
        <v>9.18</v>
      </c>
      <c r="P170" s="239">
        <v>16.86</v>
      </c>
      <c r="Q170" s="239">
        <v>0.33</v>
      </c>
      <c r="R170" s="239">
        <v>70.989999999999995</v>
      </c>
      <c r="S170" s="239"/>
      <c r="T170" s="239">
        <v>0.25</v>
      </c>
      <c r="U170" s="239">
        <v>1.49</v>
      </c>
      <c r="V170" s="239"/>
      <c r="W170" s="239">
        <v>0.2</v>
      </c>
      <c r="X170" s="239">
        <v>0.4</v>
      </c>
      <c r="Y170" s="239"/>
      <c r="Z170" s="239"/>
      <c r="AA170" s="239"/>
      <c r="AB170" s="239"/>
      <c r="AC170" s="239"/>
      <c r="AD170" s="239"/>
      <c r="AE170" s="239"/>
      <c r="AF170" s="239"/>
      <c r="AG170" s="239"/>
      <c r="AH170" s="239"/>
      <c r="AI170" s="239"/>
      <c r="AJ170" s="239"/>
      <c r="AK170" s="239"/>
      <c r="AL170" s="239"/>
      <c r="AM170" s="239">
        <f t="shared" si="50"/>
        <v>8.6659003988959018</v>
      </c>
      <c r="AN170" s="239">
        <f t="shared" si="51"/>
        <v>17.963433399892828</v>
      </c>
      <c r="AO170" s="239">
        <f t="shared" si="52"/>
        <v>0.1905280058998986</v>
      </c>
      <c r="AP170" s="239">
        <f t="shared" si="53"/>
        <v>70.422124087924431</v>
      </c>
      <c r="AQ170" s="239">
        <f t="shared" si="54"/>
        <v>0</v>
      </c>
      <c r="AR170" s="239">
        <f t="shared" si="55"/>
        <v>0.23503832803884256</v>
      </c>
      <c r="AS170" s="239">
        <f t="shared" si="56"/>
        <v>1.5025631540065669</v>
      </c>
      <c r="AT170" s="239">
        <f t="shared" si="57"/>
        <v>0</v>
      </c>
      <c r="AU170" s="239">
        <f t="shared" si="58"/>
        <v>0.23147371917825765</v>
      </c>
      <c r="AV170" s="239">
        <f t="shared" si="59"/>
        <v>0.78893890616327467</v>
      </c>
      <c r="AW170" s="239">
        <f t="shared" si="60"/>
        <v>0</v>
      </c>
      <c r="AX170" s="239">
        <f t="shared" si="61"/>
        <v>0</v>
      </c>
      <c r="AY170" s="239">
        <f t="shared" si="62"/>
        <v>0</v>
      </c>
      <c r="AZ170" s="239">
        <f t="shared" si="63"/>
        <v>0</v>
      </c>
      <c r="BA170" s="239">
        <f t="shared" si="64"/>
        <v>0</v>
      </c>
      <c r="BB170" s="239">
        <f t="shared" si="65"/>
        <v>0</v>
      </c>
      <c r="BC170" s="239">
        <f t="shared" si="66"/>
        <v>0</v>
      </c>
      <c r="BD170" s="239">
        <f t="shared" si="67"/>
        <v>0</v>
      </c>
      <c r="BE170" s="239">
        <f t="shared" si="68"/>
        <v>0</v>
      </c>
      <c r="BF170" s="239">
        <f t="shared" si="69"/>
        <v>0</v>
      </c>
      <c r="BG170" s="239">
        <f t="shared" si="70"/>
        <v>0</v>
      </c>
      <c r="BH170" s="239">
        <f t="shared" si="71"/>
        <v>0</v>
      </c>
      <c r="BI170" s="239">
        <f t="shared" si="72"/>
        <v>0</v>
      </c>
      <c r="BJ170" s="239">
        <f t="shared" si="73"/>
        <v>0</v>
      </c>
      <c r="BK170" s="239">
        <f t="shared" si="74"/>
        <v>-136.21292126204736</v>
      </c>
      <c r="BL170" s="239">
        <f>IF($K170=$L170,$BK170,IF(OR($K170="graphite",$K170="vitreous carbon"),$BK$406+($BM$389+$I170)*$BJ$406,IF($K170="Pyrolytic Boron Nitride","PBN",IF(COUNTIF($BH$396:$BH$416,$K170)&gt;0,VLOOKUP($K170,$BH$396:$BK$416,4,FALSE)+($BM$389+$I170)*VLOOKUP($K170,$BH$396:$BK$416,3,FALSE),IF(COUNTIF($L$2:$L169,$K170)&gt;0,VLOOKUP($K170,$L$2:$BK169,52,FALSE),"idk")))))</f>
        <v>-113.97577374311049</v>
      </c>
      <c r="BM170" s="239">
        <v>12.7</v>
      </c>
      <c r="BN170" s="239">
        <v>6.35</v>
      </c>
      <c r="BO170" s="239">
        <v>1.6</v>
      </c>
      <c r="BP170" s="238" t="s">
        <v>228</v>
      </c>
      <c r="BQ170" s="238"/>
      <c r="BR170" s="238" t="s">
        <v>230</v>
      </c>
      <c r="BS170" s="238"/>
      <c r="BT170" s="238">
        <v>0</v>
      </c>
      <c r="BU170" s="238"/>
      <c r="BV170" s="238"/>
      <c r="BW170" s="238"/>
      <c r="BX170" s="238"/>
      <c r="BY170" s="238"/>
      <c r="BZ170" s="238"/>
      <c r="CA170" s="238"/>
      <c r="CB170" s="238"/>
      <c r="CC170" s="238"/>
      <c r="CD170" s="238"/>
      <c r="CE170" s="238"/>
      <c r="CF170" s="238"/>
      <c r="CG170" s="238"/>
      <c r="CH170" s="238"/>
      <c r="CI170" s="238"/>
      <c r="CJ170" s="238"/>
      <c r="CK170" s="238"/>
      <c r="CL170" s="238"/>
      <c r="CM170" s="238"/>
      <c r="CN170" s="238"/>
      <c r="CO170" s="238"/>
      <c r="CP170" s="238"/>
      <c r="CQ170" s="238"/>
      <c r="CR170" s="238"/>
      <c r="CS170" s="238"/>
      <c r="CT170" s="238"/>
      <c r="CU170" s="238"/>
      <c r="CV170" s="238"/>
      <c r="CW170" s="238"/>
      <c r="CX170" s="238"/>
      <c r="CY170" s="238"/>
      <c r="CZ170" s="238"/>
      <c r="DA170" s="238"/>
      <c r="DB170" s="238"/>
      <c r="DC170" s="238"/>
      <c r="DD170" s="238"/>
      <c r="DE170" s="238"/>
      <c r="DF170" s="238"/>
      <c r="DG170" s="238"/>
      <c r="DH170" s="238"/>
      <c r="DI170" s="238"/>
      <c r="DJ170" s="238">
        <v>0</v>
      </c>
      <c r="DK170" s="238">
        <v>0</v>
      </c>
      <c r="DL170" s="238"/>
      <c r="DM170" s="238">
        <v>-72</v>
      </c>
      <c r="DN170" s="238"/>
      <c r="DO170" s="238">
        <v>-3.75</v>
      </c>
      <c r="DP170" s="238"/>
      <c r="DQ170" s="238">
        <v>1353858</v>
      </c>
      <c r="DR170" s="238"/>
      <c r="DS170" s="238">
        <v>1</v>
      </c>
      <c r="DT170" s="238"/>
      <c r="DU170" s="238" t="s">
        <v>382</v>
      </c>
      <c r="DW170" s="129">
        <f>SUM(_2025_01_07T12_47_export3[[#This Row],[Ni_wt]:[H_wt]])</f>
        <v>99.699999999999989</v>
      </c>
      <c r="DY170" s="130">
        <f>SUM($AM170:BJ170)</f>
        <v>100</v>
      </c>
    </row>
    <row r="171" spans="1:129" x14ac:dyDescent="0.25">
      <c r="A171" s="129" t="s">
        <v>393</v>
      </c>
      <c r="B171" s="129">
        <v>179</v>
      </c>
      <c r="C171" s="129" t="s">
        <v>379</v>
      </c>
      <c r="D171" s="129">
        <v>2023</v>
      </c>
      <c r="E171" s="129" t="s">
        <v>380</v>
      </c>
      <c r="F171" s="129" t="s">
        <v>381</v>
      </c>
      <c r="G171" s="129" t="s">
        <v>226</v>
      </c>
      <c r="H171" s="129">
        <v>0</v>
      </c>
      <c r="I171" s="129">
        <v>750</v>
      </c>
      <c r="J171" s="129">
        <v>1000</v>
      </c>
      <c r="K171" s="129" t="s">
        <v>55</v>
      </c>
      <c r="L171" s="129" t="s">
        <v>312</v>
      </c>
      <c r="N171" s="129">
        <v>8470000</v>
      </c>
      <c r="O171" s="130">
        <v>73.02</v>
      </c>
      <c r="P171" s="130">
        <v>16.399999999999999</v>
      </c>
      <c r="Q171" s="130"/>
      <c r="R171" s="130">
        <v>9.6</v>
      </c>
      <c r="S171" s="130"/>
      <c r="T171" s="130"/>
      <c r="U171" s="130">
        <v>0.33</v>
      </c>
      <c r="V171" s="130"/>
      <c r="W171" s="130"/>
      <c r="X171" s="130"/>
      <c r="Y171" s="130"/>
      <c r="Z171" s="130">
        <v>0.1</v>
      </c>
      <c r="AA171" s="130"/>
      <c r="AB171" s="130"/>
      <c r="AC171" s="130"/>
      <c r="AD171" s="130"/>
      <c r="AE171" s="130"/>
      <c r="AF171" s="130"/>
      <c r="AG171" s="130"/>
      <c r="AH171" s="130"/>
      <c r="AI171" s="130"/>
      <c r="AJ171" s="130"/>
      <c r="AK171" s="130"/>
      <c r="AL171" s="130"/>
      <c r="AM171" s="130">
        <f t="shared" si="50"/>
        <v>71.544070960608138</v>
      </c>
      <c r="AN171" s="130">
        <f t="shared" si="51"/>
        <v>18.135788141478809</v>
      </c>
      <c r="AO171" s="130">
        <f t="shared" si="52"/>
        <v>0</v>
      </c>
      <c r="AP171" s="130">
        <f t="shared" si="53"/>
        <v>9.8842559995482464</v>
      </c>
      <c r="AQ171" s="130">
        <f t="shared" si="54"/>
        <v>0</v>
      </c>
      <c r="AR171" s="130">
        <f t="shared" si="55"/>
        <v>0</v>
      </c>
      <c r="AS171" s="130">
        <f t="shared" si="56"/>
        <v>0.34539911001333645</v>
      </c>
      <c r="AT171" s="130">
        <f t="shared" si="57"/>
        <v>0</v>
      </c>
      <c r="AU171" s="130">
        <f t="shared" si="58"/>
        <v>0</v>
      </c>
      <c r="AV171" s="130">
        <f t="shared" si="59"/>
        <v>0</v>
      </c>
      <c r="AW171" s="130">
        <f t="shared" si="60"/>
        <v>0</v>
      </c>
      <c r="AX171" s="130">
        <f t="shared" si="61"/>
        <v>9.0485788351489918E-2</v>
      </c>
      <c r="AY171" s="130">
        <f t="shared" si="62"/>
        <v>0</v>
      </c>
      <c r="AZ171" s="130">
        <f t="shared" si="63"/>
        <v>0</v>
      </c>
      <c r="BA171" s="130">
        <f t="shared" si="64"/>
        <v>0</v>
      </c>
      <c r="BB171" s="130">
        <f t="shared" si="65"/>
        <v>0</v>
      </c>
      <c r="BC171" s="130">
        <f t="shared" si="66"/>
        <v>0</v>
      </c>
      <c r="BD171" s="130">
        <f t="shared" si="67"/>
        <v>0</v>
      </c>
      <c r="BE171" s="130">
        <f t="shared" si="68"/>
        <v>0</v>
      </c>
      <c r="BF171" s="130">
        <f t="shared" si="69"/>
        <v>0</v>
      </c>
      <c r="BG171" s="130">
        <f t="shared" si="70"/>
        <v>0</v>
      </c>
      <c r="BH171" s="130">
        <f t="shared" si="71"/>
        <v>0</v>
      </c>
      <c r="BI171" s="130">
        <f t="shared" si="72"/>
        <v>0</v>
      </c>
      <c r="BJ171" s="130">
        <f t="shared" si="73"/>
        <v>0</v>
      </c>
      <c r="BK171" s="130">
        <f t="shared" si="74"/>
        <v>-126.58354566861037</v>
      </c>
      <c r="BL171" s="130">
        <f>IF($K171=$L171,$BK171,IF(OR($K171="graphite",$K171="vitreous carbon"),$BK$406+($BM$389+$I171)*$BJ$406,IF($K171="Pyrolytic Boron Nitride","PBN",IF(COUNTIF($BH$396:$BH$416,$K171)&gt;0,VLOOKUP($K171,$BH$396:$BK$416,4,FALSE)+($BM$389+$I171)*VLOOKUP($K171,$BH$396:$BK$416,3,FALSE),IF(COUNTIF($L$2:$L170,$K171)&gt;0,VLOOKUP($K171,$L$2:$BK170,52,FALSE),"idk")))))</f>
        <v>-113.97577374311049</v>
      </c>
      <c r="BM171" s="130">
        <v>12.7</v>
      </c>
      <c r="BN171" s="130">
        <v>6.35</v>
      </c>
      <c r="BO171" s="130">
        <v>1.6</v>
      </c>
      <c r="BP171" s="129" t="s">
        <v>228</v>
      </c>
      <c r="BQ171" s="129"/>
      <c r="BR171" s="129" t="s">
        <v>230</v>
      </c>
      <c r="BS171" s="129"/>
      <c r="BT171" s="129">
        <v>0</v>
      </c>
      <c r="BV171" s="129"/>
      <c r="BZ171" s="129"/>
      <c r="DJ171" s="129">
        <v>0</v>
      </c>
      <c r="DK171" s="129">
        <v>0</v>
      </c>
      <c r="DL171" s="129"/>
      <c r="DM171" s="129">
        <v>-40</v>
      </c>
      <c r="DO171" s="129">
        <v>-0.44</v>
      </c>
      <c r="DQ171" s="129">
        <v>1389080</v>
      </c>
      <c r="DS171" s="129">
        <v>1</v>
      </c>
      <c r="DU171" s="129" t="s">
        <v>382</v>
      </c>
      <c r="DW171" s="129">
        <f>SUM(_2025_01_07T12_47_export3[[#This Row],[Ni_wt]:[H_wt]])</f>
        <v>99.449999999999974</v>
      </c>
      <c r="DY171" s="130">
        <f>SUM($AM171:BJ171)</f>
        <v>100.00000000000001</v>
      </c>
    </row>
    <row r="172" spans="1:129" x14ac:dyDescent="0.25">
      <c r="A172" s="129" t="s">
        <v>393</v>
      </c>
      <c r="B172" s="129">
        <v>180</v>
      </c>
      <c r="C172" s="129" t="s">
        <v>379</v>
      </c>
      <c r="D172" s="129">
        <v>2023</v>
      </c>
      <c r="E172" s="129" t="s">
        <v>380</v>
      </c>
      <c r="F172" s="129" t="s">
        <v>381</v>
      </c>
      <c r="G172" s="129" t="s">
        <v>226</v>
      </c>
      <c r="H172" s="129">
        <v>0</v>
      </c>
      <c r="I172" s="129">
        <v>750</v>
      </c>
      <c r="J172" s="129">
        <v>1000</v>
      </c>
      <c r="K172" s="129" t="s">
        <v>55</v>
      </c>
      <c r="L172" s="129" t="s">
        <v>312</v>
      </c>
      <c r="N172" s="129">
        <v>8470000</v>
      </c>
      <c r="O172" s="130">
        <v>73.02</v>
      </c>
      <c r="P172" s="130">
        <v>16.399999999999999</v>
      </c>
      <c r="Q172" s="130"/>
      <c r="R172" s="130">
        <v>9.6</v>
      </c>
      <c r="S172" s="130"/>
      <c r="T172" s="130"/>
      <c r="U172" s="130">
        <v>0.33</v>
      </c>
      <c r="V172" s="130"/>
      <c r="W172" s="130"/>
      <c r="X172" s="130"/>
      <c r="Y172" s="130"/>
      <c r="Z172" s="130">
        <v>0.1</v>
      </c>
      <c r="AA172" s="130"/>
      <c r="AB172" s="130"/>
      <c r="AC172" s="130"/>
      <c r="AD172" s="130"/>
      <c r="AE172" s="130"/>
      <c r="AF172" s="130"/>
      <c r="AG172" s="130"/>
      <c r="AH172" s="130"/>
      <c r="AI172" s="130"/>
      <c r="AJ172" s="130"/>
      <c r="AK172" s="130"/>
      <c r="AL172" s="130"/>
      <c r="AM172" s="130">
        <f t="shared" si="50"/>
        <v>71.544070960608138</v>
      </c>
      <c r="AN172" s="130">
        <f t="shared" si="51"/>
        <v>18.135788141478809</v>
      </c>
      <c r="AO172" s="130">
        <f t="shared" si="52"/>
        <v>0</v>
      </c>
      <c r="AP172" s="130">
        <f t="shared" si="53"/>
        <v>9.8842559995482464</v>
      </c>
      <c r="AQ172" s="130">
        <f t="shared" si="54"/>
        <v>0</v>
      </c>
      <c r="AR172" s="130">
        <f t="shared" si="55"/>
        <v>0</v>
      </c>
      <c r="AS172" s="130">
        <f t="shared" si="56"/>
        <v>0.34539911001333645</v>
      </c>
      <c r="AT172" s="130">
        <f t="shared" si="57"/>
        <v>0</v>
      </c>
      <c r="AU172" s="130">
        <f t="shared" si="58"/>
        <v>0</v>
      </c>
      <c r="AV172" s="130">
        <f t="shared" si="59"/>
        <v>0</v>
      </c>
      <c r="AW172" s="130">
        <f t="shared" si="60"/>
        <v>0</v>
      </c>
      <c r="AX172" s="130">
        <f t="shared" si="61"/>
        <v>9.0485788351489918E-2</v>
      </c>
      <c r="AY172" s="130">
        <f t="shared" si="62"/>
        <v>0</v>
      </c>
      <c r="AZ172" s="130">
        <f t="shared" si="63"/>
        <v>0</v>
      </c>
      <c r="BA172" s="130">
        <f t="shared" si="64"/>
        <v>0</v>
      </c>
      <c r="BB172" s="130">
        <f t="shared" si="65"/>
        <v>0</v>
      </c>
      <c r="BC172" s="130">
        <f t="shared" si="66"/>
        <v>0</v>
      </c>
      <c r="BD172" s="130">
        <f t="shared" si="67"/>
        <v>0</v>
      </c>
      <c r="BE172" s="130">
        <f t="shared" si="68"/>
        <v>0</v>
      </c>
      <c r="BF172" s="130">
        <f t="shared" si="69"/>
        <v>0</v>
      </c>
      <c r="BG172" s="130">
        <f t="shared" si="70"/>
        <v>0</v>
      </c>
      <c r="BH172" s="130">
        <f t="shared" si="71"/>
        <v>0</v>
      </c>
      <c r="BI172" s="130">
        <f t="shared" si="72"/>
        <v>0</v>
      </c>
      <c r="BJ172" s="130">
        <f t="shared" si="73"/>
        <v>0</v>
      </c>
      <c r="BK172" s="130">
        <f t="shared" si="74"/>
        <v>-126.58354566861037</v>
      </c>
      <c r="BL172" s="130">
        <f>IF($K172=$L172,$BK172,IF(OR($K172="graphite",$K172="vitreous carbon"),$BK$406+($BM$389+$I172)*$BJ$406,IF($K172="Pyrolytic Boron Nitride","PBN",IF(COUNTIF($BH$396:$BH$416,$K172)&gt;0,VLOOKUP($K172,$BH$396:$BK$416,4,FALSE)+($BM$389+$I172)*VLOOKUP($K172,$BH$396:$BK$416,3,FALSE),IF(COUNTIF($L$2:$L171,$K172)&gt;0,VLOOKUP($K172,$L$2:$BK171,52,FALSE),"idk")))))</f>
        <v>-113.97577374311049</v>
      </c>
      <c r="BM172" s="130">
        <v>12.7</v>
      </c>
      <c r="BN172" s="130">
        <v>6.35</v>
      </c>
      <c r="BO172" s="130">
        <v>1.6</v>
      </c>
      <c r="BP172" s="129" t="s">
        <v>228</v>
      </c>
      <c r="BQ172" s="129"/>
      <c r="BR172" s="129" t="s">
        <v>230</v>
      </c>
      <c r="BS172" s="129"/>
      <c r="BT172" s="129">
        <v>0</v>
      </c>
      <c r="BV172" s="129"/>
      <c r="BZ172" s="129"/>
      <c r="DJ172" s="129">
        <v>0</v>
      </c>
      <c r="DK172" s="129">
        <v>0</v>
      </c>
      <c r="DL172" s="129"/>
      <c r="DM172" s="129">
        <v>-50</v>
      </c>
      <c r="DO172" s="129">
        <v>-0.82</v>
      </c>
      <c r="DQ172" s="129">
        <v>1389080</v>
      </c>
      <c r="DS172" s="129">
        <v>1</v>
      </c>
      <c r="DU172" s="129" t="s">
        <v>382</v>
      </c>
      <c r="DW172" s="129">
        <f>SUM(_2025_01_07T12_47_export3[[#This Row],[Ni_wt]:[H_wt]])</f>
        <v>99.449999999999974</v>
      </c>
      <c r="DY172" s="130">
        <f>SUM($AM172:BJ172)</f>
        <v>100.00000000000001</v>
      </c>
    </row>
    <row r="173" spans="1:129" x14ac:dyDescent="0.25">
      <c r="A173" s="129" t="s">
        <v>392</v>
      </c>
      <c r="B173" s="129">
        <v>181</v>
      </c>
      <c r="C173" s="129" t="s">
        <v>379</v>
      </c>
      <c r="D173" s="129">
        <v>2023</v>
      </c>
      <c r="E173" s="129" t="s">
        <v>380</v>
      </c>
      <c r="F173" s="129" t="s">
        <v>381</v>
      </c>
      <c r="G173" s="129" t="s">
        <v>226</v>
      </c>
      <c r="H173" s="129">
        <v>0</v>
      </c>
      <c r="I173" s="129">
        <v>750</v>
      </c>
      <c r="J173" s="129">
        <v>1000</v>
      </c>
      <c r="K173" s="129" t="s">
        <v>55</v>
      </c>
      <c r="L173" s="129" t="s">
        <v>374</v>
      </c>
      <c r="N173" s="129">
        <v>8360000</v>
      </c>
      <c r="O173" s="130">
        <v>56.9</v>
      </c>
      <c r="P173" s="130">
        <v>19.559999999999999</v>
      </c>
      <c r="Q173" s="130">
        <v>8.73</v>
      </c>
      <c r="R173" s="130">
        <v>0.39</v>
      </c>
      <c r="S173" s="130"/>
      <c r="T173" s="130">
        <v>12.7</v>
      </c>
      <c r="U173" s="130">
        <v>0.17</v>
      </c>
      <c r="V173" s="130">
        <v>1.1000000000000001</v>
      </c>
      <c r="W173" s="130">
        <v>0.2</v>
      </c>
      <c r="X173" s="130"/>
      <c r="Y173" s="130"/>
      <c r="Z173" s="130">
        <v>0.15</v>
      </c>
      <c r="AA173" s="130"/>
      <c r="AB173" s="130"/>
      <c r="AC173" s="130"/>
      <c r="AD173" s="130"/>
      <c r="AE173" s="130"/>
      <c r="AF173" s="130"/>
      <c r="AG173" s="130"/>
      <c r="AH173" s="130"/>
      <c r="AI173" s="130"/>
      <c r="AJ173" s="130"/>
      <c r="AK173" s="130"/>
      <c r="AL173" s="130"/>
      <c r="AM173" s="130">
        <f t="shared" si="50"/>
        <v>56.711655065979365</v>
      </c>
      <c r="AN173" s="130">
        <f t="shared" si="51"/>
        <v>22.003393815291588</v>
      </c>
      <c r="AO173" s="130">
        <f t="shared" si="52"/>
        <v>5.3216728086631244</v>
      </c>
      <c r="AP173" s="130">
        <f t="shared" si="53"/>
        <v>0.40847510639083412</v>
      </c>
      <c r="AQ173" s="130">
        <f t="shared" si="54"/>
        <v>0</v>
      </c>
      <c r="AR173" s="130">
        <f t="shared" si="55"/>
        <v>12.606410499527327</v>
      </c>
      <c r="AS173" s="130">
        <f t="shared" si="56"/>
        <v>0.18100244078051467</v>
      </c>
      <c r="AT173" s="130">
        <f t="shared" si="57"/>
        <v>2.3849259813651993</v>
      </c>
      <c r="AU173" s="130">
        <f t="shared" si="58"/>
        <v>0.24439410895885857</v>
      </c>
      <c r="AV173" s="130">
        <f t="shared" si="59"/>
        <v>0</v>
      </c>
      <c r="AW173" s="130">
        <f t="shared" si="60"/>
        <v>0</v>
      </c>
      <c r="AX173" s="130">
        <f t="shared" si="61"/>
        <v>0.13807017304320091</v>
      </c>
      <c r="AY173" s="130">
        <f t="shared" si="62"/>
        <v>0</v>
      </c>
      <c r="AZ173" s="130">
        <f t="shared" si="63"/>
        <v>0</v>
      </c>
      <c r="BA173" s="130">
        <f t="shared" si="64"/>
        <v>0</v>
      </c>
      <c r="BB173" s="130">
        <f t="shared" si="65"/>
        <v>0</v>
      </c>
      <c r="BC173" s="130">
        <f t="shared" si="66"/>
        <v>0</v>
      </c>
      <c r="BD173" s="130">
        <f t="shared" si="67"/>
        <v>0</v>
      </c>
      <c r="BE173" s="130">
        <f t="shared" si="68"/>
        <v>0</v>
      </c>
      <c r="BF173" s="130">
        <f t="shared" si="69"/>
        <v>0</v>
      </c>
      <c r="BG173" s="130">
        <f t="shared" si="70"/>
        <v>0</v>
      </c>
      <c r="BH173" s="130">
        <f t="shared" si="71"/>
        <v>0</v>
      </c>
      <c r="BI173" s="130">
        <f t="shared" si="72"/>
        <v>0</v>
      </c>
      <c r="BJ173" s="130">
        <f t="shared" si="73"/>
        <v>0</v>
      </c>
      <c r="BK173" s="130">
        <f t="shared" si="74"/>
        <v>-127.82013661316495</v>
      </c>
      <c r="BL173" s="130">
        <f>IF($K173=$L173,$BK173,IF(OR($K173="graphite",$K173="vitreous carbon"),$BK$406+($BM$389+$I173)*$BJ$406,IF($K173="Pyrolytic Boron Nitride","PBN",IF(COUNTIF($BH$396:$BH$416,$K173)&gt;0,VLOOKUP($K173,$BH$396:$BK$416,4,FALSE)+($BM$389+$I173)*VLOOKUP($K173,$BH$396:$BK$416,3,FALSE),IF(COUNTIF($L$2:$L172,$K173)&gt;0,VLOOKUP($K173,$L$2:$BK172,52,FALSE),"idk")))))</f>
        <v>-113.97577374311049</v>
      </c>
      <c r="BM173" s="130">
        <v>12.7</v>
      </c>
      <c r="BN173" s="130">
        <v>6.35</v>
      </c>
      <c r="BO173" s="130">
        <v>1.6</v>
      </c>
      <c r="BP173" s="129" t="s">
        <v>228</v>
      </c>
      <c r="BQ173" s="129"/>
      <c r="BR173" s="129" t="s">
        <v>230</v>
      </c>
      <c r="BS173" s="129"/>
      <c r="BT173" s="129">
        <v>0</v>
      </c>
      <c r="BV173" s="129"/>
      <c r="BZ173" s="129"/>
      <c r="DJ173" s="129">
        <v>0</v>
      </c>
      <c r="DK173" s="129">
        <v>0</v>
      </c>
      <c r="DL173" s="129"/>
      <c r="DM173" s="129">
        <v>-10.199999999999999</v>
      </c>
      <c r="DO173" s="129">
        <v>-1.91</v>
      </c>
      <c r="DQ173" s="129">
        <v>1635216</v>
      </c>
      <c r="DS173" s="129">
        <v>1</v>
      </c>
      <c r="DU173" s="129" t="s">
        <v>382</v>
      </c>
      <c r="DW173" s="129">
        <f>SUM(_2025_01_07T12_47_export3[[#This Row],[Ni_wt]:[H_wt]])</f>
        <v>99.9</v>
      </c>
      <c r="DY173" s="130">
        <f>SUM($AM173:BJ173)</f>
        <v>100.00000000000001</v>
      </c>
    </row>
    <row r="174" spans="1:129" x14ac:dyDescent="0.25">
      <c r="A174" s="129" t="s">
        <v>392</v>
      </c>
      <c r="B174" s="129">
        <v>182</v>
      </c>
      <c r="C174" s="129" t="s">
        <v>379</v>
      </c>
      <c r="D174" s="129">
        <v>2023</v>
      </c>
      <c r="E174" s="129" t="s">
        <v>380</v>
      </c>
      <c r="F174" s="129" t="s">
        <v>381</v>
      </c>
      <c r="G174" s="129" t="s">
        <v>226</v>
      </c>
      <c r="H174" s="129">
        <v>0</v>
      </c>
      <c r="I174" s="129">
        <v>750</v>
      </c>
      <c r="J174" s="129">
        <v>1000</v>
      </c>
      <c r="K174" s="129" t="s">
        <v>55</v>
      </c>
      <c r="L174" s="129" t="s">
        <v>374</v>
      </c>
      <c r="N174" s="129">
        <v>8360000</v>
      </c>
      <c r="O174" s="130">
        <v>56.9</v>
      </c>
      <c r="P174" s="130">
        <v>19.559999999999999</v>
      </c>
      <c r="Q174" s="130">
        <v>8.73</v>
      </c>
      <c r="R174" s="130">
        <v>0.39</v>
      </c>
      <c r="S174" s="130"/>
      <c r="T174" s="130">
        <v>12.7</v>
      </c>
      <c r="U174" s="130">
        <v>0.17</v>
      </c>
      <c r="V174" s="130">
        <v>1.1000000000000001</v>
      </c>
      <c r="W174" s="130">
        <v>0.2</v>
      </c>
      <c r="X174" s="130"/>
      <c r="Y174" s="130"/>
      <c r="Z174" s="130">
        <v>0.15</v>
      </c>
      <c r="AA174" s="130"/>
      <c r="AB174" s="130"/>
      <c r="AC174" s="130"/>
      <c r="AD174" s="130"/>
      <c r="AE174" s="130"/>
      <c r="AF174" s="130"/>
      <c r="AG174" s="130"/>
      <c r="AH174" s="130"/>
      <c r="AI174" s="130"/>
      <c r="AJ174" s="130"/>
      <c r="AK174" s="130"/>
      <c r="AL174" s="130"/>
      <c r="AM174" s="130">
        <f t="shared" si="50"/>
        <v>56.711655065979365</v>
      </c>
      <c r="AN174" s="130">
        <f t="shared" si="51"/>
        <v>22.003393815291588</v>
      </c>
      <c r="AO174" s="130">
        <f t="shared" si="52"/>
        <v>5.3216728086631244</v>
      </c>
      <c r="AP174" s="130">
        <f t="shared" si="53"/>
        <v>0.40847510639083412</v>
      </c>
      <c r="AQ174" s="130">
        <f t="shared" si="54"/>
        <v>0</v>
      </c>
      <c r="AR174" s="130">
        <f t="shared" si="55"/>
        <v>12.606410499527327</v>
      </c>
      <c r="AS174" s="130">
        <f t="shared" si="56"/>
        <v>0.18100244078051467</v>
      </c>
      <c r="AT174" s="130">
        <f t="shared" si="57"/>
        <v>2.3849259813651993</v>
      </c>
      <c r="AU174" s="130">
        <f t="shared" si="58"/>
        <v>0.24439410895885857</v>
      </c>
      <c r="AV174" s="130">
        <f t="shared" si="59"/>
        <v>0</v>
      </c>
      <c r="AW174" s="130">
        <f t="shared" si="60"/>
        <v>0</v>
      </c>
      <c r="AX174" s="130">
        <f t="shared" si="61"/>
        <v>0.13807017304320091</v>
      </c>
      <c r="AY174" s="130">
        <f t="shared" si="62"/>
        <v>0</v>
      </c>
      <c r="AZ174" s="130">
        <f t="shared" si="63"/>
        <v>0</v>
      </c>
      <c r="BA174" s="130">
        <f t="shared" si="64"/>
        <v>0</v>
      </c>
      <c r="BB174" s="130">
        <f t="shared" si="65"/>
        <v>0</v>
      </c>
      <c r="BC174" s="130">
        <f t="shared" si="66"/>
        <v>0</v>
      </c>
      <c r="BD174" s="130">
        <f t="shared" si="67"/>
        <v>0</v>
      </c>
      <c r="BE174" s="130">
        <f t="shared" si="68"/>
        <v>0</v>
      </c>
      <c r="BF174" s="130">
        <f t="shared" si="69"/>
        <v>0</v>
      </c>
      <c r="BG174" s="130">
        <f t="shared" si="70"/>
        <v>0</v>
      </c>
      <c r="BH174" s="130">
        <f t="shared" si="71"/>
        <v>0</v>
      </c>
      <c r="BI174" s="130">
        <f t="shared" si="72"/>
        <v>0</v>
      </c>
      <c r="BJ174" s="130">
        <f t="shared" si="73"/>
        <v>0</v>
      </c>
      <c r="BK174" s="130">
        <f t="shared" si="74"/>
        <v>-127.82013661316495</v>
      </c>
      <c r="BL174" s="130">
        <f>IF($K174=$L174,$BK174,IF(OR($K174="graphite",$K174="vitreous carbon"),$BK$406+($BM$389+$I174)*$BJ$406,IF($K174="Pyrolytic Boron Nitride","PBN",IF(COUNTIF($BH$396:$BH$416,$K174)&gt;0,VLOOKUP($K174,$BH$396:$BK$416,4,FALSE)+($BM$389+$I174)*VLOOKUP($K174,$BH$396:$BK$416,3,FALSE),IF(COUNTIF($L$2:$L173,$K174)&gt;0,VLOOKUP($K174,$L$2:$BK173,52,FALSE),"idk")))))</f>
        <v>-113.97577374311049</v>
      </c>
      <c r="BM174" s="130">
        <v>12.7</v>
      </c>
      <c r="BN174" s="130">
        <v>6.35</v>
      </c>
      <c r="BO174" s="130">
        <v>1.6</v>
      </c>
      <c r="BP174" s="129" t="s">
        <v>228</v>
      </c>
      <c r="BQ174" s="129"/>
      <c r="BR174" s="129" t="s">
        <v>230</v>
      </c>
      <c r="BS174" s="129"/>
      <c r="BT174" s="129">
        <v>0</v>
      </c>
      <c r="BV174" s="129"/>
      <c r="BZ174" s="129"/>
      <c r="DJ174" s="129">
        <v>0</v>
      </c>
      <c r="DK174" s="129">
        <v>0</v>
      </c>
      <c r="DL174" s="129"/>
      <c r="DM174" s="129">
        <v>-9.1999999999999993</v>
      </c>
      <c r="DO174" s="129">
        <v>-1.1200000000000001</v>
      </c>
      <c r="DQ174" s="129">
        <v>1635216</v>
      </c>
      <c r="DS174" s="129">
        <v>1</v>
      </c>
      <c r="DU174" s="129" t="s">
        <v>382</v>
      </c>
      <c r="DW174" s="129">
        <f>SUM(_2025_01_07T12_47_export3[[#This Row],[Ni_wt]:[H_wt]])</f>
        <v>99.9</v>
      </c>
      <c r="DY174" s="130">
        <f>SUM($AM174:BJ174)</f>
        <v>100.00000000000001</v>
      </c>
    </row>
    <row r="175" spans="1:129" x14ac:dyDescent="0.25">
      <c r="A175" s="129" t="s">
        <v>390</v>
      </c>
      <c r="B175" s="129">
        <v>183</v>
      </c>
      <c r="C175" s="129" t="s">
        <v>379</v>
      </c>
      <c r="D175" s="129">
        <v>2023</v>
      </c>
      <c r="E175" s="129" t="s">
        <v>380</v>
      </c>
      <c r="F175" s="129" t="s">
        <v>381</v>
      </c>
      <c r="G175" s="129" t="s">
        <v>226</v>
      </c>
      <c r="H175" s="129">
        <v>0</v>
      </c>
      <c r="I175" s="129">
        <v>750</v>
      </c>
      <c r="J175" s="129">
        <v>1000</v>
      </c>
      <c r="K175" s="129" t="s">
        <v>55</v>
      </c>
      <c r="L175" s="129" t="s">
        <v>314</v>
      </c>
      <c r="N175" s="129">
        <v>8440000</v>
      </c>
      <c r="O175" s="130">
        <v>60.88</v>
      </c>
      <c r="P175" s="130">
        <v>21.69</v>
      </c>
      <c r="Q175" s="130">
        <v>8.56</v>
      </c>
      <c r="R175" s="130">
        <v>4.97</v>
      </c>
      <c r="S175" s="130">
        <v>0.09</v>
      </c>
      <c r="T175" s="130"/>
      <c r="U175" s="130">
        <v>0.23</v>
      </c>
      <c r="V175" s="130"/>
      <c r="W175" s="130">
        <v>0.19</v>
      </c>
      <c r="X175" s="130">
        <v>0.5</v>
      </c>
      <c r="Y175" s="130"/>
      <c r="Z175" s="130"/>
      <c r="AA175" s="130">
        <v>3.35</v>
      </c>
      <c r="AB175" s="130"/>
      <c r="AC175" s="130"/>
      <c r="AD175" s="130"/>
      <c r="AE175" s="130"/>
      <c r="AF175" s="130"/>
      <c r="AG175" s="130"/>
      <c r="AH175" s="130"/>
      <c r="AI175" s="130"/>
      <c r="AJ175" s="130"/>
      <c r="AK175" s="130"/>
      <c r="AL175" s="130"/>
      <c r="AM175" s="130">
        <f t="shared" si="50"/>
        <v>61.19404014920466</v>
      </c>
      <c r="AN175" s="130">
        <f t="shared" si="51"/>
        <v>24.606780840234084</v>
      </c>
      <c r="AO175" s="130">
        <f t="shared" si="52"/>
        <v>5.2623789417045197</v>
      </c>
      <c r="AP175" s="130">
        <f t="shared" si="53"/>
        <v>5.2496675836738271</v>
      </c>
      <c r="AQ175" s="130">
        <f t="shared" si="54"/>
        <v>2.8886544631594242E-2</v>
      </c>
      <c r="AR175" s="130">
        <f t="shared" si="55"/>
        <v>0</v>
      </c>
      <c r="AS175" s="130">
        <f t="shared" si="56"/>
        <v>0.2469663446499242</v>
      </c>
      <c r="AT175" s="130">
        <f t="shared" si="57"/>
        <v>0</v>
      </c>
      <c r="AU175" s="130">
        <f t="shared" si="58"/>
        <v>0.23414709087680391</v>
      </c>
      <c r="AV175" s="130">
        <f t="shared" si="59"/>
        <v>1.0500666317169063</v>
      </c>
      <c r="AW175" s="130">
        <f t="shared" si="60"/>
        <v>0</v>
      </c>
      <c r="AX175" s="130">
        <f t="shared" si="61"/>
        <v>0</v>
      </c>
      <c r="AY175" s="130">
        <f t="shared" si="62"/>
        <v>2.1270658733076844</v>
      </c>
      <c r="AZ175" s="130">
        <f t="shared" si="63"/>
        <v>0</v>
      </c>
      <c r="BA175" s="130">
        <f t="shared" si="64"/>
        <v>0</v>
      </c>
      <c r="BB175" s="130">
        <f t="shared" si="65"/>
        <v>0</v>
      </c>
      <c r="BC175" s="130">
        <f t="shared" si="66"/>
        <v>0</v>
      </c>
      <c r="BD175" s="130">
        <f t="shared" si="67"/>
        <v>0</v>
      </c>
      <c r="BE175" s="130">
        <f t="shared" si="68"/>
        <v>0</v>
      </c>
      <c r="BF175" s="130">
        <f t="shared" si="69"/>
        <v>0</v>
      </c>
      <c r="BG175" s="130">
        <f t="shared" si="70"/>
        <v>0</v>
      </c>
      <c r="BH175" s="130">
        <f t="shared" si="71"/>
        <v>0</v>
      </c>
      <c r="BI175" s="130">
        <f t="shared" si="72"/>
        <v>0</v>
      </c>
      <c r="BJ175" s="130">
        <f t="shared" si="73"/>
        <v>0</v>
      </c>
      <c r="BK175" s="130">
        <f t="shared" si="74"/>
        <v>-128.54657983767828</v>
      </c>
      <c r="BL175" s="130">
        <f>IF($K175=$L175,$BK175,IF(OR($K175="graphite",$K175="vitreous carbon"),$BK$406+($BM$389+$I175)*$BJ$406,IF($K175="Pyrolytic Boron Nitride","PBN",IF(COUNTIF($BH$396:$BH$416,$K175)&gt;0,VLOOKUP($K175,$BH$396:$BK$416,4,FALSE)+($BM$389+$I175)*VLOOKUP($K175,$BH$396:$BK$416,3,FALSE),IF(COUNTIF($L$2:$L174,$K175)&gt;0,VLOOKUP($K175,$L$2:$BK174,52,FALSE),"idk")))))</f>
        <v>-113.97577374311049</v>
      </c>
      <c r="BM175" s="130">
        <v>12.7</v>
      </c>
      <c r="BN175" s="130">
        <v>6.35</v>
      </c>
      <c r="BO175" s="130">
        <v>1.6</v>
      </c>
      <c r="BP175" s="129" t="s">
        <v>228</v>
      </c>
      <c r="BQ175" s="129"/>
      <c r="BR175" s="129" t="s">
        <v>230</v>
      </c>
      <c r="BS175" s="129"/>
      <c r="BT175" s="129">
        <v>0</v>
      </c>
      <c r="BV175" s="129"/>
      <c r="BZ175" s="129"/>
      <c r="DJ175" s="129">
        <v>0</v>
      </c>
      <c r="DK175" s="129">
        <v>0</v>
      </c>
      <c r="DL175" s="129"/>
      <c r="DM175" s="129">
        <v>-8.1999999999999993</v>
      </c>
      <c r="DO175" s="129">
        <v>-0.78</v>
      </c>
      <c r="DQ175" s="129">
        <v>1830636</v>
      </c>
      <c r="DS175" s="129">
        <v>1</v>
      </c>
      <c r="DU175" s="129" t="s">
        <v>382</v>
      </c>
      <c r="DW175" s="129">
        <f>SUM(_2025_01_07T12_47_export3[[#This Row],[Ni_wt]:[H_wt]])</f>
        <v>100.46000000000001</v>
      </c>
      <c r="DY175" s="130">
        <f>SUM($AM175:BJ175)</f>
        <v>100</v>
      </c>
    </row>
    <row r="176" spans="1:129" x14ac:dyDescent="0.25">
      <c r="A176" s="129" t="s">
        <v>391</v>
      </c>
      <c r="B176" s="129">
        <v>184</v>
      </c>
      <c r="C176" s="129" t="s">
        <v>379</v>
      </c>
      <c r="D176" s="129">
        <v>2023</v>
      </c>
      <c r="E176" s="129" t="s">
        <v>380</v>
      </c>
      <c r="F176" s="129" t="s">
        <v>381</v>
      </c>
      <c r="G176" s="129" t="s">
        <v>226</v>
      </c>
      <c r="H176" s="129">
        <v>0</v>
      </c>
      <c r="I176" s="129">
        <v>750</v>
      </c>
      <c r="J176" s="129">
        <v>1000</v>
      </c>
      <c r="K176" s="129" t="s">
        <v>55</v>
      </c>
      <c r="L176" s="129" t="s">
        <v>314</v>
      </c>
      <c r="N176" s="129">
        <v>8440000</v>
      </c>
      <c r="O176" s="130">
        <v>60.88</v>
      </c>
      <c r="P176" s="130">
        <v>21.69</v>
      </c>
      <c r="Q176" s="130">
        <v>8.56</v>
      </c>
      <c r="R176" s="130">
        <v>4.97</v>
      </c>
      <c r="S176" s="130">
        <v>0.09</v>
      </c>
      <c r="T176" s="130"/>
      <c r="U176" s="130">
        <v>0.23</v>
      </c>
      <c r="V176" s="130"/>
      <c r="W176" s="130">
        <v>0.19</v>
      </c>
      <c r="X176" s="130">
        <v>0.5</v>
      </c>
      <c r="Y176" s="130"/>
      <c r="Z176" s="130"/>
      <c r="AA176" s="130">
        <v>3.35</v>
      </c>
      <c r="AB176" s="130"/>
      <c r="AC176" s="130"/>
      <c r="AD176" s="130"/>
      <c r="AE176" s="130"/>
      <c r="AF176" s="130"/>
      <c r="AG176" s="130"/>
      <c r="AH176" s="130"/>
      <c r="AI176" s="130"/>
      <c r="AJ176" s="130"/>
      <c r="AK176" s="130"/>
      <c r="AL176" s="130"/>
      <c r="AM176" s="130">
        <f t="shared" si="50"/>
        <v>61.19404014920466</v>
      </c>
      <c r="AN176" s="130">
        <f t="shared" si="51"/>
        <v>24.606780840234084</v>
      </c>
      <c r="AO176" s="130">
        <f t="shared" si="52"/>
        <v>5.2623789417045197</v>
      </c>
      <c r="AP176" s="130">
        <f t="shared" si="53"/>
        <v>5.2496675836738271</v>
      </c>
      <c r="AQ176" s="130">
        <f t="shared" si="54"/>
        <v>2.8886544631594242E-2</v>
      </c>
      <c r="AR176" s="130">
        <f t="shared" si="55"/>
        <v>0</v>
      </c>
      <c r="AS176" s="130">
        <f t="shared" si="56"/>
        <v>0.2469663446499242</v>
      </c>
      <c r="AT176" s="130">
        <f t="shared" si="57"/>
        <v>0</v>
      </c>
      <c r="AU176" s="130">
        <f t="shared" si="58"/>
        <v>0.23414709087680391</v>
      </c>
      <c r="AV176" s="130">
        <f t="shared" si="59"/>
        <v>1.0500666317169063</v>
      </c>
      <c r="AW176" s="130">
        <f t="shared" si="60"/>
        <v>0</v>
      </c>
      <c r="AX176" s="130">
        <f t="shared" si="61"/>
        <v>0</v>
      </c>
      <c r="AY176" s="130">
        <f t="shared" si="62"/>
        <v>2.1270658733076844</v>
      </c>
      <c r="AZ176" s="130">
        <f t="shared" si="63"/>
        <v>0</v>
      </c>
      <c r="BA176" s="130">
        <f t="shared" si="64"/>
        <v>0</v>
      </c>
      <c r="BB176" s="130">
        <f t="shared" si="65"/>
        <v>0</v>
      </c>
      <c r="BC176" s="130">
        <f t="shared" si="66"/>
        <v>0</v>
      </c>
      <c r="BD176" s="130">
        <f t="shared" si="67"/>
        <v>0</v>
      </c>
      <c r="BE176" s="130">
        <f t="shared" si="68"/>
        <v>0</v>
      </c>
      <c r="BF176" s="130">
        <f t="shared" si="69"/>
        <v>0</v>
      </c>
      <c r="BG176" s="130">
        <f t="shared" si="70"/>
        <v>0</v>
      </c>
      <c r="BH176" s="130">
        <f t="shared" si="71"/>
        <v>0</v>
      </c>
      <c r="BI176" s="130">
        <f t="shared" si="72"/>
        <v>0</v>
      </c>
      <c r="BJ176" s="130">
        <f t="shared" si="73"/>
        <v>0</v>
      </c>
      <c r="BK176" s="130">
        <f t="shared" si="74"/>
        <v>-128.54657983767828</v>
      </c>
      <c r="BL176" s="130">
        <f>IF($K176=$L176,$BK176,IF(OR($K176="graphite",$K176="vitreous carbon"),$BK$406+($BM$389+$I176)*$BJ$406,IF($K176="Pyrolytic Boron Nitride","PBN",IF(COUNTIF($BH$396:$BH$416,$K176)&gt;0,VLOOKUP($K176,$BH$396:$BK$416,4,FALSE)+($BM$389+$I176)*VLOOKUP($K176,$BH$396:$BK$416,3,FALSE),IF(COUNTIF($L$2:$L175,$K176)&gt;0,VLOOKUP($K176,$L$2:$BK175,52,FALSE),"idk")))))</f>
        <v>-113.97577374311049</v>
      </c>
      <c r="BM176" s="130">
        <v>12.7</v>
      </c>
      <c r="BN176" s="130">
        <v>6.35</v>
      </c>
      <c r="BO176" s="130">
        <v>1.6</v>
      </c>
      <c r="BP176" s="129" t="s">
        <v>228</v>
      </c>
      <c r="BQ176" s="129"/>
      <c r="BR176" s="129" t="s">
        <v>230</v>
      </c>
      <c r="BS176" s="129"/>
      <c r="BT176" s="129">
        <v>0</v>
      </c>
      <c r="BV176" s="129"/>
      <c r="BZ176" s="129"/>
      <c r="DJ176" s="129">
        <v>0</v>
      </c>
      <c r="DK176" s="129">
        <v>0</v>
      </c>
      <c r="DL176" s="129"/>
      <c r="DM176" s="129">
        <v>-12.2</v>
      </c>
      <c r="DO176" s="129">
        <v>-0.81</v>
      </c>
      <c r="DQ176" s="129">
        <v>1830636</v>
      </c>
      <c r="DS176" s="129">
        <v>1</v>
      </c>
      <c r="DU176" s="129" t="s">
        <v>382</v>
      </c>
      <c r="DW176" s="129">
        <f>SUM(_2025_01_07T12_47_export3[[#This Row],[Ni_wt]:[H_wt]])</f>
        <v>100.46000000000001</v>
      </c>
      <c r="DY176" s="130">
        <f>SUM($AM176:BJ176)</f>
        <v>100</v>
      </c>
    </row>
    <row r="177" spans="1:129" x14ac:dyDescent="0.25">
      <c r="A177" s="129" t="s">
        <v>394</v>
      </c>
      <c r="B177" s="129">
        <v>185</v>
      </c>
      <c r="C177" s="129" t="s">
        <v>379</v>
      </c>
      <c r="D177" s="129">
        <v>2023</v>
      </c>
      <c r="E177" s="129" t="s">
        <v>380</v>
      </c>
      <c r="F177" s="129" t="s">
        <v>381</v>
      </c>
      <c r="G177" s="129" t="s">
        <v>226</v>
      </c>
      <c r="H177" s="129">
        <v>0</v>
      </c>
      <c r="I177" s="129">
        <v>750</v>
      </c>
      <c r="J177" s="129">
        <v>1000</v>
      </c>
      <c r="K177" s="129" t="s">
        <v>55</v>
      </c>
      <c r="L177" s="129" t="s">
        <v>250</v>
      </c>
      <c r="N177" s="129">
        <v>7940000</v>
      </c>
      <c r="O177" s="130">
        <v>30.93</v>
      </c>
      <c r="P177" s="130">
        <v>19.149999999999999</v>
      </c>
      <c r="Q177" s="130">
        <v>0.16</v>
      </c>
      <c r="R177" s="130">
        <v>47.64</v>
      </c>
      <c r="S177" s="130"/>
      <c r="T177" s="130">
        <v>0.14000000000000001</v>
      </c>
      <c r="U177" s="130">
        <v>0.73</v>
      </c>
      <c r="V177" s="130">
        <v>0.4</v>
      </c>
      <c r="W177" s="130">
        <v>0.4</v>
      </c>
      <c r="X177" s="130">
        <v>0.45</v>
      </c>
      <c r="Y177" s="130"/>
      <c r="Z177" s="130"/>
      <c r="AA177" s="130"/>
      <c r="AB177" s="130"/>
      <c r="AC177" s="130"/>
      <c r="AD177" s="130"/>
      <c r="AE177" s="130"/>
      <c r="AF177" s="130"/>
      <c r="AG177" s="130"/>
      <c r="AH177" s="130"/>
      <c r="AI177" s="130"/>
      <c r="AJ177" s="130"/>
      <c r="AK177" s="130"/>
      <c r="AL177" s="130"/>
      <c r="AM177" s="130">
        <f t="shared" si="50"/>
        <v>29.200153541220722</v>
      </c>
      <c r="AN177" s="130">
        <f t="shared" si="51"/>
        <v>20.404913556076234</v>
      </c>
      <c r="AO177" s="130">
        <f t="shared" si="52"/>
        <v>9.2384490484260895E-2</v>
      </c>
      <c r="AP177" s="130">
        <f t="shared" si="53"/>
        <v>47.262631633311479</v>
      </c>
      <c r="AQ177" s="130">
        <f t="shared" si="54"/>
        <v>0</v>
      </c>
      <c r="AR177" s="130">
        <f t="shared" si="55"/>
        <v>0.13163183002733697</v>
      </c>
      <c r="AS177" s="130">
        <f t="shared" si="56"/>
        <v>0.73621308086263015</v>
      </c>
      <c r="AT177" s="130">
        <f t="shared" si="57"/>
        <v>0.82146179641120054</v>
      </c>
      <c r="AU177" s="130">
        <f t="shared" si="58"/>
        <v>0.46298389946050122</v>
      </c>
      <c r="AV177" s="130">
        <f t="shared" si="59"/>
        <v>0.88762617214563766</v>
      </c>
      <c r="AW177" s="130">
        <f t="shared" si="60"/>
        <v>0</v>
      </c>
      <c r="AX177" s="130">
        <f t="shared" si="61"/>
        <v>0</v>
      </c>
      <c r="AY177" s="130">
        <f t="shared" si="62"/>
        <v>0</v>
      </c>
      <c r="AZ177" s="130">
        <f t="shared" si="63"/>
        <v>0</v>
      </c>
      <c r="BA177" s="130">
        <f t="shared" si="64"/>
        <v>0</v>
      </c>
      <c r="BB177" s="130">
        <f t="shared" si="65"/>
        <v>0</v>
      </c>
      <c r="BC177" s="130">
        <f t="shared" si="66"/>
        <v>0</v>
      </c>
      <c r="BD177" s="130">
        <f t="shared" si="67"/>
        <v>0</v>
      </c>
      <c r="BE177" s="130">
        <f t="shared" si="68"/>
        <v>0</v>
      </c>
      <c r="BF177" s="130">
        <f t="shared" si="69"/>
        <v>0</v>
      </c>
      <c r="BG177" s="130">
        <f t="shared" si="70"/>
        <v>0</v>
      </c>
      <c r="BH177" s="130">
        <f t="shared" si="71"/>
        <v>0</v>
      </c>
      <c r="BI177" s="130">
        <f t="shared" si="72"/>
        <v>0</v>
      </c>
      <c r="BJ177" s="130">
        <f t="shared" si="73"/>
        <v>0</v>
      </c>
      <c r="BK177" s="130">
        <f t="shared" si="74"/>
        <v>-133.88386586153456</v>
      </c>
      <c r="BL177" s="130">
        <f>IF($K177=$L177,$BK177,IF(OR($K177="graphite",$K177="vitreous carbon"),$BK$406+($BM$389+$I177)*$BJ$406,IF($K177="Pyrolytic Boron Nitride","PBN",IF(COUNTIF($BH$396:$BH$416,$K177)&gt;0,VLOOKUP($K177,$BH$396:$BK$416,4,FALSE)+($BM$389+$I177)*VLOOKUP($K177,$BH$396:$BK$416,3,FALSE),IF(COUNTIF($L$2:$L176,$K177)&gt;0,VLOOKUP($K177,$L$2:$BK176,52,FALSE),"idk")))))</f>
        <v>-113.97577374311049</v>
      </c>
      <c r="BM177" s="130">
        <v>12.7</v>
      </c>
      <c r="BN177" s="130">
        <v>6.35</v>
      </c>
      <c r="BO177" s="130">
        <v>1.6</v>
      </c>
      <c r="BP177" s="129" t="s">
        <v>228</v>
      </c>
      <c r="BQ177" s="129"/>
      <c r="BR177" s="129" t="s">
        <v>230</v>
      </c>
      <c r="BS177" s="129"/>
      <c r="BT177" s="129">
        <v>0</v>
      </c>
      <c r="BV177" s="129"/>
      <c r="BZ177" s="129"/>
      <c r="DJ177" s="129">
        <v>0</v>
      </c>
      <c r="DK177" s="129">
        <v>0</v>
      </c>
      <c r="DL177" s="129"/>
      <c r="DM177" s="129">
        <v>-115</v>
      </c>
      <c r="DO177" s="129">
        <v>-1.94</v>
      </c>
      <c r="DQ177" s="129">
        <v>1520510</v>
      </c>
      <c r="DS177" s="129">
        <v>1</v>
      </c>
      <c r="DU177" s="129" t="s">
        <v>382</v>
      </c>
      <c r="DW177" s="129">
        <f>SUM(_2025_01_07T12_47_export3[[#This Row],[Ni_wt]:[H_wt]])</f>
        <v>100.00000000000001</v>
      </c>
      <c r="DY177" s="130">
        <f>SUM($AM177:BJ177)</f>
        <v>100</v>
      </c>
    </row>
    <row r="178" spans="1:129" x14ac:dyDescent="0.25">
      <c r="A178" s="129" t="s">
        <v>394</v>
      </c>
      <c r="B178" s="129">
        <v>186</v>
      </c>
      <c r="C178" s="129" t="s">
        <v>379</v>
      </c>
      <c r="D178" s="129">
        <v>2023</v>
      </c>
      <c r="E178" s="129" t="s">
        <v>380</v>
      </c>
      <c r="F178" s="129" t="s">
        <v>381</v>
      </c>
      <c r="G178" s="129" t="s">
        <v>226</v>
      </c>
      <c r="H178" s="129">
        <v>0</v>
      </c>
      <c r="I178" s="129">
        <v>750</v>
      </c>
      <c r="J178" s="129">
        <v>1000</v>
      </c>
      <c r="K178" s="129" t="s">
        <v>55</v>
      </c>
      <c r="L178" s="129" t="s">
        <v>250</v>
      </c>
      <c r="N178" s="129">
        <v>7940000</v>
      </c>
      <c r="O178" s="130">
        <v>30.93</v>
      </c>
      <c r="P178" s="130">
        <v>19.149999999999999</v>
      </c>
      <c r="Q178" s="130">
        <v>0.16</v>
      </c>
      <c r="R178" s="130">
        <v>47.64</v>
      </c>
      <c r="S178" s="130"/>
      <c r="T178" s="130">
        <v>0.14000000000000001</v>
      </c>
      <c r="U178" s="130">
        <v>0.73</v>
      </c>
      <c r="V178" s="130">
        <v>0.4</v>
      </c>
      <c r="W178" s="130">
        <v>0.4</v>
      </c>
      <c r="X178" s="130">
        <v>0.45</v>
      </c>
      <c r="Y178" s="130"/>
      <c r="Z178" s="130"/>
      <c r="AA178" s="130"/>
      <c r="AB178" s="130"/>
      <c r="AC178" s="130"/>
      <c r="AD178" s="130"/>
      <c r="AE178" s="130"/>
      <c r="AF178" s="130"/>
      <c r="AG178" s="130"/>
      <c r="AH178" s="130"/>
      <c r="AI178" s="130"/>
      <c r="AJ178" s="130"/>
      <c r="AK178" s="130"/>
      <c r="AL178" s="130"/>
      <c r="AM178" s="130">
        <f t="shared" si="50"/>
        <v>29.200153541220722</v>
      </c>
      <c r="AN178" s="130">
        <f t="shared" si="51"/>
        <v>20.404913556076234</v>
      </c>
      <c r="AO178" s="130">
        <f t="shared" si="52"/>
        <v>9.2384490484260895E-2</v>
      </c>
      <c r="AP178" s="130">
        <f t="shared" si="53"/>
        <v>47.262631633311479</v>
      </c>
      <c r="AQ178" s="130">
        <f t="shared" si="54"/>
        <v>0</v>
      </c>
      <c r="AR178" s="130">
        <f t="shared" si="55"/>
        <v>0.13163183002733697</v>
      </c>
      <c r="AS178" s="130">
        <f t="shared" si="56"/>
        <v>0.73621308086263015</v>
      </c>
      <c r="AT178" s="130">
        <f t="shared" si="57"/>
        <v>0.82146179641120054</v>
      </c>
      <c r="AU178" s="130">
        <f t="shared" si="58"/>
        <v>0.46298389946050122</v>
      </c>
      <c r="AV178" s="130">
        <f t="shared" si="59"/>
        <v>0.88762617214563766</v>
      </c>
      <c r="AW178" s="130">
        <f t="shared" si="60"/>
        <v>0</v>
      </c>
      <c r="AX178" s="130">
        <f t="shared" si="61"/>
        <v>0</v>
      </c>
      <c r="AY178" s="130">
        <f t="shared" si="62"/>
        <v>0</v>
      </c>
      <c r="AZ178" s="130">
        <f t="shared" si="63"/>
        <v>0</v>
      </c>
      <c r="BA178" s="130">
        <f t="shared" si="64"/>
        <v>0</v>
      </c>
      <c r="BB178" s="130">
        <f t="shared" si="65"/>
        <v>0</v>
      </c>
      <c r="BC178" s="130">
        <f t="shared" si="66"/>
        <v>0</v>
      </c>
      <c r="BD178" s="130">
        <f t="shared" si="67"/>
        <v>0</v>
      </c>
      <c r="BE178" s="130">
        <f t="shared" si="68"/>
        <v>0</v>
      </c>
      <c r="BF178" s="130">
        <f t="shared" si="69"/>
        <v>0</v>
      </c>
      <c r="BG178" s="130">
        <f t="shared" si="70"/>
        <v>0</v>
      </c>
      <c r="BH178" s="130">
        <f t="shared" si="71"/>
        <v>0</v>
      </c>
      <c r="BI178" s="130">
        <f t="shared" si="72"/>
        <v>0</v>
      </c>
      <c r="BJ178" s="130">
        <f t="shared" si="73"/>
        <v>0</v>
      </c>
      <c r="BK178" s="130">
        <f t="shared" si="74"/>
        <v>-133.88386586153456</v>
      </c>
      <c r="BL178" s="130">
        <f>IF($K178=$L178,$BK178,IF(OR($K178="graphite",$K178="vitreous carbon"),$BK$406+($BM$389+$I178)*$BJ$406,IF($K178="Pyrolytic Boron Nitride","PBN",IF(COUNTIF($BH$396:$BH$416,$K178)&gt;0,VLOOKUP($K178,$BH$396:$BK$416,4,FALSE)+($BM$389+$I178)*VLOOKUP($K178,$BH$396:$BK$416,3,FALSE),IF(COUNTIF($L$2:$L177,$K178)&gt;0,VLOOKUP($K178,$L$2:$BK177,52,FALSE),"idk")))))</f>
        <v>-113.97577374311049</v>
      </c>
      <c r="BM178" s="130">
        <v>12.7</v>
      </c>
      <c r="BN178" s="130">
        <v>6.35</v>
      </c>
      <c r="BO178" s="130">
        <v>1.6</v>
      </c>
      <c r="BP178" s="129" t="s">
        <v>228</v>
      </c>
      <c r="BQ178" s="129"/>
      <c r="BR178" s="129" t="s">
        <v>230</v>
      </c>
      <c r="BS178" s="129"/>
      <c r="BT178" s="129">
        <v>0</v>
      </c>
      <c r="BV178" s="129"/>
      <c r="BZ178" s="129"/>
      <c r="DJ178" s="129">
        <v>0</v>
      </c>
      <c r="DK178" s="129">
        <v>0</v>
      </c>
      <c r="DL178" s="129"/>
      <c r="DM178" s="129">
        <v>-95</v>
      </c>
      <c r="DO178" s="129">
        <v>-1.49</v>
      </c>
      <c r="DQ178" s="129">
        <v>1520510</v>
      </c>
      <c r="DS178" s="129">
        <v>1</v>
      </c>
      <c r="DU178" s="129" t="s">
        <v>382</v>
      </c>
      <c r="DW178" s="129">
        <f>SUM(_2025_01_07T12_47_export3[[#This Row],[Ni_wt]:[H_wt]])</f>
        <v>100.00000000000001</v>
      </c>
      <c r="DY178" s="130">
        <f>SUM($AM178:BJ178)</f>
        <v>100</v>
      </c>
    </row>
    <row r="179" spans="1:129" x14ac:dyDescent="0.25">
      <c r="A179" s="238" t="s">
        <v>386</v>
      </c>
      <c r="B179" s="238">
        <v>187</v>
      </c>
      <c r="C179" s="238" t="s">
        <v>379</v>
      </c>
      <c r="D179" s="238">
        <v>2023</v>
      </c>
      <c r="E179" s="238" t="s">
        <v>380</v>
      </c>
      <c r="F179" s="238" t="s">
        <v>381</v>
      </c>
      <c r="G179" s="238" t="s">
        <v>226</v>
      </c>
      <c r="H179" s="238">
        <v>0</v>
      </c>
      <c r="I179" s="238">
        <v>750</v>
      </c>
      <c r="J179" s="238">
        <v>1000</v>
      </c>
      <c r="K179" s="238" t="s">
        <v>55</v>
      </c>
      <c r="L179" s="238" t="s">
        <v>275</v>
      </c>
      <c r="M179" s="238"/>
      <c r="N179" s="238">
        <v>9220000</v>
      </c>
      <c r="O179" s="239">
        <v>68.099999999999994</v>
      </c>
      <c r="P179" s="239">
        <v>1.52</v>
      </c>
      <c r="Q179" s="239">
        <v>26.83</v>
      </c>
      <c r="R179" s="239">
        <v>2.38</v>
      </c>
      <c r="S179" s="239">
        <v>0.12</v>
      </c>
      <c r="T179" s="239">
        <v>0.06</v>
      </c>
      <c r="U179" s="239">
        <v>0.62</v>
      </c>
      <c r="V179" s="239"/>
      <c r="W179" s="239"/>
      <c r="X179" s="239"/>
      <c r="Y179" s="239"/>
      <c r="Z179" s="239">
        <v>0.06</v>
      </c>
      <c r="AA179" s="239"/>
      <c r="AB179" s="239"/>
      <c r="AC179" s="239"/>
      <c r="AD179" s="239"/>
      <c r="AE179" s="239"/>
      <c r="AF179" s="239"/>
      <c r="AG179" s="239"/>
      <c r="AH179" s="239"/>
      <c r="AI179" s="239"/>
      <c r="AJ179" s="239"/>
      <c r="AK179" s="239"/>
      <c r="AL179" s="239"/>
      <c r="AM179" s="239">
        <f t="shared" si="50"/>
        <v>76.053821732280369</v>
      </c>
      <c r="AN179" s="239">
        <f t="shared" si="51"/>
        <v>1.9159240291852062</v>
      </c>
      <c r="AO179" s="239">
        <f t="shared" si="52"/>
        <v>18.32603338396229</v>
      </c>
      <c r="AP179" s="239">
        <f t="shared" si="53"/>
        <v>2.793134310087654</v>
      </c>
      <c r="AQ179" s="239">
        <f t="shared" si="54"/>
        <v>4.2793102994228872E-2</v>
      </c>
      <c r="AR179" s="239">
        <f t="shared" si="55"/>
        <v>6.6734874684704473E-2</v>
      </c>
      <c r="AS179" s="239">
        <f t="shared" si="56"/>
        <v>0.7396752282505682</v>
      </c>
      <c r="AT179" s="239">
        <f t="shared" si="57"/>
        <v>0</v>
      </c>
      <c r="AU179" s="239">
        <f t="shared" si="58"/>
        <v>0</v>
      </c>
      <c r="AV179" s="239">
        <f t="shared" si="59"/>
        <v>0</v>
      </c>
      <c r="AW179" s="239">
        <f t="shared" si="60"/>
        <v>0</v>
      </c>
      <c r="AX179" s="239">
        <f t="shared" si="61"/>
        <v>6.1883338554990314E-2</v>
      </c>
      <c r="AY179" s="239">
        <f t="shared" si="62"/>
        <v>0</v>
      </c>
      <c r="AZ179" s="239">
        <f t="shared" si="63"/>
        <v>0</v>
      </c>
      <c r="BA179" s="239">
        <f t="shared" si="64"/>
        <v>0</v>
      </c>
      <c r="BB179" s="239">
        <f t="shared" si="65"/>
        <v>0</v>
      </c>
      <c r="BC179" s="239">
        <f t="shared" si="66"/>
        <v>0</v>
      </c>
      <c r="BD179" s="239">
        <f t="shared" si="67"/>
        <v>0</v>
      </c>
      <c r="BE179" s="239">
        <f t="shared" si="68"/>
        <v>0</v>
      </c>
      <c r="BF179" s="239">
        <f t="shared" si="69"/>
        <v>0</v>
      </c>
      <c r="BG179" s="239">
        <f t="shared" si="70"/>
        <v>0</v>
      </c>
      <c r="BH179" s="239">
        <f t="shared" si="71"/>
        <v>0</v>
      </c>
      <c r="BI179" s="239">
        <f t="shared" si="72"/>
        <v>0</v>
      </c>
      <c r="BJ179" s="239">
        <f t="shared" si="73"/>
        <v>0</v>
      </c>
      <c r="BK179" s="239">
        <f t="shared" si="74"/>
        <v>-120.06127468656241</v>
      </c>
      <c r="BL179" s="239">
        <f>IF($K179=$L179,$BK179,IF(OR($K179="graphite",$K179="vitreous carbon"),$BK$406+($BM$389+$I179)*$BJ$406,IF($K179="Pyrolytic Boron Nitride","PBN",IF(COUNTIF($BH$396:$BH$416,$K179)&gt;0,VLOOKUP($K179,$BH$396:$BK$416,4,FALSE)+($BM$389+$I179)*VLOOKUP($K179,$BH$396:$BK$416,3,FALSE),IF(COUNTIF($L$2:$L178,$K179)&gt;0,VLOOKUP($K179,$L$2:$BK178,52,FALSE),"idk")))))</f>
        <v>-113.97577374311049</v>
      </c>
      <c r="BM179" s="239">
        <v>12.7</v>
      </c>
      <c r="BN179" s="239">
        <v>6.35</v>
      </c>
      <c r="BO179" s="239">
        <v>1.6</v>
      </c>
      <c r="BP179" s="238" t="s">
        <v>228</v>
      </c>
      <c r="BQ179" s="238"/>
      <c r="BR179" s="238" t="s">
        <v>230</v>
      </c>
      <c r="BS179" s="238"/>
      <c r="BT179" s="238">
        <v>0</v>
      </c>
      <c r="BU179" s="238"/>
      <c r="BV179" s="238"/>
      <c r="BW179" s="238"/>
      <c r="BX179" s="238"/>
      <c r="BY179" s="238"/>
      <c r="BZ179" s="238"/>
      <c r="CA179" s="238"/>
      <c r="CB179" s="238"/>
      <c r="CC179" s="238"/>
      <c r="CD179" s="238"/>
      <c r="CE179" s="238"/>
      <c r="CF179" s="238"/>
      <c r="CG179" s="238"/>
      <c r="CH179" s="238"/>
      <c r="CI179" s="238"/>
      <c r="CJ179" s="238"/>
      <c r="CK179" s="238"/>
      <c r="CL179" s="238"/>
      <c r="CM179" s="238"/>
      <c r="CN179" s="238"/>
      <c r="CO179" s="238"/>
      <c r="CP179" s="238"/>
      <c r="CQ179" s="238"/>
      <c r="CR179" s="238"/>
      <c r="CS179" s="238"/>
      <c r="CT179" s="238"/>
      <c r="CU179" s="238"/>
      <c r="CV179" s="238"/>
      <c r="CW179" s="238"/>
      <c r="CX179" s="238"/>
      <c r="CY179" s="238"/>
      <c r="CZ179" s="238"/>
      <c r="DA179" s="238"/>
      <c r="DB179" s="238"/>
      <c r="DC179" s="238"/>
      <c r="DD179" s="238"/>
      <c r="DE179" s="238"/>
      <c r="DF179" s="238"/>
      <c r="DG179" s="238"/>
      <c r="DH179" s="238"/>
      <c r="DI179" s="238"/>
      <c r="DJ179" s="238">
        <v>0</v>
      </c>
      <c r="DK179" s="238">
        <v>0</v>
      </c>
      <c r="DL179" s="238"/>
      <c r="DM179" s="238">
        <v>-14.3</v>
      </c>
      <c r="DN179" s="238"/>
      <c r="DO179" s="238">
        <v>-2.42</v>
      </c>
      <c r="DP179" s="238"/>
      <c r="DQ179" s="238">
        <v>140144</v>
      </c>
      <c r="DR179" s="238"/>
      <c r="DS179" s="238">
        <v>1</v>
      </c>
      <c r="DT179" s="238"/>
      <c r="DU179" s="238" t="s">
        <v>382</v>
      </c>
      <c r="DW179" s="129">
        <f>SUM(_2025_01_07T12_47_export3[[#This Row],[Ni_wt]:[H_wt]])</f>
        <v>99.69</v>
      </c>
      <c r="DY179" s="130">
        <f>SUM($AM179:BJ179)</f>
        <v>100</v>
      </c>
    </row>
    <row r="180" spans="1:129" x14ac:dyDescent="0.25">
      <c r="A180" s="129" t="s">
        <v>386</v>
      </c>
      <c r="B180" s="129">
        <v>188</v>
      </c>
      <c r="C180" s="129" t="s">
        <v>379</v>
      </c>
      <c r="D180" s="129">
        <v>2023</v>
      </c>
      <c r="E180" s="129" t="s">
        <v>380</v>
      </c>
      <c r="F180" s="129" t="s">
        <v>381</v>
      </c>
      <c r="G180" s="129" t="s">
        <v>226</v>
      </c>
      <c r="H180" s="129">
        <v>0</v>
      </c>
      <c r="I180" s="129">
        <v>750</v>
      </c>
      <c r="J180" s="129">
        <v>1000</v>
      </c>
      <c r="K180" s="129" t="s">
        <v>55</v>
      </c>
      <c r="L180" s="129" t="s">
        <v>275</v>
      </c>
      <c r="N180" s="129">
        <v>9220000</v>
      </c>
      <c r="O180" s="130">
        <v>68.099999999999994</v>
      </c>
      <c r="P180" s="130">
        <v>1.52</v>
      </c>
      <c r="Q180" s="130">
        <v>26.83</v>
      </c>
      <c r="R180" s="130">
        <v>2.38</v>
      </c>
      <c r="S180" s="130">
        <v>0.12</v>
      </c>
      <c r="T180" s="130">
        <v>0.06</v>
      </c>
      <c r="U180" s="130">
        <v>0.62</v>
      </c>
      <c r="V180" s="130"/>
      <c r="W180" s="130"/>
      <c r="X180" s="130"/>
      <c r="Y180" s="130"/>
      <c r="Z180" s="130">
        <v>0.06</v>
      </c>
      <c r="AA180" s="130"/>
      <c r="AB180" s="130"/>
      <c r="AC180" s="130"/>
      <c r="AD180" s="130"/>
      <c r="AE180" s="130"/>
      <c r="AF180" s="130"/>
      <c r="AG180" s="130"/>
      <c r="AH180" s="130"/>
      <c r="AI180" s="130"/>
      <c r="AJ180" s="130"/>
      <c r="AK180" s="130"/>
      <c r="AL180" s="130"/>
      <c r="AM180" s="130">
        <f t="shared" si="50"/>
        <v>76.053821732280369</v>
      </c>
      <c r="AN180" s="130">
        <f t="shared" si="51"/>
        <v>1.9159240291852062</v>
      </c>
      <c r="AO180" s="130">
        <f t="shared" si="52"/>
        <v>18.32603338396229</v>
      </c>
      <c r="AP180" s="130">
        <f t="shared" si="53"/>
        <v>2.793134310087654</v>
      </c>
      <c r="AQ180" s="130">
        <f t="shared" si="54"/>
        <v>4.2793102994228872E-2</v>
      </c>
      <c r="AR180" s="130">
        <f t="shared" si="55"/>
        <v>6.6734874684704473E-2</v>
      </c>
      <c r="AS180" s="130">
        <f t="shared" si="56"/>
        <v>0.7396752282505682</v>
      </c>
      <c r="AT180" s="130">
        <f t="shared" si="57"/>
        <v>0</v>
      </c>
      <c r="AU180" s="130">
        <f t="shared" si="58"/>
        <v>0</v>
      </c>
      <c r="AV180" s="130">
        <f t="shared" si="59"/>
        <v>0</v>
      </c>
      <c r="AW180" s="130">
        <f t="shared" si="60"/>
        <v>0</v>
      </c>
      <c r="AX180" s="130">
        <f t="shared" si="61"/>
        <v>6.1883338554990314E-2</v>
      </c>
      <c r="AY180" s="130">
        <f t="shared" si="62"/>
        <v>0</v>
      </c>
      <c r="AZ180" s="130">
        <f t="shared" si="63"/>
        <v>0</v>
      </c>
      <c r="BA180" s="130">
        <f t="shared" si="64"/>
        <v>0</v>
      </c>
      <c r="BB180" s="130">
        <f t="shared" si="65"/>
        <v>0</v>
      </c>
      <c r="BC180" s="130">
        <f t="shared" si="66"/>
        <v>0</v>
      </c>
      <c r="BD180" s="130">
        <f t="shared" si="67"/>
        <v>0</v>
      </c>
      <c r="BE180" s="130">
        <f t="shared" si="68"/>
        <v>0</v>
      </c>
      <c r="BF180" s="130">
        <f t="shared" si="69"/>
        <v>0</v>
      </c>
      <c r="BG180" s="130">
        <f t="shared" si="70"/>
        <v>0</v>
      </c>
      <c r="BH180" s="130">
        <f t="shared" si="71"/>
        <v>0</v>
      </c>
      <c r="BI180" s="130">
        <f t="shared" si="72"/>
        <v>0</v>
      </c>
      <c r="BJ180" s="130">
        <f t="shared" si="73"/>
        <v>0</v>
      </c>
      <c r="BK180" s="130">
        <f t="shared" si="74"/>
        <v>-120.06127468656241</v>
      </c>
      <c r="BL180" s="130">
        <f>IF($K180=$L180,$BK180,IF(OR($K180="graphite",$K180="vitreous carbon"),$BK$406+($BM$389+$I180)*$BJ$406,IF($K180="Pyrolytic Boron Nitride","PBN",IF(COUNTIF($BH$396:$BH$416,$K180)&gt;0,VLOOKUP($K180,$BH$396:$BK$416,4,FALSE)+($BM$389+$I180)*VLOOKUP($K180,$BH$396:$BK$416,3,FALSE),IF(COUNTIF($L$2:$L179,$K180)&gt;0,VLOOKUP($K180,$L$2:$BK179,52,FALSE),"idk")))))</f>
        <v>-113.97577374311049</v>
      </c>
      <c r="BM180" s="130">
        <v>12.7</v>
      </c>
      <c r="BN180" s="130">
        <v>6.35</v>
      </c>
      <c r="BO180" s="130">
        <v>1.6</v>
      </c>
      <c r="BP180" s="129" t="s">
        <v>228</v>
      </c>
      <c r="BQ180" s="129"/>
      <c r="BR180" s="129" t="s">
        <v>230</v>
      </c>
      <c r="BS180" s="129"/>
      <c r="BT180" s="129">
        <v>0</v>
      </c>
      <c r="BV180" s="129"/>
      <c r="BZ180" s="129"/>
      <c r="DJ180" s="129">
        <v>0</v>
      </c>
      <c r="DK180" s="129">
        <v>0</v>
      </c>
      <c r="DL180" s="129"/>
      <c r="DM180" s="129">
        <v>-16.5</v>
      </c>
      <c r="DO180" s="129">
        <v>-2.76</v>
      </c>
      <c r="DQ180" s="129">
        <v>140144</v>
      </c>
      <c r="DS180" s="129">
        <v>1</v>
      </c>
      <c r="DU180" s="129" t="s">
        <v>382</v>
      </c>
      <c r="DW180" s="129">
        <f>SUM(_2025_01_07T12_47_export3[[#This Row],[Ni_wt]:[H_wt]])</f>
        <v>99.69</v>
      </c>
      <c r="DY180" s="130">
        <f>SUM($AM180:BJ180)</f>
        <v>100</v>
      </c>
    </row>
    <row r="181" spans="1:129" x14ac:dyDescent="0.25">
      <c r="A181" s="129" t="s">
        <v>388</v>
      </c>
      <c r="B181" s="129">
        <v>189</v>
      </c>
      <c r="C181" s="129" t="s">
        <v>379</v>
      </c>
      <c r="D181" s="129">
        <v>2023</v>
      </c>
      <c r="E181" s="129" t="s">
        <v>380</v>
      </c>
      <c r="F181" s="129" t="s">
        <v>381</v>
      </c>
      <c r="G181" s="129" t="s">
        <v>226</v>
      </c>
      <c r="H181" s="129">
        <v>0</v>
      </c>
      <c r="I181" s="129">
        <v>750</v>
      </c>
      <c r="J181" s="129">
        <v>1000</v>
      </c>
      <c r="K181" s="129" t="s">
        <v>55</v>
      </c>
      <c r="L181" s="129" t="s">
        <v>308</v>
      </c>
      <c r="N181" s="129">
        <v>8890000</v>
      </c>
      <c r="O181" s="130">
        <v>57.97</v>
      </c>
      <c r="P181" s="130">
        <v>15.25</v>
      </c>
      <c r="Q181" s="130">
        <v>15.43</v>
      </c>
      <c r="R181" s="130">
        <v>5.38</v>
      </c>
      <c r="S181" s="130">
        <v>3.26</v>
      </c>
      <c r="T181" s="130">
        <v>1.88</v>
      </c>
      <c r="U181" s="130">
        <v>0.56999999999999995</v>
      </c>
      <c r="V181" s="130"/>
      <c r="W181" s="130"/>
      <c r="X181" s="130">
        <v>0.03</v>
      </c>
      <c r="Y181" s="130"/>
      <c r="Z181" s="130"/>
      <c r="AA181" s="130"/>
      <c r="AB181" s="130"/>
      <c r="AC181" s="130"/>
      <c r="AD181" s="130"/>
      <c r="AE181" s="130"/>
      <c r="AF181" s="130"/>
      <c r="AG181" s="130"/>
      <c r="AH181" s="130"/>
      <c r="AI181" s="130"/>
      <c r="AJ181" s="130"/>
      <c r="AK181" s="130"/>
      <c r="AL181" s="130"/>
      <c r="AM181" s="130">
        <f t="shared" si="50"/>
        <v>61.763798642113969</v>
      </c>
      <c r="AN181" s="130">
        <f t="shared" si="51"/>
        <v>18.33839435190664</v>
      </c>
      <c r="AO181" s="130">
        <f t="shared" si="52"/>
        <v>10.054731884320523</v>
      </c>
      <c r="AP181" s="130">
        <f t="shared" si="53"/>
        <v>6.0235692254010607</v>
      </c>
      <c r="AQ181" s="130">
        <f t="shared" si="54"/>
        <v>1.10909028364231</v>
      </c>
      <c r="AR181" s="130">
        <f t="shared" si="55"/>
        <v>1.9948774253892703</v>
      </c>
      <c r="AS181" s="130">
        <f t="shared" si="56"/>
        <v>0.6487554334570802</v>
      </c>
      <c r="AT181" s="130">
        <f t="shared" si="57"/>
        <v>0</v>
      </c>
      <c r="AU181" s="130">
        <f t="shared" si="58"/>
        <v>0</v>
      </c>
      <c r="AV181" s="130">
        <f t="shared" si="59"/>
        <v>6.6782753769148009E-2</v>
      </c>
      <c r="AW181" s="130">
        <f t="shared" si="60"/>
        <v>0</v>
      </c>
      <c r="AX181" s="130">
        <f t="shared" si="61"/>
        <v>0</v>
      </c>
      <c r="AY181" s="130">
        <f t="shared" si="62"/>
        <v>0</v>
      </c>
      <c r="AZ181" s="130">
        <f t="shared" si="63"/>
        <v>0</v>
      </c>
      <c r="BA181" s="130">
        <f t="shared" si="64"/>
        <v>0</v>
      </c>
      <c r="BB181" s="130">
        <f t="shared" si="65"/>
        <v>0</v>
      </c>
      <c r="BC181" s="130">
        <f t="shared" si="66"/>
        <v>0</v>
      </c>
      <c r="BD181" s="130">
        <f t="shared" si="67"/>
        <v>0</v>
      </c>
      <c r="BE181" s="130">
        <f t="shared" si="68"/>
        <v>0</v>
      </c>
      <c r="BF181" s="130">
        <f t="shared" si="69"/>
        <v>0</v>
      </c>
      <c r="BG181" s="130">
        <f t="shared" si="70"/>
        <v>0</v>
      </c>
      <c r="BH181" s="130">
        <f t="shared" si="71"/>
        <v>0</v>
      </c>
      <c r="BI181" s="130">
        <f t="shared" si="72"/>
        <v>0</v>
      </c>
      <c r="BJ181" s="130">
        <f t="shared" si="73"/>
        <v>0</v>
      </c>
      <c r="BK181" s="130">
        <f t="shared" si="74"/>
        <v>-125.78027967726467</v>
      </c>
      <c r="BL181" s="130">
        <f>IF($K181=$L181,$BK181,IF(OR($K181="graphite",$K181="vitreous carbon"),$BK$406+($BM$389+$I181)*$BJ$406,IF($K181="Pyrolytic Boron Nitride","PBN",IF(COUNTIF($BH$396:$BH$416,$K181)&gt;0,VLOOKUP($K181,$BH$396:$BK$416,4,FALSE)+($BM$389+$I181)*VLOOKUP($K181,$BH$396:$BK$416,3,FALSE),IF(COUNTIF($L$2:$L180,$K181)&gt;0,VLOOKUP($K181,$L$2:$BK180,52,FALSE),"idk")))))</f>
        <v>-113.97577374311049</v>
      </c>
      <c r="BM181" s="130">
        <v>12.7</v>
      </c>
      <c r="BN181" s="130">
        <v>6.35</v>
      </c>
      <c r="BO181" s="130">
        <v>1.6</v>
      </c>
      <c r="BP181" s="129" t="s">
        <v>228</v>
      </c>
      <c r="BQ181" s="129"/>
      <c r="BR181" s="129" t="s">
        <v>230</v>
      </c>
      <c r="BS181" s="129"/>
      <c r="BT181" s="129">
        <v>0</v>
      </c>
      <c r="BV181" s="129"/>
      <c r="BZ181" s="129"/>
      <c r="DJ181" s="129">
        <v>0</v>
      </c>
      <c r="DK181" s="129">
        <v>0</v>
      </c>
      <c r="DL181" s="129"/>
      <c r="DM181" s="129">
        <v>-9.1999999999999993</v>
      </c>
      <c r="DO181" s="129">
        <v>-1.23</v>
      </c>
      <c r="DQ181" s="129">
        <v>1393063</v>
      </c>
      <c r="DS181" s="129">
        <v>1</v>
      </c>
      <c r="DU181" s="129" t="s">
        <v>382</v>
      </c>
      <c r="DW181" s="129">
        <f>SUM(_2025_01_07T12_47_export3[[#This Row],[Ni_wt]:[H_wt]])</f>
        <v>99.77</v>
      </c>
      <c r="DY181" s="130">
        <f>SUM($AM181:BJ181)</f>
        <v>100.00000000000001</v>
      </c>
    </row>
    <row r="182" spans="1:129" x14ac:dyDescent="0.25">
      <c r="A182" s="129" t="s">
        <v>388</v>
      </c>
      <c r="B182" s="129">
        <v>190</v>
      </c>
      <c r="C182" s="129" t="s">
        <v>379</v>
      </c>
      <c r="D182" s="129">
        <v>2023</v>
      </c>
      <c r="E182" s="129" t="s">
        <v>380</v>
      </c>
      <c r="F182" s="129" t="s">
        <v>381</v>
      </c>
      <c r="G182" s="129" t="s">
        <v>226</v>
      </c>
      <c r="H182" s="129">
        <v>0</v>
      </c>
      <c r="I182" s="129">
        <v>750</v>
      </c>
      <c r="J182" s="129">
        <v>1000</v>
      </c>
      <c r="K182" s="129" t="s">
        <v>55</v>
      </c>
      <c r="L182" s="129" t="s">
        <v>308</v>
      </c>
      <c r="N182" s="129">
        <v>8890000</v>
      </c>
      <c r="O182" s="130">
        <v>57.97</v>
      </c>
      <c r="P182" s="130">
        <v>15.25</v>
      </c>
      <c r="Q182" s="130">
        <v>15.43</v>
      </c>
      <c r="R182" s="130">
        <v>5.38</v>
      </c>
      <c r="S182" s="130">
        <v>3.26</v>
      </c>
      <c r="T182" s="130">
        <v>1.88</v>
      </c>
      <c r="U182" s="130">
        <v>0.56999999999999995</v>
      </c>
      <c r="V182" s="130"/>
      <c r="W182" s="130"/>
      <c r="X182" s="130">
        <v>0.03</v>
      </c>
      <c r="Y182" s="130"/>
      <c r="Z182" s="130"/>
      <c r="AA182" s="130"/>
      <c r="AB182" s="130"/>
      <c r="AC182" s="130"/>
      <c r="AD182" s="130"/>
      <c r="AE182" s="130"/>
      <c r="AF182" s="130"/>
      <c r="AG182" s="130"/>
      <c r="AH182" s="130"/>
      <c r="AI182" s="130"/>
      <c r="AJ182" s="130"/>
      <c r="AK182" s="130"/>
      <c r="AL182" s="130"/>
      <c r="AM182" s="130">
        <f t="shared" si="50"/>
        <v>61.763798642113969</v>
      </c>
      <c r="AN182" s="130">
        <f t="shared" si="51"/>
        <v>18.33839435190664</v>
      </c>
      <c r="AO182" s="130">
        <f t="shared" si="52"/>
        <v>10.054731884320523</v>
      </c>
      <c r="AP182" s="130">
        <f t="shared" si="53"/>
        <v>6.0235692254010607</v>
      </c>
      <c r="AQ182" s="130">
        <f t="shared" si="54"/>
        <v>1.10909028364231</v>
      </c>
      <c r="AR182" s="130">
        <f t="shared" si="55"/>
        <v>1.9948774253892703</v>
      </c>
      <c r="AS182" s="130">
        <f t="shared" si="56"/>
        <v>0.6487554334570802</v>
      </c>
      <c r="AT182" s="130">
        <f t="shared" si="57"/>
        <v>0</v>
      </c>
      <c r="AU182" s="130">
        <f t="shared" si="58"/>
        <v>0</v>
      </c>
      <c r="AV182" s="130">
        <f t="shared" si="59"/>
        <v>6.6782753769148009E-2</v>
      </c>
      <c r="AW182" s="130">
        <f t="shared" si="60"/>
        <v>0</v>
      </c>
      <c r="AX182" s="130">
        <f t="shared" si="61"/>
        <v>0</v>
      </c>
      <c r="AY182" s="130">
        <f t="shared" si="62"/>
        <v>0</v>
      </c>
      <c r="AZ182" s="130">
        <f t="shared" si="63"/>
        <v>0</v>
      </c>
      <c r="BA182" s="130">
        <f t="shared" si="64"/>
        <v>0</v>
      </c>
      <c r="BB182" s="130">
        <f t="shared" si="65"/>
        <v>0</v>
      </c>
      <c r="BC182" s="130">
        <f t="shared" si="66"/>
        <v>0</v>
      </c>
      <c r="BD182" s="130">
        <f t="shared" si="67"/>
        <v>0</v>
      </c>
      <c r="BE182" s="130">
        <f t="shared" si="68"/>
        <v>0</v>
      </c>
      <c r="BF182" s="130">
        <f t="shared" si="69"/>
        <v>0</v>
      </c>
      <c r="BG182" s="130">
        <f t="shared" si="70"/>
        <v>0</v>
      </c>
      <c r="BH182" s="130">
        <f t="shared" si="71"/>
        <v>0</v>
      </c>
      <c r="BI182" s="130">
        <f t="shared" si="72"/>
        <v>0</v>
      </c>
      <c r="BJ182" s="130">
        <f t="shared" si="73"/>
        <v>0</v>
      </c>
      <c r="BK182" s="130">
        <f t="shared" si="74"/>
        <v>-125.78027967726467</v>
      </c>
      <c r="BL182" s="130">
        <f>IF($K182=$L182,$BK182,IF(OR($K182="graphite",$K182="vitreous carbon"),$BK$406+($BM$389+$I182)*$BJ$406,IF($K182="Pyrolytic Boron Nitride","PBN",IF(COUNTIF($BH$396:$BH$416,$K182)&gt;0,VLOOKUP($K182,$BH$396:$BK$416,4,FALSE)+($BM$389+$I182)*VLOOKUP($K182,$BH$396:$BK$416,3,FALSE),IF(COUNTIF($L$2:$L181,$K182)&gt;0,VLOOKUP($K182,$L$2:$BK181,52,FALSE),"idk")))))</f>
        <v>-113.97577374311049</v>
      </c>
      <c r="BM182" s="130">
        <v>12.7</v>
      </c>
      <c r="BN182" s="130">
        <v>6.35</v>
      </c>
      <c r="BO182" s="130">
        <v>1.6</v>
      </c>
      <c r="BP182" s="129" t="s">
        <v>228</v>
      </c>
      <c r="BQ182" s="129"/>
      <c r="BR182" s="129" t="s">
        <v>230</v>
      </c>
      <c r="BS182" s="129"/>
      <c r="BT182" s="129">
        <v>0</v>
      </c>
      <c r="BV182" s="129"/>
      <c r="BZ182" s="129"/>
      <c r="DJ182" s="129">
        <v>0</v>
      </c>
      <c r="DK182" s="129">
        <v>0</v>
      </c>
      <c r="DL182" s="129"/>
      <c r="DM182" s="129">
        <v>-7.2</v>
      </c>
      <c r="DO182" s="129">
        <v>-0.88</v>
      </c>
      <c r="DQ182" s="129">
        <v>1393063</v>
      </c>
      <c r="DS182" s="129">
        <v>1</v>
      </c>
      <c r="DU182" s="129" t="s">
        <v>382</v>
      </c>
      <c r="DW182" s="129">
        <f>SUM(_2025_01_07T12_47_export3[[#This Row],[Ni_wt]:[H_wt]])</f>
        <v>99.77</v>
      </c>
      <c r="DY182" s="130">
        <f>SUM($AM182:BJ182)</f>
        <v>100.00000000000001</v>
      </c>
    </row>
    <row r="183" spans="1:129" x14ac:dyDescent="0.25">
      <c r="A183" s="129" t="s">
        <v>378</v>
      </c>
      <c r="B183" s="129">
        <v>191</v>
      </c>
      <c r="C183" s="129" t="s">
        <v>379</v>
      </c>
      <c r="D183" s="129">
        <v>2023</v>
      </c>
      <c r="E183" s="129" t="s">
        <v>380</v>
      </c>
      <c r="F183" s="129" t="s">
        <v>381</v>
      </c>
      <c r="G183" s="129" t="s">
        <v>226</v>
      </c>
      <c r="H183" s="129">
        <v>0</v>
      </c>
      <c r="I183" s="129">
        <v>750</v>
      </c>
      <c r="J183" s="129">
        <v>1000</v>
      </c>
      <c r="K183" s="129" t="s">
        <v>55</v>
      </c>
      <c r="L183" s="129" t="s">
        <v>239</v>
      </c>
      <c r="N183" s="129">
        <v>8860000</v>
      </c>
      <c r="O183" s="130">
        <v>71.41</v>
      </c>
      <c r="P183" s="130">
        <v>7.53</v>
      </c>
      <c r="Q183" s="130">
        <v>15.71</v>
      </c>
      <c r="R183" s="130">
        <v>4.41</v>
      </c>
      <c r="S183" s="130">
        <v>8.7999999999999995E-2</v>
      </c>
      <c r="T183" s="130"/>
      <c r="U183" s="130">
        <v>0.59</v>
      </c>
      <c r="V183" s="130"/>
      <c r="W183" s="130"/>
      <c r="X183" s="130">
        <v>0.13</v>
      </c>
      <c r="Y183" s="130"/>
      <c r="Z183" s="130"/>
      <c r="AA183" s="130"/>
      <c r="AB183" s="130"/>
      <c r="AC183" s="130"/>
      <c r="AD183" s="130"/>
      <c r="AE183" s="130"/>
      <c r="AF183" s="130"/>
      <c r="AG183" s="130"/>
      <c r="AH183" s="130"/>
      <c r="AI183" s="130"/>
      <c r="AJ183" s="130"/>
      <c r="AK183" s="130"/>
      <c r="AL183" s="130"/>
      <c r="AM183" s="130">
        <f t="shared" si="50"/>
        <v>75.104085553752611</v>
      </c>
      <c r="AN183" s="130">
        <f t="shared" si="51"/>
        <v>8.9384100002309363</v>
      </c>
      <c r="AO183" s="130">
        <f t="shared" si="52"/>
        <v>10.105425037917881</v>
      </c>
      <c r="AP183" s="130">
        <f t="shared" si="53"/>
        <v>4.873983460376242</v>
      </c>
      <c r="AQ183" s="130">
        <f t="shared" si="54"/>
        <v>2.9553287872129012E-2</v>
      </c>
      <c r="AR183" s="130">
        <f t="shared" si="55"/>
        <v>0</v>
      </c>
      <c r="AS183" s="130">
        <f t="shared" si="56"/>
        <v>0.66287554262282289</v>
      </c>
      <c r="AT183" s="130">
        <f t="shared" si="57"/>
        <v>0</v>
      </c>
      <c r="AU183" s="130">
        <f t="shared" si="58"/>
        <v>0</v>
      </c>
      <c r="AV183" s="130">
        <f t="shared" si="59"/>
        <v>0.28566711722735799</v>
      </c>
      <c r="AW183" s="130">
        <f t="shared" si="60"/>
        <v>0</v>
      </c>
      <c r="AX183" s="130">
        <f t="shared" si="61"/>
        <v>0</v>
      </c>
      <c r="AY183" s="130">
        <f t="shared" si="62"/>
        <v>0</v>
      </c>
      <c r="AZ183" s="130">
        <f t="shared" si="63"/>
        <v>0</v>
      </c>
      <c r="BA183" s="130">
        <f t="shared" si="64"/>
        <v>0</v>
      </c>
      <c r="BB183" s="130">
        <f t="shared" si="65"/>
        <v>0</v>
      </c>
      <c r="BC183" s="130">
        <f t="shared" si="66"/>
        <v>0</v>
      </c>
      <c r="BD183" s="130">
        <f t="shared" si="67"/>
        <v>0</v>
      </c>
      <c r="BE183" s="130">
        <f t="shared" si="68"/>
        <v>0</v>
      </c>
      <c r="BF183" s="130">
        <f t="shared" si="69"/>
        <v>0</v>
      </c>
      <c r="BG183" s="130">
        <f t="shared" si="70"/>
        <v>0</v>
      </c>
      <c r="BH183" s="130">
        <f t="shared" si="71"/>
        <v>0</v>
      </c>
      <c r="BI183" s="130">
        <f t="shared" si="72"/>
        <v>0</v>
      </c>
      <c r="BJ183" s="130">
        <f t="shared" si="73"/>
        <v>0</v>
      </c>
      <c r="BK183" s="130">
        <f t="shared" si="74"/>
        <v>-122.94928422989216</v>
      </c>
      <c r="BL183" s="130">
        <f>IF($K183=$L183,$BK183,IF(OR($K183="graphite",$K183="vitreous carbon"),$BK$406+($BM$389+$I183)*$BJ$406,IF($K183="Pyrolytic Boron Nitride","PBN",IF(COUNTIF($BH$396:$BH$416,$K183)&gt;0,VLOOKUP($K183,$BH$396:$BK$416,4,FALSE)+($BM$389+$I183)*VLOOKUP($K183,$BH$396:$BK$416,3,FALSE),IF(COUNTIF($L$2:$L182,$K183)&gt;0,VLOOKUP($K183,$L$2:$BK182,52,FALSE),"idk")))))</f>
        <v>-113.97577374311049</v>
      </c>
      <c r="BM183" s="130">
        <v>12.7</v>
      </c>
      <c r="BN183" s="130">
        <v>6.35</v>
      </c>
      <c r="BO183" s="130">
        <v>1.6</v>
      </c>
      <c r="BP183" s="129" t="s">
        <v>228</v>
      </c>
      <c r="BQ183" s="129"/>
      <c r="BR183" s="129" t="s">
        <v>230</v>
      </c>
      <c r="BS183" s="129"/>
      <c r="BT183" s="129">
        <v>0</v>
      </c>
      <c r="BV183" s="129"/>
      <c r="BZ183" s="129"/>
      <c r="DJ183" s="129">
        <v>0</v>
      </c>
      <c r="DK183" s="129">
        <v>0</v>
      </c>
      <c r="DL183" s="129"/>
      <c r="DM183" s="129">
        <v>-6.1</v>
      </c>
      <c r="DO183" s="129">
        <v>-0.72</v>
      </c>
      <c r="DQ183" s="129">
        <v>616656</v>
      </c>
      <c r="DS183" s="129">
        <v>1</v>
      </c>
      <c r="DU183" s="129" t="s">
        <v>382</v>
      </c>
      <c r="DW183" s="129">
        <f>SUM(_2025_01_07T12_47_export3[[#This Row],[Ni_wt]:[H_wt]])</f>
        <v>99.867999999999995</v>
      </c>
      <c r="DY183" s="130">
        <f>SUM($AM183:BJ183)</f>
        <v>99.999999999999986</v>
      </c>
    </row>
    <row r="184" spans="1:129" x14ac:dyDescent="0.25">
      <c r="A184" s="129" t="s">
        <v>389</v>
      </c>
      <c r="B184" s="129">
        <v>192</v>
      </c>
      <c r="C184" s="129" t="s">
        <v>379</v>
      </c>
      <c r="D184" s="129">
        <v>2023</v>
      </c>
      <c r="E184" s="129" t="s">
        <v>380</v>
      </c>
      <c r="F184" s="129" t="s">
        <v>381</v>
      </c>
      <c r="G184" s="129" t="s">
        <v>226</v>
      </c>
      <c r="H184" s="129">
        <v>0</v>
      </c>
      <c r="I184" s="129">
        <v>750</v>
      </c>
      <c r="J184" s="129">
        <v>1000</v>
      </c>
      <c r="K184" s="129" t="s">
        <v>55</v>
      </c>
      <c r="L184" s="129" t="s">
        <v>371</v>
      </c>
      <c r="N184" s="129">
        <v>8960000</v>
      </c>
      <c r="O184" s="130">
        <v>62.7</v>
      </c>
      <c r="P184" s="130">
        <v>20.68</v>
      </c>
      <c r="Q184" s="130">
        <v>1.23</v>
      </c>
      <c r="R184" s="130">
        <v>1.05</v>
      </c>
      <c r="S184" s="130">
        <v>13.47</v>
      </c>
      <c r="T184" s="130">
        <v>0.17</v>
      </c>
      <c r="U184" s="130">
        <v>0.54</v>
      </c>
      <c r="V184" s="130"/>
      <c r="W184" s="130"/>
      <c r="X184" s="130"/>
      <c r="Y184" s="130"/>
      <c r="Z184" s="130"/>
      <c r="AA184" s="130"/>
      <c r="AB184" s="130"/>
      <c r="AC184" s="130"/>
      <c r="AD184" s="130"/>
      <c r="AE184" s="130"/>
      <c r="AF184" s="130"/>
      <c r="AG184" s="130"/>
      <c r="AH184" s="130"/>
      <c r="AI184" s="130"/>
      <c r="AJ184" s="130"/>
      <c r="AK184" s="130"/>
      <c r="AL184" s="130"/>
      <c r="AM184" s="130">
        <f t="shared" si="50"/>
        <v>67.460291182954194</v>
      </c>
      <c r="AN184" s="130">
        <f t="shared" si="51"/>
        <v>25.112616870147946</v>
      </c>
      <c r="AO184" s="130">
        <f t="shared" si="52"/>
        <v>0.80939338794788296</v>
      </c>
      <c r="AP184" s="130">
        <f t="shared" si="53"/>
        <v>1.1871645010641569</v>
      </c>
      <c r="AQ184" s="130">
        <f t="shared" si="54"/>
        <v>4.6277178121577016</v>
      </c>
      <c r="AR184" s="130">
        <f t="shared" si="55"/>
        <v>0.18216177959893723</v>
      </c>
      <c r="AS184" s="130">
        <f t="shared" si="56"/>
        <v>0.62065446612917841</v>
      </c>
      <c r="AT184" s="130">
        <f t="shared" si="57"/>
        <v>0</v>
      </c>
      <c r="AU184" s="130">
        <f t="shared" si="58"/>
        <v>0</v>
      </c>
      <c r="AV184" s="130">
        <f t="shared" si="59"/>
        <v>0</v>
      </c>
      <c r="AW184" s="130">
        <f t="shared" si="60"/>
        <v>0</v>
      </c>
      <c r="AX184" s="130">
        <f t="shared" si="61"/>
        <v>0</v>
      </c>
      <c r="AY184" s="130">
        <f t="shared" si="62"/>
        <v>0</v>
      </c>
      <c r="AZ184" s="130">
        <f t="shared" si="63"/>
        <v>0</v>
      </c>
      <c r="BA184" s="130">
        <f t="shared" si="64"/>
        <v>0</v>
      </c>
      <c r="BB184" s="130">
        <f t="shared" si="65"/>
        <v>0</v>
      </c>
      <c r="BC184" s="130">
        <f t="shared" si="66"/>
        <v>0</v>
      </c>
      <c r="BD184" s="130">
        <f t="shared" si="67"/>
        <v>0</v>
      </c>
      <c r="BE184" s="130">
        <f t="shared" si="68"/>
        <v>0</v>
      </c>
      <c r="BF184" s="130">
        <f t="shared" si="69"/>
        <v>0</v>
      </c>
      <c r="BG184" s="130">
        <f t="shared" si="70"/>
        <v>0</v>
      </c>
      <c r="BH184" s="130">
        <f t="shared" si="71"/>
        <v>0</v>
      </c>
      <c r="BI184" s="130">
        <f t="shared" si="72"/>
        <v>0</v>
      </c>
      <c r="BJ184" s="130">
        <f t="shared" si="73"/>
        <v>0</v>
      </c>
      <c r="BK184" s="130">
        <f t="shared" si="74"/>
        <v>-127.72289768063038</v>
      </c>
      <c r="BL184" s="130">
        <f>IF($K184=$L184,$BK184,IF(OR($K184="graphite",$K184="vitreous carbon"),$BK$406+($BM$389+$I184)*$BJ$406,IF($K184="Pyrolytic Boron Nitride","PBN",IF(COUNTIF($BH$396:$BH$416,$K184)&gt;0,VLOOKUP($K184,$BH$396:$BK$416,4,FALSE)+($BM$389+$I184)*VLOOKUP($K184,$BH$396:$BK$416,3,FALSE),IF(COUNTIF($L$2:$L183,$K184)&gt;0,VLOOKUP($K184,$L$2:$BK183,52,FALSE),"idk")))))</f>
        <v>-113.97577374311049</v>
      </c>
      <c r="BM184" s="130">
        <v>12.7</v>
      </c>
      <c r="BN184" s="130">
        <v>6.35</v>
      </c>
      <c r="BO184" s="130">
        <v>1.6</v>
      </c>
      <c r="BP184" s="129" t="s">
        <v>228</v>
      </c>
      <c r="BQ184" s="129"/>
      <c r="BR184" s="129" t="s">
        <v>230</v>
      </c>
      <c r="BS184" s="129"/>
      <c r="BT184" s="129">
        <v>0</v>
      </c>
      <c r="BV184" s="129"/>
      <c r="BZ184" s="129"/>
      <c r="DJ184" s="129">
        <v>0</v>
      </c>
      <c r="DK184" s="129">
        <v>0</v>
      </c>
      <c r="DL184" s="129"/>
      <c r="DM184" s="129">
        <v>-16.3</v>
      </c>
      <c r="DO184" s="129">
        <v>-1.05</v>
      </c>
      <c r="DQ184" s="129">
        <v>1852928</v>
      </c>
      <c r="DS184" s="129">
        <v>1</v>
      </c>
      <c r="DU184" s="129" t="s">
        <v>382</v>
      </c>
      <c r="DW184" s="129">
        <f>SUM(_2025_01_07T12_47_export3[[#This Row],[Ni_wt]:[H_wt]])</f>
        <v>99.84</v>
      </c>
      <c r="DY184" s="130">
        <f>SUM($AM184:BJ184)</f>
        <v>100</v>
      </c>
    </row>
    <row r="185" spans="1:129" x14ac:dyDescent="0.25">
      <c r="A185" s="238" t="s">
        <v>389</v>
      </c>
      <c r="B185" s="238">
        <v>193</v>
      </c>
      <c r="C185" s="238" t="s">
        <v>379</v>
      </c>
      <c r="D185" s="238">
        <v>2023</v>
      </c>
      <c r="E185" s="238" t="s">
        <v>380</v>
      </c>
      <c r="F185" s="238" t="s">
        <v>381</v>
      </c>
      <c r="G185" s="238" t="s">
        <v>226</v>
      </c>
      <c r="H185" s="238">
        <v>0</v>
      </c>
      <c r="I185" s="238">
        <v>750</v>
      </c>
      <c r="J185" s="238">
        <v>1000</v>
      </c>
      <c r="K185" s="238" t="s">
        <v>55</v>
      </c>
      <c r="L185" s="238" t="s">
        <v>371</v>
      </c>
      <c r="M185" s="238"/>
      <c r="N185" s="238">
        <v>8960000</v>
      </c>
      <c r="O185" s="239">
        <v>62.7</v>
      </c>
      <c r="P185" s="239">
        <v>20.68</v>
      </c>
      <c r="Q185" s="239">
        <v>1.23</v>
      </c>
      <c r="R185" s="239">
        <v>1.05</v>
      </c>
      <c r="S185" s="239">
        <v>13.47</v>
      </c>
      <c r="T185" s="239">
        <v>0.17</v>
      </c>
      <c r="U185" s="239">
        <v>0.54</v>
      </c>
      <c r="V185" s="239"/>
      <c r="W185" s="239"/>
      <c r="X185" s="239"/>
      <c r="Y185" s="239"/>
      <c r="Z185" s="239"/>
      <c r="AA185" s="239"/>
      <c r="AB185" s="239"/>
      <c r="AC185" s="239"/>
      <c r="AD185" s="239"/>
      <c r="AE185" s="239"/>
      <c r="AF185" s="239"/>
      <c r="AG185" s="239"/>
      <c r="AH185" s="239"/>
      <c r="AI185" s="239"/>
      <c r="AJ185" s="239"/>
      <c r="AK185" s="239"/>
      <c r="AL185" s="239"/>
      <c r="AM185" s="239">
        <f t="shared" si="50"/>
        <v>67.460291182954194</v>
      </c>
      <c r="AN185" s="239">
        <f t="shared" si="51"/>
        <v>25.112616870147946</v>
      </c>
      <c r="AO185" s="239">
        <f t="shared" si="52"/>
        <v>0.80939338794788296</v>
      </c>
      <c r="AP185" s="239">
        <f t="shared" si="53"/>
        <v>1.1871645010641569</v>
      </c>
      <c r="AQ185" s="239">
        <f t="shared" si="54"/>
        <v>4.6277178121577016</v>
      </c>
      <c r="AR185" s="239">
        <f t="shared" si="55"/>
        <v>0.18216177959893723</v>
      </c>
      <c r="AS185" s="239">
        <f t="shared" si="56"/>
        <v>0.62065446612917841</v>
      </c>
      <c r="AT185" s="239">
        <f t="shared" si="57"/>
        <v>0</v>
      </c>
      <c r="AU185" s="239">
        <f t="shared" si="58"/>
        <v>0</v>
      </c>
      <c r="AV185" s="239">
        <f t="shared" si="59"/>
        <v>0</v>
      </c>
      <c r="AW185" s="239">
        <f t="shared" si="60"/>
        <v>0</v>
      </c>
      <c r="AX185" s="239">
        <f t="shared" si="61"/>
        <v>0</v>
      </c>
      <c r="AY185" s="239">
        <f t="shared" si="62"/>
        <v>0</v>
      </c>
      <c r="AZ185" s="239">
        <f t="shared" si="63"/>
        <v>0</v>
      </c>
      <c r="BA185" s="239">
        <f t="shared" si="64"/>
        <v>0</v>
      </c>
      <c r="BB185" s="239">
        <f t="shared" si="65"/>
        <v>0</v>
      </c>
      <c r="BC185" s="239">
        <f t="shared" si="66"/>
        <v>0</v>
      </c>
      <c r="BD185" s="239">
        <f t="shared" si="67"/>
        <v>0</v>
      </c>
      <c r="BE185" s="239">
        <f t="shared" si="68"/>
        <v>0</v>
      </c>
      <c r="BF185" s="239">
        <f t="shared" si="69"/>
        <v>0</v>
      </c>
      <c r="BG185" s="239">
        <f t="shared" si="70"/>
        <v>0</v>
      </c>
      <c r="BH185" s="239">
        <f t="shared" si="71"/>
        <v>0</v>
      </c>
      <c r="BI185" s="239">
        <f t="shared" si="72"/>
        <v>0</v>
      </c>
      <c r="BJ185" s="239">
        <f t="shared" si="73"/>
        <v>0</v>
      </c>
      <c r="BK185" s="239">
        <f t="shared" si="74"/>
        <v>-127.72289768063038</v>
      </c>
      <c r="BL185" s="239">
        <f>IF($K185=$L185,$BK185,IF(OR($K185="graphite",$K185="vitreous carbon"),$BK$406+($BM$389+$I185)*$BJ$406,IF($K185="Pyrolytic Boron Nitride","PBN",IF(COUNTIF($BH$396:$BH$416,$K185)&gt;0,VLOOKUP($K185,$BH$396:$BK$416,4,FALSE)+($BM$389+$I185)*VLOOKUP($K185,$BH$396:$BK$416,3,FALSE),IF(COUNTIF($L$2:$L184,$K185)&gt;0,VLOOKUP($K185,$L$2:$BK184,52,FALSE),"idk")))))</f>
        <v>-113.97577374311049</v>
      </c>
      <c r="BM185" s="239">
        <v>12.7</v>
      </c>
      <c r="BN185" s="239">
        <v>6.35</v>
      </c>
      <c r="BO185" s="239">
        <v>1.6</v>
      </c>
      <c r="BP185" s="238" t="s">
        <v>228</v>
      </c>
      <c r="BQ185" s="238"/>
      <c r="BR185" s="238" t="s">
        <v>230</v>
      </c>
      <c r="BS185" s="238"/>
      <c r="BT185" s="238">
        <v>0</v>
      </c>
      <c r="BU185" s="238"/>
      <c r="BV185" s="238"/>
      <c r="BW185" s="238"/>
      <c r="BX185" s="238"/>
      <c r="BY185" s="238"/>
      <c r="BZ185" s="238"/>
      <c r="CA185" s="238"/>
      <c r="CB185" s="238"/>
      <c r="CC185" s="238"/>
      <c r="CD185" s="238"/>
      <c r="CE185" s="238"/>
      <c r="CF185" s="238"/>
      <c r="CG185" s="238"/>
      <c r="CH185" s="238"/>
      <c r="CI185" s="238"/>
      <c r="CJ185" s="238"/>
      <c r="CK185" s="238"/>
      <c r="CL185" s="238"/>
      <c r="CM185" s="238"/>
      <c r="CN185" s="238"/>
      <c r="CO185" s="238"/>
      <c r="CP185" s="238"/>
      <c r="CQ185" s="238"/>
      <c r="CR185" s="238"/>
      <c r="CS185" s="238"/>
      <c r="CT185" s="238"/>
      <c r="CU185" s="238"/>
      <c r="CV185" s="238"/>
      <c r="CW185" s="238"/>
      <c r="CX185" s="238"/>
      <c r="CY185" s="238"/>
      <c r="CZ185" s="238"/>
      <c r="DA185" s="238"/>
      <c r="DB185" s="238"/>
      <c r="DC185" s="238"/>
      <c r="DD185" s="238"/>
      <c r="DE185" s="238"/>
      <c r="DF185" s="238"/>
      <c r="DG185" s="238"/>
      <c r="DH185" s="238"/>
      <c r="DI185" s="238"/>
      <c r="DJ185" s="238">
        <v>0</v>
      </c>
      <c r="DK185" s="238">
        <v>0</v>
      </c>
      <c r="DL185" s="238"/>
      <c r="DM185" s="238">
        <v>-11.4</v>
      </c>
      <c r="DN185" s="238"/>
      <c r="DO185" s="238">
        <v>-1.04</v>
      </c>
      <c r="DP185" s="238"/>
      <c r="DQ185" s="238">
        <v>1852928</v>
      </c>
      <c r="DR185" s="238"/>
      <c r="DS185" s="238">
        <v>1</v>
      </c>
      <c r="DT185" s="238"/>
      <c r="DU185" s="238" t="s">
        <v>382</v>
      </c>
      <c r="DW185" s="129">
        <f>SUM(_2025_01_07T12_47_export3[[#This Row],[Ni_wt]:[H_wt]])</f>
        <v>99.84</v>
      </c>
      <c r="DY185" s="130">
        <f>SUM($AM185:BJ185)</f>
        <v>100</v>
      </c>
    </row>
    <row r="186" spans="1:129" x14ac:dyDescent="0.25">
      <c r="A186" s="129" t="s">
        <v>387</v>
      </c>
      <c r="B186" s="129">
        <v>194</v>
      </c>
      <c r="C186" s="129" t="s">
        <v>379</v>
      </c>
      <c r="D186" s="129">
        <v>2023</v>
      </c>
      <c r="E186" s="129" t="s">
        <v>380</v>
      </c>
      <c r="F186" s="129" t="s">
        <v>381</v>
      </c>
      <c r="G186" s="129" t="s">
        <v>226</v>
      </c>
      <c r="H186" s="129">
        <v>0</v>
      </c>
      <c r="I186" s="129">
        <v>750</v>
      </c>
      <c r="J186" s="129">
        <v>1000</v>
      </c>
      <c r="K186" s="129" t="s">
        <v>55</v>
      </c>
      <c r="L186" s="129" t="s">
        <v>281</v>
      </c>
      <c r="N186" s="129">
        <v>9050000</v>
      </c>
      <c r="O186" s="130">
        <v>65.39</v>
      </c>
      <c r="P186" s="130">
        <v>8.48</v>
      </c>
      <c r="Q186" s="130">
        <v>23.91</v>
      </c>
      <c r="R186" s="130">
        <v>1.32</v>
      </c>
      <c r="S186" s="130">
        <v>0.1</v>
      </c>
      <c r="T186" s="130"/>
      <c r="U186" s="130">
        <v>0.35</v>
      </c>
      <c r="V186" s="130"/>
      <c r="W186" s="130"/>
      <c r="X186" s="130"/>
      <c r="Y186" s="130"/>
      <c r="Z186" s="130">
        <v>0.03</v>
      </c>
      <c r="AA186" s="130"/>
      <c r="AB186" s="130"/>
      <c r="AC186" s="130"/>
      <c r="AD186" s="130"/>
      <c r="AE186" s="130"/>
      <c r="AF186" s="130"/>
      <c r="AG186" s="130"/>
      <c r="AH186" s="130"/>
      <c r="AI186" s="130"/>
      <c r="AJ186" s="130"/>
      <c r="AK186" s="130"/>
      <c r="AL186" s="130"/>
      <c r="AM186" s="130">
        <f t="shared" si="50"/>
        <v>71.538595301864788</v>
      </c>
      <c r="AN186" s="130">
        <f t="shared" si="51"/>
        <v>10.47094043493461</v>
      </c>
      <c r="AO186" s="130">
        <f t="shared" si="52"/>
        <v>15.998619783551343</v>
      </c>
      <c r="AP186" s="130">
        <f t="shared" si="53"/>
        <v>1.5175532327450372</v>
      </c>
      <c r="AQ186" s="130">
        <f t="shared" si="54"/>
        <v>3.4933948317015497E-2</v>
      </c>
      <c r="AR186" s="130">
        <f t="shared" si="55"/>
        <v>0</v>
      </c>
      <c r="AS186" s="130">
        <f t="shared" si="56"/>
        <v>0.40904639520087488</v>
      </c>
      <c r="AT186" s="130">
        <f t="shared" si="57"/>
        <v>0</v>
      </c>
      <c r="AU186" s="130">
        <f t="shared" si="58"/>
        <v>0</v>
      </c>
      <c r="AV186" s="130">
        <f t="shared" si="59"/>
        <v>0</v>
      </c>
      <c r="AW186" s="130">
        <f t="shared" si="60"/>
        <v>0</v>
      </c>
      <c r="AX186" s="130">
        <f t="shared" si="61"/>
        <v>3.0310903386313683E-2</v>
      </c>
      <c r="AY186" s="130">
        <f t="shared" si="62"/>
        <v>0</v>
      </c>
      <c r="AZ186" s="130">
        <f t="shared" si="63"/>
        <v>0</v>
      </c>
      <c r="BA186" s="130">
        <f t="shared" si="64"/>
        <v>0</v>
      </c>
      <c r="BB186" s="130">
        <f t="shared" si="65"/>
        <v>0</v>
      </c>
      <c r="BC186" s="130">
        <f t="shared" si="66"/>
        <v>0</v>
      </c>
      <c r="BD186" s="130">
        <f t="shared" si="67"/>
        <v>0</v>
      </c>
      <c r="BE186" s="130">
        <f t="shared" si="68"/>
        <v>0</v>
      </c>
      <c r="BF186" s="130">
        <f t="shared" si="69"/>
        <v>0</v>
      </c>
      <c r="BG186" s="130">
        <f t="shared" si="70"/>
        <v>0</v>
      </c>
      <c r="BH186" s="130">
        <f t="shared" si="71"/>
        <v>0</v>
      </c>
      <c r="BI186" s="130">
        <f t="shared" si="72"/>
        <v>0</v>
      </c>
      <c r="BJ186" s="130">
        <f t="shared" si="73"/>
        <v>0</v>
      </c>
      <c r="BK186" s="130">
        <f t="shared" si="74"/>
        <v>-122.30320349979108</v>
      </c>
      <c r="BL186" s="130">
        <f>IF($K186=$L186,$BK186,IF(OR($K186="graphite",$K186="vitreous carbon"),$BK$406+($BM$389+$I186)*$BJ$406,IF($K186="Pyrolytic Boron Nitride","PBN",IF(COUNTIF($BH$396:$BH$416,$K186)&gt;0,VLOOKUP($K186,$BH$396:$BK$416,4,FALSE)+($BM$389+$I186)*VLOOKUP($K186,$BH$396:$BK$416,3,FALSE),IF(COUNTIF($L$2:$L185,$K186)&gt;0,VLOOKUP($K186,$L$2:$BK185,52,FALSE),"idk")))))</f>
        <v>-113.97577374311049</v>
      </c>
      <c r="BM186" s="130">
        <v>12.7</v>
      </c>
      <c r="BN186" s="130">
        <v>6.35</v>
      </c>
      <c r="BO186" s="130">
        <v>1.6</v>
      </c>
      <c r="BP186" s="129" t="s">
        <v>228</v>
      </c>
      <c r="BQ186" s="129"/>
      <c r="BR186" s="129" t="s">
        <v>230</v>
      </c>
      <c r="BS186" s="129"/>
      <c r="BT186" s="129">
        <v>0</v>
      </c>
      <c r="BV186" s="129"/>
      <c r="BZ186" s="129"/>
      <c r="DJ186" s="129">
        <v>0</v>
      </c>
      <c r="DK186" s="129">
        <v>0</v>
      </c>
      <c r="DL186" s="129"/>
      <c r="DM186" s="129">
        <v>-14.3</v>
      </c>
      <c r="DO186" s="129">
        <v>-1.89</v>
      </c>
      <c r="DQ186" s="129">
        <v>767440</v>
      </c>
      <c r="DS186" s="129">
        <v>1</v>
      </c>
      <c r="DU186" s="129" t="s">
        <v>382</v>
      </c>
      <c r="DW186" s="129">
        <f>SUM(_2025_01_07T12_47_export3[[#This Row],[Ni_wt]:[H_wt]])</f>
        <v>99.579999999999984</v>
      </c>
      <c r="DY186" s="130">
        <f>SUM($AM186:BJ186)</f>
        <v>99.999999999999986</v>
      </c>
    </row>
    <row r="187" spans="1:129" x14ac:dyDescent="0.25">
      <c r="A187" s="129" t="s">
        <v>387</v>
      </c>
      <c r="B187" s="129">
        <v>195</v>
      </c>
      <c r="C187" s="129" t="s">
        <v>379</v>
      </c>
      <c r="D187" s="129">
        <v>2023</v>
      </c>
      <c r="E187" s="129" t="s">
        <v>380</v>
      </c>
      <c r="F187" s="129" t="s">
        <v>381</v>
      </c>
      <c r="G187" s="129" t="s">
        <v>226</v>
      </c>
      <c r="H187" s="129">
        <v>0</v>
      </c>
      <c r="I187" s="129">
        <v>750</v>
      </c>
      <c r="J187" s="129">
        <v>1000</v>
      </c>
      <c r="K187" s="129" t="s">
        <v>55</v>
      </c>
      <c r="L187" s="129" t="s">
        <v>281</v>
      </c>
      <c r="N187" s="129">
        <v>9050000</v>
      </c>
      <c r="O187" s="130">
        <v>65.39</v>
      </c>
      <c r="P187" s="130">
        <v>8.48</v>
      </c>
      <c r="Q187" s="130">
        <v>23.91</v>
      </c>
      <c r="R187" s="130">
        <v>1.32</v>
      </c>
      <c r="S187" s="130">
        <v>0.1</v>
      </c>
      <c r="T187" s="130"/>
      <c r="U187" s="130">
        <v>0.35</v>
      </c>
      <c r="V187" s="130"/>
      <c r="W187" s="130"/>
      <c r="X187" s="130"/>
      <c r="Y187" s="130"/>
      <c r="Z187" s="130">
        <v>0.03</v>
      </c>
      <c r="AA187" s="130"/>
      <c r="AB187" s="130"/>
      <c r="AC187" s="130"/>
      <c r="AD187" s="130"/>
      <c r="AE187" s="130"/>
      <c r="AF187" s="130"/>
      <c r="AG187" s="130"/>
      <c r="AH187" s="130"/>
      <c r="AI187" s="130"/>
      <c r="AJ187" s="130"/>
      <c r="AK187" s="130"/>
      <c r="AL187" s="130"/>
      <c r="AM187" s="130">
        <f t="shared" si="50"/>
        <v>71.538595301864788</v>
      </c>
      <c r="AN187" s="130">
        <f t="shared" si="51"/>
        <v>10.47094043493461</v>
      </c>
      <c r="AO187" s="130">
        <f t="shared" si="52"/>
        <v>15.998619783551343</v>
      </c>
      <c r="AP187" s="130">
        <f t="shared" si="53"/>
        <v>1.5175532327450372</v>
      </c>
      <c r="AQ187" s="130">
        <f t="shared" si="54"/>
        <v>3.4933948317015497E-2</v>
      </c>
      <c r="AR187" s="130">
        <f t="shared" si="55"/>
        <v>0</v>
      </c>
      <c r="AS187" s="130">
        <f t="shared" si="56"/>
        <v>0.40904639520087488</v>
      </c>
      <c r="AT187" s="130">
        <f t="shared" si="57"/>
        <v>0</v>
      </c>
      <c r="AU187" s="130">
        <f t="shared" si="58"/>
        <v>0</v>
      </c>
      <c r="AV187" s="130">
        <f t="shared" si="59"/>
        <v>0</v>
      </c>
      <c r="AW187" s="130">
        <f t="shared" si="60"/>
        <v>0</v>
      </c>
      <c r="AX187" s="130">
        <f t="shared" si="61"/>
        <v>3.0310903386313683E-2</v>
      </c>
      <c r="AY187" s="130">
        <f t="shared" si="62"/>
        <v>0</v>
      </c>
      <c r="AZ187" s="130">
        <f t="shared" si="63"/>
        <v>0</v>
      </c>
      <c r="BA187" s="130">
        <f t="shared" si="64"/>
        <v>0</v>
      </c>
      <c r="BB187" s="130">
        <f t="shared" si="65"/>
        <v>0</v>
      </c>
      <c r="BC187" s="130">
        <f t="shared" si="66"/>
        <v>0</v>
      </c>
      <c r="BD187" s="130">
        <f t="shared" si="67"/>
        <v>0</v>
      </c>
      <c r="BE187" s="130">
        <f t="shared" si="68"/>
        <v>0</v>
      </c>
      <c r="BF187" s="130">
        <f t="shared" si="69"/>
        <v>0</v>
      </c>
      <c r="BG187" s="130">
        <f t="shared" si="70"/>
        <v>0</v>
      </c>
      <c r="BH187" s="130">
        <f t="shared" si="71"/>
        <v>0</v>
      </c>
      <c r="BI187" s="130">
        <f t="shared" si="72"/>
        <v>0</v>
      </c>
      <c r="BJ187" s="130">
        <f t="shared" si="73"/>
        <v>0</v>
      </c>
      <c r="BK187" s="130">
        <f t="shared" si="74"/>
        <v>-122.30320349979108</v>
      </c>
      <c r="BL187" s="130">
        <f>IF($K187=$L187,$BK187,IF(OR($K187="graphite",$K187="vitreous carbon"),$BK$406+($BM$389+$I187)*$BJ$406,IF($K187="Pyrolytic Boron Nitride","PBN",IF(COUNTIF($BH$396:$BH$416,$K187)&gt;0,VLOOKUP($K187,$BH$396:$BK$416,4,FALSE)+($BM$389+$I187)*VLOOKUP($K187,$BH$396:$BK$416,3,FALSE),IF(COUNTIF($L$2:$L186,$K187)&gt;0,VLOOKUP($K187,$L$2:$BK186,52,FALSE),"idk")))))</f>
        <v>-113.97577374311049</v>
      </c>
      <c r="BM187" s="130">
        <v>12.7</v>
      </c>
      <c r="BN187" s="130">
        <v>6.35</v>
      </c>
      <c r="BO187" s="130">
        <v>1.6</v>
      </c>
      <c r="BP187" s="129" t="s">
        <v>228</v>
      </c>
      <c r="BQ187" s="129"/>
      <c r="BR187" s="129" t="s">
        <v>230</v>
      </c>
      <c r="BS187" s="129"/>
      <c r="BT187" s="129">
        <v>0</v>
      </c>
      <c r="BV187" s="129"/>
      <c r="BZ187" s="129"/>
      <c r="DJ187" s="129">
        <v>0</v>
      </c>
      <c r="DK187" s="129">
        <v>0</v>
      </c>
      <c r="DL187" s="129"/>
      <c r="DM187" s="129">
        <v>-12.3</v>
      </c>
      <c r="DO187" s="129">
        <v>-1.08</v>
      </c>
      <c r="DQ187" s="129">
        <v>767440</v>
      </c>
      <c r="DS187" s="129">
        <v>1</v>
      </c>
      <c r="DU187" s="129" t="s">
        <v>382</v>
      </c>
      <c r="DW187" s="129">
        <f>SUM(_2025_01_07T12_47_export3[[#This Row],[Ni_wt]:[H_wt]])</f>
        <v>99.579999999999984</v>
      </c>
      <c r="DY187" s="130">
        <f>SUM($AM187:BJ187)</f>
        <v>99.999999999999986</v>
      </c>
    </row>
    <row r="188" spans="1:129" x14ac:dyDescent="0.25">
      <c r="A188" s="129" t="s">
        <v>384</v>
      </c>
      <c r="B188" s="129">
        <v>196</v>
      </c>
      <c r="C188" s="129" t="s">
        <v>379</v>
      </c>
      <c r="D188" s="129">
        <v>2023</v>
      </c>
      <c r="E188" s="129" t="s">
        <v>380</v>
      </c>
      <c r="F188" s="129" t="s">
        <v>381</v>
      </c>
      <c r="G188" s="129" t="s">
        <v>226</v>
      </c>
      <c r="H188" s="129">
        <v>0</v>
      </c>
      <c r="I188" s="129">
        <v>750</v>
      </c>
      <c r="J188" s="129">
        <v>1000</v>
      </c>
      <c r="K188" s="129" t="s">
        <v>55</v>
      </c>
      <c r="L188" s="129" t="s">
        <v>385</v>
      </c>
      <c r="N188" s="129">
        <v>9330000</v>
      </c>
      <c r="O188" s="130">
        <v>62.38</v>
      </c>
      <c r="P188" s="130">
        <v>8.31</v>
      </c>
      <c r="Q188" s="130">
        <v>22.12</v>
      </c>
      <c r="R188" s="130">
        <v>1.1479999999999999</v>
      </c>
      <c r="S188" s="130">
        <v>5.24</v>
      </c>
      <c r="T188" s="130"/>
      <c r="U188" s="130">
        <v>0.35</v>
      </c>
      <c r="V188" s="130"/>
      <c r="W188" s="130"/>
      <c r="X188" s="130"/>
      <c r="Y188" s="130"/>
      <c r="Z188" s="130"/>
      <c r="AA188" s="130"/>
      <c r="AB188" s="130"/>
      <c r="AC188" s="130"/>
      <c r="AD188" s="130"/>
      <c r="AE188" s="130"/>
      <c r="AF188" s="130"/>
      <c r="AG188" s="130"/>
      <c r="AH188" s="130"/>
      <c r="AI188" s="130"/>
      <c r="AJ188" s="130"/>
      <c r="AK188" s="130"/>
      <c r="AL188" s="130"/>
      <c r="AM188" s="130">
        <f t="shared" si="50"/>
        <v>70.452935159948666</v>
      </c>
      <c r="AN188" s="130">
        <f t="shared" si="51"/>
        <v>10.592915558890205</v>
      </c>
      <c r="AO188" s="130">
        <f t="shared" si="52"/>
        <v>15.279625626775232</v>
      </c>
      <c r="AP188" s="130">
        <f t="shared" si="53"/>
        <v>1.3625000936269027</v>
      </c>
      <c r="AQ188" s="130">
        <f t="shared" si="54"/>
        <v>1.8897467630713567</v>
      </c>
      <c r="AR188" s="130">
        <f t="shared" si="55"/>
        <v>0</v>
      </c>
      <c r="AS188" s="130">
        <f t="shared" si="56"/>
        <v>0.42227679768762444</v>
      </c>
      <c r="AT188" s="130">
        <f t="shared" si="57"/>
        <v>0</v>
      </c>
      <c r="AU188" s="130">
        <f t="shared" si="58"/>
        <v>0</v>
      </c>
      <c r="AV188" s="130">
        <f t="shared" si="59"/>
        <v>0</v>
      </c>
      <c r="AW188" s="130">
        <f t="shared" si="60"/>
        <v>0</v>
      </c>
      <c r="AX188" s="130">
        <f t="shared" si="61"/>
        <v>0</v>
      </c>
      <c r="AY188" s="130">
        <f t="shared" si="62"/>
        <v>0</v>
      </c>
      <c r="AZ188" s="130">
        <f t="shared" si="63"/>
        <v>0</v>
      </c>
      <c r="BA188" s="130">
        <f t="shared" si="64"/>
        <v>0</v>
      </c>
      <c r="BB188" s="130">
        <f t="shared" si="65"/>
        <v>0</v>
      </c>
      <c r="BC188" s="130">
        <f t="shared" si="66"/>
        <v>0</v>
      </c>
      <c r="BD188" s="130">
        <f t="shared" si="67"/>
        <v>0</v>
      </c>
      <c r="BE188" s="130">
        <f t="shared" si="68"/>
        <v>0</v>
      </c>
      <c r="BF188" s="130">
        <f t="shared" si="69"/>
        <v>0</v>
      </c>
      <c r="BG188" s="130">
        <f t="shared" si="70"/>
        <v>0</v>
      </c>
      <c r="BH188" s="130">
        <f t="shared" si="71"/>
        <v>0</v>
      </c>
      <c r="BI188" s="130">
        <f t="shared" si="72"/>
        <v>0</v>
      </c>
      <c r="BJ188" s="130">
        <f t="shared" si="73"/>
        <v>0</v>
      </c>
      <c r="BK188" s="130">
        <f t="shared" si="74"/>
        <v>-122.41608632182822</v>
      </c>
      <c r="BL188" s="130">
        <f>IF($K188=$L188,$BK188,IF(OR($K188="graphite",$K188="vitreous carbon"),$BK$406+($BM$389+$I188)*$BJ$406,IF($K188="Pyrolytic Boron Nitride","PBN",IF(COUNTIF($BH$396:$BH$416,$K188)&gt;0,VLOOKUP($K188,$BH$396:$BK$416,4,FALSE)+($BM$389+$I188)*VLOOKUP($K188,$BH$396:$BK$416,3,FALSE),IF(COUNTIF($L$2:$L187,$K188)&gt;0,VLOOKUP($K188,$L$2:$BK187,52,FALSE),"idk")))))</f>
        <v>-113.97577374311049</v>
      </c>
      <c r="BM188" s="130">
        <v>12.7</v>
      </c>
      <c r="BN188" s="130">
        <v>6.35</v>
      </c>
      <c r="BO188" s="130">
        <v>1.6</v>
      </c>
      <c r="BP188" s="129" t="s">
        <v>228</v>
      </c>
      <c r="BQ188" s="129"/>
      <c r="BR188" s="129" t="s">
        <v>230</v>
      </c>
      <c r="BS188" s="129"/>
      <c r="BT188" s="129">
        <v>0</v>
      </c>
      <c r="BV188" s="129"/>
      <c r="BZ188" s="129"/>
      <c r="DJ188" s="129">
        <v>0</v>
      </c>
      <c r="DK188" s="129">
        <v>0</v>
      </c>
      <c r="DL188" s="129"/>
      <c r="DM188" s="129">
        <v>-16.3</v>
      </c>
      <c r="DO188" s="129">
        <v>-1.06</v>
      </c>
      <c r="DQ188" s="129">
        <v>775323</v>
      </c>
      <c r="DS188" s="129">
        <v>1</v>
      </c>
      <c r="DU188" s="129" t="s">
        <v>382</v>
      </c>
      <c r="DW188" s="129">
        <f>SUM(_2025_01_07T12_47_export3[[#This Row],[Ni_wt]:[H_wt]])</f>
        <v>99.547999999999988</v>
      </c>
      <c r="DY188" s="130">
        <f>SUM($AM188:BJ188)</f>
        <v>99.999999999999986</v>
      </c>
    </row>
    <row r="189" spans="1:129" ht="16.5" thickBot="1" x14ac:dyDescent="0.3">
      <c r="A189" s="136" t="s">
        <v>384</v>
      </c>
      <c r="B189" s="136">
        <v>197</v>
      </c>
      <c r="C189" s="136" t="s">
        <v>379</v>
      </c>
      <c r="D189" s="136">
        <v>2023</v>
      </c>
      <c r="E189" s="136" t="s">
        <v>380</v>
      </c>
      <c r="F189" s="136" t="s">
        <v>381</v>
      </c>
      <c r="G189" s="136" t="s">
        <v>226</v>
      </c>
      <c r="H189" s="136">
        <v>0</v>
      </c>
      <c r="I189" s="136">
        <v>750</v>
      </c>
      <c r="J189" s="136">
        <v>1000</v>
      </c>
      <c r="K189" s="136" t="s">
        <v>55</v>
      </c>
      <c r="L189" s="136" t="s">
        <v>385</v>
      </c>
      <c r="M189" s="136"/>
      <c r="N189" s="136">
        <v>9330000</v>
      </c>
      <c r="O189" s="137">
        <v>62.38</v>
      </c>
      <c r="P189" s="137">
        <v>8.31</v>
      </c>
      <c r="Q189" s="137">
        <v>22.12</v>
      </c>
      <c r="R189" s="137">
        <v>1.1479999999999999</v>
      </c>
      <c r="S189" s="137">
        <v>5.24</v>
      </c>
      <c r="T189" s="137"/>
      <c r="U189" s="137">
        <v>0.35</v>
      </c>
      <c r="V189" s="137"/>
      <c r="W189" s="137"/>
      <c r="X189" s="137"/>
      <c r="Y189" s="137"/>
      <c r="Z189" s="137"/>
      <c r="AA189" s="137"/>
      <c r="AB189" s="137"/>
      <c r="AC189" s="137"/>
      <c r="AD189" s="137"/>
      <c r="AE189" s="137"/>
      <c r="AF189" s="137"/>
      <c r="AG189" s="137"/>
      <c r="AH189" s="137"/>
      <c r="AI189" s="137"/>
      <c r="AJ189" s="137"/>
      <c r="AK189" s="137"/>
      <c r="AL189" s="137"/>
      <c r="AM189" s="137">
        <f t="shared" si="50"/>
        <v>70.452935159948666</v>
      </c>
      <c r="AN189" s="137">
        <f t="shared" si="51"/>
        <v>10.592915558890205</v>
      </c>
      <c r="AO189" s="137">
        <f t="shared" si="52"/>
        <v>15.279625626775232</v>
      </c>
      <c r="AP189" s="137">
        <f t="shared" si="53"/>
        <v>1.3625000936269027</v>
      </c>
      <c r="AQ189" s="137">
        <f t="shared" si="54"/>
        <v>1.8897467630713567</v>
      </c>
      <c r="AR189" s="137">
        <f t="shared" si="55"/>
        <v>0</v>
      </c>
      <c r="AS189" s="137">
        <f t="shared" si="56"/>
        <v>0.42227679768762444</v>
      </c>
      <c r="AT189" s="137">
        <f t="shared" si="57"/>
        <v>0</v>
      </c>
      <c r="AU189" s="137">
        <f t="shared" si="58"/>
        <v>0</v>
      </c>
      <c r="AV189" s="137">
        <f t="shared" si="59"/>
        <v>0</v>
      </c>
      <c r="AW189" s="137">
        <f t="shared" si="60"/>
        <v>0</v>
      </c>
      <c r="AX189" s="137">
        <f t="shared" si="61"/>
        <v>0</v>
      </c>
      <c r="AY189" s="137">
        <f t="shared" si="62"/>
        <v>0</v>
      </c>
      <c r="AZ189" s="137">
        <f t="shared" si="63"/>
        <v>0</v>
      </c>
      <c r="BA189" s="137">
        <f t="shared" si="64"/>
        <v>0</v>
      </c>
      <c r="BB189" s="137">
        <f t="shared" si="65"/>
        <v>0</v>
      </c>
      <c r="BC189" s="137">
        <f t="shared" si="66"/>
        <v>0</v>
      </c>
      <c r="BD189" s="137">
        <f t="shared" si="67"/>
        <v>0</v>
      </c>
      <c r="BE189" s="137">
        <f t="shared" si="68"/>
        <v>0</v>
      </c>
      <c r="BF189" s="137">
        <f t="shared" si="69"/>
        <v>0</v>
      </c>
      <c r="BG189" s="137">
        <f t="shared" si="70"/>
        <v>0</v>
      </c>
      <c r="BH189" s="137">
        <f t="shared" si="71"/>
        <v>0</v>
      </c>
      <c r="BI189" s="137">
        <f t="shared" si="72"/>
        <v>0</v>
      </c>
      <c r="BJ189" s="137">
        <f t="shared" si="73"/>
        <v>0</v>
      </c>
      <c r="BK189" s="137">
        <f t="shared" si="74"/>
        <v>-122.41608632182822</v>
      </c>
      <c r="BL189" s="137">
        <f>IF($K189=$L189,$BK189,IF(OR($K189="graphite",$K189="vitreous carbon"),$BK$406+($BM$389+$I189)*$BJ$406,IF($K189="Pyrolytic Boron Nitride","PBN",IF(COUNTIF($BH$396:$BH$416,$K189)&gt;0,VLOOKUP($K189,$BH$396:$BK$416,4,FALSE)+($BM$389+$I189)*VLOOKUP($K189,$BH$396:$BK$416,3,FALSE),IF(COUNTIF($L$2:$L188,$K189)&gt;0,VLOOKUP($K189,$L$2:$BK188,52,FALSE),"idk")))))</f>
        <v>-113.97577374311049</v>
      </c>
      <c r="BM189" s="137">
        <v>12.7</v>
      </c>
      <c r="BN189" s="137">
        <v>6.35</v>
      </c>
      <c r="BO189" s="137">
        <v>1.6</v>
      </c>
      <c r="BP189" s="136" t="s">
        <v>228</v>
      </c>
      <c r="BQ189" s="136"/>
      <c r="BR189" s="136" t="s">
        <v>230</v>
      </c>
      <c r="BS189" s="136"/>
      <c r="BT189" s="136">
        <v>0</v>
      </c>
      <c r="BU189" s="136"/>
      <c r="BV189" s="136"/>
      <c r="BW189" s="136"/>
      <c r="BX189" s="136"/>
      <c r="BY189" s="136"/>
      <c r="BZ189" s="136"/>
      <c r="CA189" s="136"/>
      <c r="CB189" s="136"/>
      <c r="CC189" s="136"/>
      <c r="CD189" s="136"/>
      <c r="CE189" s="136"/>
      <c r="CF189" s="136"/>
      <c r="CG189" s="136"/>
      <c r="CH189" s="136"/>
      <c r="CI189" s="136"/>
      <c r="CJ189" s="136"/>
      <c r="CK189" s="136"/>
      <c r="CL189" s="136"/>
      <c r="CM189" s="136"/>
      <c r="CN189" s="136"/>
      <c r="CO189" s="136"/>
      <c r="CP189" s="136"/>
      <c r="CQ189" s="136"/>
      <c r="CR189" s="136"/>
      <c r="CS189" s="136"/>
      <c r="CT189" s="136"/>
      <c r="CU189" s="136"/>
      <c r="CV189" s="136"/>
      <c r="CW189" s="136"/>
      <c r="CX189" s="136"/>
      <c r="CY189" s="136"/>
      <c r="CZ189" s="136"/>
      <c r="DA189" s="136"/>
      <c r="DB189" s="136"/>
      <c r="DC189" s="136"/>
      <c r="DD189" s="136"/>
      <c r="DE189" s="136"/>
      <c r="DF189" s="136"/>
      <c r="DG189" s="136"/>
      <c r="DH189" s="136"/>
      <c r="DI189" s="136"/>
      <c r="DJ189" s="136">
        <v>0</v>
      </c>
      <c r="DK189" s="136">
        <v>0</v>
      </c>
      <c r="DL189" s="136"/>
      <c r="DM189" s="136">
        <v>-13.3</v>
      </c>
      <c r="DN189" s="136"/>
      <c r="DO189" s="136">
        <v>-1.73</v>
      </c>
      <c r="DP189" s="136"/>
      <c r="DQ189" s="136">
        <v>775323</v>
      </c>
      <c r="DR189" s="136"/>
      <c r="DS189" s="136">
        <v>1</v>
      </c>
      <c r="DT189" s="136"/>
      <c r="DU189" s="136" t="s">
        <v>382</v>
      </c>
      <c r="DW189" s="129">
        <f>SUM(_2025_01_07T12_47_export3[[#This Row],[Ni_wt]:[H_wt]])</f>
        <v>99.547999999999988</v>
      </c>
      <c r="DY189" s="130">
        <f>SUM($AM189:BJ189)</f>
        <v>99.999999999999986</v>
      </c>
    </row>
    <row r="190" spans="1:129" ht="16.5" hidden="1" thickBot="1" x14ac:dyDescent="0.3">
      <c r="A190" s="142" t="s">
        <v>398</v>
      </c>
      <c r="B190" s="142">
        <v>198</v>
      </c>
      <c r="C190" s="142" t="s">
        <v>399</v>
      </c>
      <c r="D190" s="142">
        <v>2024</v>
      </c>
      <c r="E190" s="142" t="s">
        <v>400</v>
      </c>
      <c r="F190" s="142" t="s">
        <v>401</v>
      </c>
      <c r="G190" s="142" t="s">
        <v>226</v>
      </c>
      <c r="H190" s="142">
        <v>0</v>
      </c>
      <c r="I190" s="142">
        <v>650</v>
      </c>
      <c r="J190" s="142">
        <v>200</v>
      </c>
      <c r="K190" s="237" t="s">
        <v>233</v>
      </c>
      <c r="L190" s="142" t="s">
        <v>298</v>
      </c>
      <c r="M190" s="142"/>
      <c r="N190" s="142">
        <v>8860000</v>
      </c>
      <c r="O190" s="144">
        <v>70.56</v>
      </c>
      <c r="P190" s="144">
        <v>7.1</v>
      </c>
      <c r="Q190" s="144">
        <v>17.34</v>
      </c>
      <c r="R190" s="144">
        <v>3.92</v>
      </c>
      <c r="S190" s="144"/>
      <c r="T190" s="144">
        <v>4.0000000000000001E-3</v>
      </c>
      <c r="U190" s="144">
        <v>0.6</v>
      </c>
      <c r="V190" s="144">
        <v>2.1000000000000001E-2</v>
      </c>
      <c r="W190" s="144">
        <v>2E-3</v>
      </c>
      <c r="X190" s="144">
        <v>0.45</v>
      </c>
      <c r="Y190" s="144">
        <v>5.0000000000000001E-3</v>
      </c>
      <c r="Z190" s="144"/>
      <c r="AA190" s="144"/>
      <c r="AB190" s="144"/>
      <c r="AC190" s="144"/>
      <c r="AD190" s="144"/>
      <c r="AE190" s="144"/>
      <c r="AF190" s="144"/>
      <c r="AG190" s="144"/>
      <c r="AH190" s="144"/>
      <c r="AI190" s="144"/>
      <c r="AJ190" s="144"/>
      <c r="AK190" s="144"/>
      <c r="AL190" s="144"/>
      <c r="AM190" s="144">
        <f t="shared" si="50"/>
        <v>74.308263867629165</v>
      </c>
      <c r="AN190" s="144">
        <f t="shared" si="51"/>
        <v>8.4391296129254982</v>
      </c>
      <c r="AO190" s="144">
        <f t="shared" si="52"/>
        <v>11.168671203057999</v>
      </c>
      <c r="AP190" s="144">
        <f t="shared" si="53"/>
        <v>4.3381597596649311</v>
      </c>
      <c r="AQ190" s="144">
        <f t="shared" si="54"/>
        <v>0</v>
      </c>
      <c r="AR190" s="144">
        <f t="shared" si="55"/>
        <v>4.1953307205935507E-3</v>
      </c>
      <c r="AS190" s="144">
        <f t="shared" si="56"/>
        <v>0.67500229167613213</v>
      </c>
      <c r="AT190" s="144">
        <f t="shared" si="57"/>
        <v>4.8108298986806311E-2</v>
      </c>
      <c r="AU190" s="144">
        <f t="shared" si="58"/>
        <v>2.5823150132084608E-3</v>
      </c>
      <c r="AV190" s="144">
        <f t="shared" si="59"/>
        <v>0.99015555103293063</v>
      </c>
      <c r="AW190" s="144">
        <f t="shared" si="60"/>
        <v>2.573176929273293E-2</v>
      </c>
      <c r="AX190" s="144">
        <f t="shared" si="61"/>
        <v>0</v>
      </c>
      <c r="AY190" s="144">
        <f t="shared" si="62"/>
        <v>0</v>
      </c>
      <c r="AZ190" s="144">
        <f t="shared" si="63"/>
        <v>0</v>
      </c>
      <c r="BA190" s="144">
        <f t="shared" si="64"/>
        <v>0</v>
      </c>
      <c r="BB190" s="144">
        <f t="shared" si="65"/>
        <v>0</v>
      </c>
      <c r="BC190" s="144">
        <f t="shared" si="66"/>
        <v>0</v>
      </c>
      <c r="BD190" s="144">
        <f t="shared" si="67"/>
        <v>0</v>
      </c>
      <c r="BE190" s="144">
        <f t="shared" si="68"/>
        <v>0</v>
      </c>
      <c r="BF190" s="144">
        <f t="shared" si="69"/>
        <v>0</v>
      </c>
      <c r="BG190" s="144">
        <f t="shared" si="70"/>
        <v>0</v>
      </c>
      <c r="BH190" s="144">
        <f t="shared" si="71"/>
        <v>0</v>
      </c>
      <c r="BI190" s="144">
        <f t="shared" si="72"/>
        <v>0</v>
      </c>
      <c r="BJ190" s="144">
        <f t="shared" si="73"/>
        <v>0</v>
      </c>
      <c r="BK190" s="144">
        <f t="shared" si="74"/>
        <v>-126.37008447191889</v>
      </c>
      <c r="BL190" s="144">
        <f>IF($K190=$L190,$BK190,IF(OR($K190="graphite",$K190="vitreous carbon"),$BK$406+($BM$389+$I190)*$BJ$406,IF($K190="Pyrolytic Boron Nitride","PBN",IF(COUNTIF($BH$396:$BH$416,$K190)&gt;0,VLOOKUP($K190,$BH$396:$BK$416,4,FALSE)+($BM$389+$I190)*VLOOKUP($K190,$BH$396:$BK$416,3,FALSE),IF(COUNTIF($L$2:$L189,$K190)&gt;0,VLOOKUP($K190,$L$2:$BK189,52,FALSE),"idk")))))</f>
        <v>-64.432312040620616</v>
      </c>
      <c r="BM190" s="144"/>
      <c r="BN190" s="144"/>
      <c r="BO190" s="144"/>
      <c r="BP190" s="142" t="s">
        <v>228</v>
      </c>
      <c r="BQ190" s="142"/>
      <c r="BR190" s="143"/>
      <c r="BS190" s="142"/>
      <c r="BT190" s="142">
        <v>0</v>
      </c>
      <c r="BU190" s="142"/>
      <c r="BV190" s="142"/>
      <c r="BW190" s="142"/>
      <c r="BX190" s="142"/>
      <c r="BY190" s="142"/>
      <c r="BZ190" s="142"/>
      <c r="CA190" s="142"/>
      <c r="CB190" s="142"/>
      <c r="CC190" s="142"/>
      <c r="CD190" s="142"/>
      <c r="CE190" s="142"/>
      <c r="CF190" s="142"/>
      <c r="CG190" s="142"/>
      <c r="CH190" s="142"/>
      <c r="CI190" s="142"/>
      <c r="CJ190" s="142"/>
      <c r="CK190" s="142"/>
      <c r="CL190" s="142"/>
      <c r="CM190" s="142"/>
      <c r="CN190" s="142"/>
      <c r="CO190" s="142"/>
      <c r="CP190" s="142"/>
      <c r="CQ190" s="142"/>
      <c r="CR190" s="142"/>
      <c r="CS190" s="142"/>
      <c r="CT190" s="142"/>
      <c r="CU190" s="142"/>
      <c r="CV190" s="142"/>
      <c r="CW190" s="142"/>
      <c r="CX190" s="142"/>
      <c r="CY190" s="142"/>
      <c r="CZ190" s="142"/>
      <c r="DA190" s="142"/>
      <c r="DB190" s="142"/>
      <c r="DC190" s="142"/>
      <c r="DD190" s="142"/>
      <c r="DE190" s="142"/>
      <c r="DF190" s="142"/>
      <c r="DG190" s="142"/>
      <c r="DH190" s="142"/>
      <c r="DI190" s="142"/>
      <c r="DJ190" s="142">
        <v>1</v>
      </c>
      <c r="DK190" s="142">
        <v>1.2</v>
      </c>
      <c r="DL190" s="142"/>
      <c r="DM190" s="143"/>
      <c r="DN190" s="143"/>
      <c r="DO190" s="143"/>
      <c r="DP190" s="143"/>
      <c r="DQ190" s="143"/>
      <c r="DR190" s="142"/>
      <c r="DS190" s="142"/>
      <c r="DT190" s="145" t="s">
        <v>403</v>
      </c>
      <c r="DU190" s="142" t="s">
        <v>402</v>
      </c>
      <c r="DW190" s="129">
        <f>SUM(_2025_01_07T12_47_export3[[#This Row],[Ni_wt]:[H_wt]])</f>
        <v>100.002</v>
      </c>
      <c r="DY190" s="130">
        <f>SUM($AM190:BJ190)</f>
        <v>100</v>
      </c>
    </row>
    <row r="191" spans="1:129" x14ac:dyDescent="0.25">
      <c r="A191" s="129" t="s">
        <v>404</v>
      </c>
      <c r="B191" s="129">
        <v>199</v>
      </c>
      <c r="C191" s="129" t="s">
        <v>305</v>
      </c>
      <c r="D191" s="129">
        <v>2009</v>
      </c>
      <c r="E191" s="129" t="s">
        <v>306</v>
      </c>
      <c r="F191" s="129" t="s">
        <v>405</v>
      </c>
      <c r="G191" s="129" t="s">
        <v>226</v>
      </c>
      <c r="H191" s="129">
        <v>0</v>
      </c>
      <c r="I191" s="129">
        <v>500</v>
      </c>
      <c r="J191" s="129">
        <v>1000</v>
      </c>
      <c r="K191" s="129" t="s">
        <v>227</v>
      </c>
      <c r="L191" s="238" t="s">
        <v>227</v>
      </c>
      <c r="N191" s="129">
        <v>7980000</v>
      </c>
      <c r="O191" s="130">
        <v>12.66</v>
      </c>
      <c r="P191" s="130">
        <v>17.16</v>
      </c>
      <c r="Q191" s="130">
        <v>2.0499999999999998</v>
      </c>
      <c r="R191" s="130">
        <f>100-SUM(_2025_01_07T12_47_export3[[#This Row],[Ni_wt]:[Mo_wt]],_2025_01_07T12_47_export3[[#This Row],[W_wt]:[H_wt]])</f>
        <v>65.893000000000001</v>
      </c>
      <c r="S191" s="130"/>
      <c r="T191" s="130"/>
      <c r="U191" s="130">
        <v>1.64</v>
      </c>
      <c r="V191" s="130"/>
      <c r="W191" s="130"/>
      <c r="X191" s="130">
        <v>0.56000000000000005</v>
      </c>
      <c r="Y191" s="130">
        <v>8.9999999999999993E-3</v>
      </c>
      <c r="Z191" s="130"/>
      <c r="AA191" s="130"/>
      <c r="AB191" s="130"/>
      <c r="AC191" s="130">
        <v>1.7999999999999999E-2</v>
      </c>
      <c r="AD191" s="130">
        <v>0.01</v>
      </c>
      <c r="AE191" s="130"/>
      <c r="AF191" s="130"/>
      <c r="AG191" s="130"/>
      <c r="AH191" s="130"/>
      <c r="AI191" s="130"/>
      <c r="AJ191" s="130"/>
      <c r="AK191" s="130"/>
      <c r="AL191" s="130"/>
      <c r="AM191" s="130">
        <f t="shared" si="50"/>
        <v>11.995047133831507</v>
      </c>
      <c r="AN191" s="130">
        <f t="shared" si="51"/>
        <v>18.350432415000672</v>
      </c>
      <c r="AO191" s="130">
        <f t="shared" si="52"/>
        <v>1.1879440439435425</v>
      </c>
      <c r="AP191" s="130">
        <f t="shared" si="53"/>
        <v>65.606741169346421</v>
      </c>
      <c r="AQ191" s="130">
        <f t="shared" si="54"/>
        <v>0</v>
      </c>
      <c r="AR191" s="130">
        <f t="shared" si="55"/>
        <v>0</v>
      </c>
      <c r="AS191" s="130">
        <f t="shared" si="56"/>
        <v>1.6599215210312681</v>
      </c>
      <c r="AT191" s="130">
        <f t="shared" si="57"/>
        <v>0</v>
      </c>
      <c r="AU191" s="130">
        <f t="shared" si="58"/>
        <v>0</v>
      </c>
      <c r="AV191" s="130">
        <f t="shared" si="59"/>
        <v>1.1085841130134066</v>
      </c>
      <c r="AW191" s="130">
        <f t="shared" si="60"/>
        <v>4.1670802547121341E-2</v>
      </c>
      <c r="AX191" s="130">
        <f t="shared" si="61"/>
        <v>0</v>
      </c>
      <c r="AY191" s="130">
        <f t="shared" si="62"/>
        <v>0</v>
      </c>
      <c r="AZ191" s="130">
        <f t="shared" si="63"/>
        <v>0</v>
      </c>
      <c r="BA191" s="130">
        <f t="shared" si="64"/>
        <v>3.2319427742391174E-2</v>
      </c>
      <c r="BB191" s="130">
        <f t="shared" si="65"/>
        <v>1.7339373543669313E-2</v>
      </c>
      <c r="BC191" s="130">
        <f t="shared" si="66"/>
        <v>0</v>
      </c>
      <c r="BD191" s="130">
        <f t="shared" si="67"/>
        <v>0</v>
      </c>
      <c r="BE191" s="130">
        <f t="shared" si="68"/>
        <v>0</v>
      </c>
      <c r="BF191" s="130">
        <f t="shared" si="69"/>
        <v>0</v>
      </c>
      <c r="BG191" s="130">
        <f t="shared" si="70"/>
        <v>0</v>
      </c>
      <c r="BH191" s="130">
        <f t="shared" si="71"/>
        <v>0</v>
      </c>
      <c r="BI191" s="130">
        <f t="shared" si="72"/>
        <v>0</v>
      </c>
      <c r="BJ191" s="130">
        <f t="shared" si="73"/>
        <v>0</v>
      </c>
      <c r="BK191" s="130">
        <f t="shared" si="74"/>
        <v>-143.76990344322454</v>
      </c>
      <c r="BL191" s="130">
        <f>IF($K191=$L191,$BK191,IF(OR($K191="graphite",$K191="vitreous carbon"),$BK$406+($BM$389+$I191)*$BJ$406,IF($K191="Pyrolytic Boron Nitride","PBN",IF(COUNTIF($BH$396:$BH$416,$K191)&gt;0,VLOOKUP($K191,$BH$396:$BK$416,4,FALSE)+($BM$389+$I191)*VLOOKUP($K191,$BH$396:$BK$416,3,FALSE),IF(COUNTIF($L$2:$L190,$K191)&gt;0,VLOOKUP($K191,$L$2:$BK190,52,FALSE),"idk")))))</f>
        <v>-143.76990344322454</v>
      </c>
      <c r="BM191" s="130">
        <v>15</v>
      </c>
      <c r="BN191" s="130">
        <v>10</v>
      </c>
      <c r="BO191" s="130">
        <v>0.5</v>
      </c>
      <c r="BP191" s="129" t="s">
        <v>228</v>
      </c>
      <c r="BQ191" s="129"/>
      <c r="BR191" s="129" t="s">
        <v>230</v>
      </c>
      <c r="BS191" s="129"/>
      <c r="BT191" s="129">
        <v>0</v>
      </c>
      <c r="BU191" s="129">
        <v>70</v>
      </c>
      <c r="BV191" s="129"/>
      <c r="BZ191" s="129">
        <v>16</v>
      </c>
      <c r="CA191" s="129">
        <v>5</v>
      </c>
      <c r="CC191" s="129">
        <v>1</v>
      </c>
      <c r="CJ191" s="129">
        <v>1</v>
      </c>
      <c r="CK191" s="129">
        <v>1</v>
      </c>
      <c r="CP191" s="129">
        <v>170</v>
      </c>
      <c r="CU191" s="129">
        <v>34</v>
      </c>
      <c r="CV191" s="129">
        <v>54</v>
      </c>
      <c r="CX191" s="129">
        <v>1</v>
      </c>
      <c r="CZ191" s="129">
        <v>53</v>
      </c>
      <c r="DE191" s="129">
        <v>1</v>
      </c>
      <c r="DJ191" s="129">
        <v>0</v>
      </c>
      <c r="DK191" s="129">
        <v>0</v>
      </c>
      <c r="DL191" s="129"/>
      <c r="DM191" s="129">
        <v>-0.37</v>
      </c>
      <c r="DO191" s="129">
        <v>-0.29699999999999999</v>
      </c>
      <c r="DS191" s="129"/>
      <c r="DT191" s="135" t="s">
        <v>407</v>
      </c>
      <c r="DU191" s="129" t="s">
        <v>406</v>
      </c>
      <c r="DW191" s="129">
        <f>SUM(_2025_01_07T12_47_export3[[#This Row],[Ni_wt]:[H_wt]])</f>
        <v>100.00000000000001</v>
      </c>
      <c r="DY191" s="130">
        <f>SUM($AM191:BJ191)</f>
        <v>99.999999999999986</v>
      </c>
    </row>
    <row r="192" spans="1:129" x14ac:dyDescent="0.25">
      <c r="A192" s="238" t="s">
        <v>404</v>
      </c>
      <c r="B192" s="238">
        <v>200</v>
      </c>
      <c r="C192" s="238" t="s">
        <v>305</v>
      </c>
      <c r="D192" s="238">
        <v>2009</v>
      </c>
      <c r="E192" s="238" t="s">
        <v>306</v>
      </c>
      <c r="F192" s="238" t="s">
        <v>405</v>
      </c>
      <c r="G192" s="238" t="s">
        <v>226</v>
      </c>
      <c r="H192" s="238">
        <v>0</v>
      </c>
      <c r="I192" s="238">
        <v>600</v>
      </c>
      <c r="J192" s="238">
        <v>1000</v>
      </c>
      <c r="K192" s="238" t="s">
        <v>227</v>
      </c>
      <c r="L192" s="238" t="s">
        <v>227</v>
      </c>
      <c r="M192" s="238"/>
      <c r="N192" s="238">
        <v>7980000</v>
      </c>
      <c r="O192" s="239">
        <v>12.66</v>
      </c>
      <c r="P192" s="239">
        <v>17.16</v>
      </c>
      <c r="Q192" s="239">
        <v>2.0499999999999998</v>
      </c>
      <c r="R192" s="239">
        <f>100-SUM(_2025_01_07T12_47_export3[[#This Row],[Ni_wt]:[Mo_wt]],_2025_01_07T12_47_export3[[#This Row],[W_wt]:[H_wt]])</f>
        <v>65.893000000000001</v>
      </c>
      <c r="S192" s="239"/>
      <c r="T192" s="239"/>
      <c r="U192" s="239">
        <v>1.64</v>
      </c>
      <c r="V192" s="239"/>
      <c r="W192" s="239"/>
      <c r="X192" s="239">
        <v>0.56000000000000005</v>
      </c>
      <c r="Y192" s="239">
        <v>8.9999999999999993E-3</v>
      </c>
      <c r="Z192" s="239"/>
      <c r="AA192" s="239"/>
      <c r="AB192" s="239"/>
      <c r="AC192" s="239">
        <v>1.7999999999999999E-2</v>
      </c>
      <c r="AD192" s="239">
        <v>0.01</v>
      </c>
      <c r="AE192" s="239"/>
      <c r="AF192" s="239"/>
      <c r="AG192" s="239"/>
      <c r="AH192" s="239"/>
      <c r="AI192" s="239"/>
      <c r="AJ192" s="239"/>
      <c r="AK192" s="239"/>
      <c r="AL192" s="239"/>
      <c r="AM192" s="239">
        <f t="shared" si="50"/>
        <v>11.995047133831507</v>
      </c>
      <c r="AN192" s="239">
        <f t="shared" si="51"/>
        <v>18.350432415000672</v>
      </c>
      <c r="AO192" s="239">
        <f t="shared" si="52"/>
        <v>1.1879440439435425</v>
      </c>
      <c r="AP192" s="239">
        <f t="shared" si="53"/>
        <v>65.606741169346421</v>
      </c>
      <c r="AQ192" s="239">
        <f t="shared" si="54"/>
        <v>0</v>
      </c>
      <c r="AR192" s="239">
        <f t="shared" si="55"/>
        <v>0</v>
      </c>
      <c r="AS192" s="239">
        <f t="shared" si="56"/>
        <v>1.6599215210312681</v>
      </c>
      <c r="AT192" s="239">
        <f t="shared" si="57"/>
        <v>0</v>
      </c>
      <c r="AU192" s="239">
        <f t="shared" si="58"/>
        <v>0</v>
      </c>
      <c r="AV192" s="239">
        <f t="shared" si="59"/>
        <v>1.1085841130134066</v>
      </c>
      <c r="AW192" s="239">
        <f t="shared" si="60"/>
        <v>4.1670802547121341E-2</v>
      </c>
      <c r="AX192" s="239">
        <f t="shared" si="61"/>
        <v>0</v>
      </c>
      <c r="AY192" s="239">
        <f t="shared" si="62"/>
        <v>0</v>
      </c>
      <c r="AZ192" s="239">
        <f t="shared" si="63"/>
        <v>0</v>
      </c>
      <c r="BA192" s="239">
        <f t="shared" si="64"/>
        <v>3.2319427742391174E-2</v>
      </c>
      <c r="BB192" s="239">
        <f t="shared" si="65"/>
        <v>1.7339373543669313E-2</v>
      </c>
      <c r="BC192" s="239">
        <f t="shared" si="66"/>
        <v>0</v>
      </c>
      <c r="BD192" s="239">
        <f t="shared" si="67"/>
        <v>0</v>
      </c>
      <c r="BE192" s="239">
        <f t="shared" si="68"/>
        <v>0</v>
      </c>
      <c r="BF192" s="239">
        <f t="shared" si="69"/>
        <v>0</v>
      </c>
      <c r="BG192" s="239">
        <f t="shared" si="70"/>
        <v>0</v>
      </c>
      <c r="BH192" s="239">
        <f t="shared" si="71"/>
        <v>0</v>
      </c>
      <c r="BI192" s="239">
        <f t="shared" si="72"/>
        <v>0</v>
      </c>
      <c r="BJ192" s="239">
        <f t="shared" si="73"/>
        <v>0</v>
      </c>
      <c r="BK192" s="239">
        <f t="shared" si="74"/>
        <v>-140.5186477559443</v>
      </c>
      <c r="BL192" s="239">
        <f>IF($K192=$L192,$BK192,IF(OR($K192="graphite",$K192="vitreous carbon"),$BK$406+($BM$389+$I192)*$BJ$406,IF($K192="Pyrolytic Boron Nitride","PBN",IF(COUNTIF($BH$396:$BH$416,$K192)&gt;0,VLOOKUP($K192,$BH$396:$BK$416,4,FALSE)+($BM$389+$I192)*VLOOKUP($K192,$BH$396:$BK$416,3,FALSE),IF(COUNTIF($L$2:$L191,$K192)&gt;0,VLOOKUP($K192,$L$2:$BK191,52,FALSE),"idk")))))</f>
        <v>-140.5186477559443</v>
      </c>
      <c r="BM192" s="239">
        <v>15</v>
      </c>
      <c r="BN192" s="239">
        <v>10</v>
      </c>
      <c r="BO192" s="239">
        <v>0.5</v>
      </c>
      <c r="BP192" s="238" t="s">
        <v>228</v>
      </c>
      <c r="BQ192" s="238"/>
      <c r="BR192" s="238" t="s">
        <v>230</v>
      </c>
      <c r="BS192" s="238"/>
      <c r="BT192" s="238">
        <v>0</v>
      </c>
      <c r="BU192" s="238">
        <v>70</v>
      </c>
      <c r="BV192" s="238"/>
      <c r="BW192" s="238"/>
      <c r="BX192" s="238"/>
      <c r="BY192" s="238"/>
      <c r="BZ192" s="238">
        <v>16</v>
      </c>
      <c r="CA192" s="238">
        <v>5</v>
      </c>
      <c r="CB192" s="238"/>
      <c r="CC192" s="238">
        <v>1</v>
      </c>
      <c r="CD192" s="238"/>
      <c r="CE192" s="238"/>
      <c r="CF192" s="238"/>
      <c r="CG192" s="238"/>
      <c r="CH192" s="238"/>
      <c r="CI192" s="238"/>
      <c r="CJ192" s="238">
        <v>1</v>
      </c>
      <c r="CK192" s="238">
        <v>1</v>
      </c>
      <c r="CL192" s="238"/>
      <c r="CM192" s="238"/>
      <c r="CN192" s="238"/>
      <c r="CO192" s="238"/>
      <c r="CP192" s="238">
        <v>160</v>
      </c>
      <c r="CQ192" s="238"/>
      <c r="CR192" s="238"/>
      <c r="CS192" s="238"/>
      <c r="CT192" s="238"/>
      <c r="CU192" s="238">
        <v>12</v>
      </c>
      <c r="CV192" s="238">
        <v>530</v>
      </c>
      <c r="CW192" s="238"/>
      <c r="CX192" s="238">
        <v>1</v>
      </c>
      <c r="CY192" s="238"/>
      <c r="CZ192" s="238">
        <v>94</v>
      </c>
      <c r="DA192" s="238"/>
      <c r="DB192" s="238"/>
      <c r="DC192" s="238"/>
      <c r="DD192" s="238"/>
      <c r="DE192" s="238">
        <v>1</v>
      </c>
      <c r="DF192" s="238"/>
      <c r="DG192" s="238"/>
      <c r="DH192" s="238"/>
      <c r="DI192" s="238"/>
      <c r="DJ192" s="238">
        <v>0</v>
      </c>
      <c r="DK192" s="238">
        <v>0</v>
      </c>
      <c r="DL192" s="238"/>
      <c r="DM192" s="238">
        <v>-0.62</v>
      </c>
      <c r="DN192" s="238"/>
      <c r="DO192" s="238">
        <v>-0.49399999999999999</v>
      </c>
      <c r="DP192" s="238"/>
      <c r="DQ192" s="238"/>
      <c r="DR192" s="238"/>
      <c r="DS192" s="238"/>
      <c r="DT192" s="238"/>
      <c r="DU192" s="238" t="s">
        <v>406</v>
      </c>
      <c r="DW192" s="129">
        <f>SUM(_2025_01_07T12_47_export3[[#This Row],[Ni_wt]:[H_wt]])</f>
        <v>100.00000000000001</v>
      </c>
      <c r="DY192" s="130">
        <f>SUM($AM192:BJ192)</f>
        <v>99.999999999999986</v>
      </c>
    </row>
    <row r="193" spans="1:129" x14ac:dyDescent="0.25">
      <c r="A193" s="129" t="s">
        <v>408</v>
      </c>
      <c r="B193" s="129">
        <v>201</v>
      </c>
      <c r="C193" s="129" t="s">
        <v>305</v>
      </c>
      <c r="D193" s="129">
        <v>2009</v>
      </c>
      <c r="E193" s="129" t="s">
        <v>306</v>
      </c>
      <c r="F193" s="129" t="s">
        <v>405</v>
      </c>
      <c r="G193" s="129" t="s">
        <v>226</v>
      </c>
      <c r="H193" s="129">
        <v>0</v>
      </c>
      <c r="I193" s="129">
        <v>500</v>
      </c>
      <c r="J193" s="129">
        <v>1000</v>
      </c>
      <c r="K193" s="129" t="s">
        <v>409</v>
      </c>
      <c r="L193" s="129" t="s">
        <v>409</v>
      </c>
      <c r="N193" s="129">
        <v>7930000</v>
      </c>
      <c r="O193" s="130">
        <v>8.7899999999999991</v>
      </c>
      <c r="P193" s="130">
        <v>18.16</v>
      </c>
      <c r="Q193" s="130"/>
      <c r="R193" s="130">
        <f>100-SUM(_2025_01_07T12_47_export3[[#This Row],[Ni_wt]:[Mo_wt]],_2025_01_07T12_47_export3[[#This Row],[W_wt]:[H_wt]])</f>
        <v>71.594999999999999</v>
      </c>
      <c r="S193" s="130"/>
      <c r="T193" s="130"/>
      <c r="U193" s="130">
        <v>0.84</v>
      </c>
      <c r="V193" s="130"/>
      <c r="W193" s="130"/>
      <c r="X193" s="130">
        <v>0.51</v>
      </c>
      <c r="Y193" s="130">
        <v>0.05</v>
      </c>
      <c r="Z193" s="130"/>
      <c r="AA193" s="130"/>
      <c r="AB193" s="130"/>
      <c r="AC193" s="130">
        <v>2.5000000000000001E-2</v>
      </c>
      <c r="AD193" s="130">
        <v>0.03</v>
      </c>
      <c r="AE193" s="130"/>
      <c r="AF193" s="130"/>
      <c r="AG193" s="130"/>
      <c r="AH193" s="130"/>
      <c r="AI193" s="130"/>
      <c r="AJ193" s="130"/>
      <c r="AK193" s="130"/>
      <c r="AL193" s="130"/>
      <c r="AM193" s="130">
        <f t="shared" si="50"/>
        <v>8.2279089346089727</v>
      </c>
      <c r="AN193" s="130">
        <f t="shared" si="51"/>
        <v>19.185680652750424</v>
      </c>
      <c r="AO193" s="130">
        <f t="shared" si="52"/>
        <v>0</v>
      </c>
      <c r="AP193" s="130">
        <f t="shared" si="53"/>
        <v>70.424573698183323</v>
      </c>
      <c r="AQ193" s="130">
        <f t="shared" si="54"/>
        <v>0</v>
      </c>
      <c r="AR193" s="130">
        <f t="shared" si="55"/>
        <v>0</v>
      </c>
      <c r="AS193" s="130">
        <f t="shared" si="56"/>
        <v>0.8399536888781941</v>
      </c>
      <c r="AT193" s="130">
        <f t="shared" si="57"/>
        <v>0</v>
      </c>
      <c r="AU193" s="130">
        <f t="shared" si="58"/>
        <v>0</v>
      </c>
      <c r="AV193" s="130">
        <f t="shared" si="59"/>
        <v>0.99743165633226827</v>
      </c>
      <c r="AW193" s="130">
        <f t="shared" si="60"/>
        <v>0.22871345142424959</v>
      </c>
      <c r="AX193" s="130">
        <f t="shared" si="61"/>
        <v>0</v>
      </c>
      <c r="AY193" s="130">
        <f t="shared" si="62"/>
        <v>0</v>
      </c>
      <c r="AZ193" s="130">
        <f t="shared" si="63"/>
        <v>0</v>
      </c>
      <c r="BA193" s="130">
        <f t="shared" si="64"/>
        <v>4.4346925276158175E-2</v>
      </c>
      <c r="BB193" s="130">
        <f t="shared" si="65"/>
        <v>5.1390992546402933E-2</v>
      </c>
      <c r="BC193" s="130">
        <f t="shared" si="66"/>
        <v>0</v>
      </c>
      <c r="BD193" s="130">
        <f t="shared" si="67"/>
        <v>0</v>
      </c>
      <c r="BE193" s="130">
        <f t="shared" si="68"/>
        <v>0</v>
      </c>
      <c r="BF193" s="130">
        <f t="shared" si="69"/>
        <v>0</v>
      </c>
      <c r="BG193" s="130">
        <f t="shared" si="70"/>
        <v>0</v>
      </c>
      <c r="BH193" s="130">
        <f t="shared" si="71"/>
        <v>0</v>
      </c>
      <c r="BI193" s="130">
        <f t="shared" si="72"/>
        <v>0</v>
      </c>
      <c r="BJ193" s="130">
        <f t="shared" si="73"/>
        <v>0</v>
      </c>
      <c r="BK193" s="130">
        <f t="shared" si="74"/>
        <v>-144.29538837010668</v>
      </c>
      <c r="BL193" s="130">
        <f>IF($K193=$L193,$BK193,IF(OR($K193="graphite",$K193="vitreous carbon"),$BK$406+($BM$389+$I193)*$BJ$406,IF($K193="Pyrolytic Boron Nitride","PBN",IF(COUNTIF($BH$396:$BH$416,$K193)&gt;0,VLOOKUP($K193,$BH$396:$BK$416,4,FALSE)+($BM$389+$I193)*VLOOKUP($K193,$BH$396:$BK$416,3,FALSE),IF(COUNTIF($L$2:$L192,$K193)&gt;0,VLOOKUP($K193,$L$2:$BK192,52,FALSE),"idk")))))</f>
        <v>-144.29538837010668</v>
      </c>
      <c r="BM193" s="130">
        <v>15</v>
      </c>
      <c r="BN193" s="130">
        <v>10</v>
      </c>
      <c r="BO193" s="130">
        <v>0.5</v>
      </c>
      <c r="BP193" s="129" t="s">
        <v>228</v>
      </c>
      <c r="BQ193" s="129"/>
      <c r="BR193" s="129" t="s">
        <v>230</v>
      </c>
      <c r="BS193" s="129"/>
      <c r="BT193" s="129">
        <v>0</v>
      </c>
      <c r="BU193" s="129">
        <v>70</v>
      </c>
      <c r="BV193" s="129"/>
      <c r="BZ193" s="129">
        <v>16</v>
      </c>
      <c r="CA193" s="129">
        <v>5</v>
      </c>
      <c r="CC193" s="129">
        <v>1</v>
      </c>
      <c r="CJ193" s="129">
        <v>1</v>
      </c>
      <c r="CK193" s="129">
        <v>1</v>
      </c>
      <c r="CP193" s="129">
        <v>42</v>
      </c>
      <c r="CU193" s="129">
        <v>20</v>
      </c>
      <c r="CV193" s="129">
        <v>210</v>
      </c>
      <c r="CX193" s="129">
        <v>1</v>
      </c>
      <c r="CZ193" s="129">
        <v>88</v>
      </c>
      <c r="DE193" s="129">
        <v>1</v>
      </c>
      <c r="DJ193" s="129">
        <v>0</v>
      </c>
      <c r="DK193" s="129">
        <v>0</v>
      </c>
      <c r="DL193" s="129"/>
      <c r="DM193" s="129">
        <v>-1.17</v>
      </c>
      <c r="DO193" s="129">
        <v>-0.92800000000000005</v>
      </c>
      <c r="DS193" s="129"/>
      <c r="DU193" s="129" t="s">
        <v>406</v>
      </c>
      <c r="DW193" s="129">
        <f>SUM(_2025_01_07T12_47_export3[[#This Row],[Ni_wt]:[H_wt]])</f>
        <v>100.00000000000001</v>
      </c>
      <c r="DY193" s="130">
        <f>SUM($AM193:BJ193)</f>
        <v>100</v>
      </c>
    </row>
    <row r="194" spans="1:129" ht="16.5" thickBot="1" x14ac:dyDescent="0.3">
      <c r="A194" s="146" t="s">
        <v>408</v>
      </c>
      <c r="B194" s="146">
        <v>202</v>
      </c>
      <c r="C194" s="146" t="s">
        <v>305</v>
      </c>
      <c r="D194" s="146">
        <v>2009</v>
      </c>
      <c r="E194" s="146" t="s">
        <v>306</v>
      </c>
      <c r="F194" s="146" t="s">
        <v>405</v>
      </c>
      <c r="G194" s="146" t="s">
        <v>226</v>
      </c>
      <c r="H194" s="146">
        <v>0</v>
      </c>
      <c r="I194" s="146">
        <v>600</v>
      </c>
      <c r="J194" s="146">
        <v>1000</v>
      </c>
      <c r="K194" s="146" t="s">
        <v>409</v>
      </c>
      <c r="L194" s="146" t="s">
        <v>409</v>
      </c>
      <c r="M194" s="146"/>
      <c r="N194" s="146">
        <v>7930000</v>
      </c>
      <c r="O194" s="147">
        <v>8.7899999999999991</v>
      </c>
      <c r="P194" s="147">
        <v>18.16</v>
      </c>
      <c r="Q194" s="147"/>
      <c r="R194" s="147">
        <f>100-SUM(_2025_01_07T12_47_export3[[#This Row],[Ni_wt]:[Mo_wt]],_2025_01_07T12_47_export3[[#This Row],[W_wt]:[H_wt]])</f>
        <v>71.594999999999999</v>
      </c>
      <c r="S194" s="147"/>
      <c r="T194" s="147"/>
      <c r="U194" s="147">
        <v>0.84</v>
      </c>
      <c r="V194" s="147"/>
      <c r="W194" s="147"/>
      <c r="X194" s="147">
        <v>0.51</v>
      </c>
      <c r="Y194" s="147">
        <v>0.05</v>
      </c>
      <c r="Z194" s="147"/>
      <c r="AA194" s="147"/>
      <c r="AB194" s="147"/>
      <c r="AC194" s="147">
        <v>2.5000000000000001E-2</v>
      </c>
      <c r="AD194" s="147">
        <v>0.03</v>
      </c>
      <c r="AE194" s="147"/>
      <c r="AF194" s="147"/>
      <c r="AG194" s="147"/>
      <c r="AH194" s="147"/>
      <c r="AI194" s="147"/>
      <c r="AJ194" s="147"/>
      <c r="AK194" s="147"/>
      <c r="AL194" s="147"/>
      <c r="AM194" s="147">
        <f t="shared" ref="AM194:AM257" si="75">100*(O194/BD$343)/($O194/$BD$343+$P194/$BD$344+$Q194/$BD$346+$R194/$BD$348+$S194/$BD$350+$T194/$BD$351+$U194/$BD$352+$V194/$BD$353+$W194/$BD$354+$X194/$BD$359+$Y194/$BD$360+$Z194/$BD$361+$AA194/$BD$362+$AB194/$BD$363+$AC194/$BD$364+$AD194/$BD$365+$AE194/$BD$366+$AF194/$BD$367+$AG194/$BD$369+$AH194/$BD$355+$AI194/$BD$356+$AJ194/$BD$357+$AK194/$BD$368+$AL194/$BD$358)</f>
        <v>8.2279089346089727</v>
      </c>
      <c r="AN194" s="147">
        <f t="shared" ref="AN194:AN257" si="76">100*(P194/BD$344)/($O194/$BD$343+$P194/$BD$344+$Q194/$BD$346+$R194/$BD$348+$S194/$BD$350+$T194/$BD$351+$U194/$BD$352+$V194/$BD$353+$W194/$BD$354+$X194/$BD$359+$Y194/$BD$360+$Z194/$BD$361+$AA194/$BD$362+$AB194/$BD$363+$AC194/$BD$364+$AD194/$BD$365+$AE194/$BD$366+$AF194/$BD$367+$AG194/$BD$369+$AH194/$BD$355+$AI194/$BD$356+$AJ194/$BD$357+$AK194/$BD$368+$AL194/$BD$358)</f>
        <v>19.185680652750424</v>
      </c>
      <c r="AO194" s="147">
        <f t="shared" ref="AO194:AO257" si="77">100*(Q194/BD$346)/($O194/$BD$343+$P194/$BD$344+$Q194/$BD$346+$R194/$BD$348+$S194/$BD$350+$T194/$BD$351+$U194/$BD$352+$V194/$BD$353+$W194/$BD$354+$X194/$BD$359+$Y194/$BD$360+$Z194/$BD$361+$AA194/$BD$362+$AB194/$BD$363+$AC194/$BD$364+$AD194/$BD$365+$AE194/$BD$366+$AF194/$BD$367+$AG194/$BD$369+$AH194/$BD$355+$AI194/$BD$356+$AJ194/$BD$357+$AK194/$BD$368+$AL194/$BD$358)</f>
        <v>0</v>
      </c>
      <c r="AP194" s="147">
        <f t="shared" ref="AP194:AP257" si="78">100*(R194/BD$348)/($O194/$BD$343+$P194/$BD$344+$Q194/$BD$346+$R194/$BD$348+$S194/$BD$350+$T194/$BD$351+$U194/$BD$352+$V194/$BD$353+$W194/$BD$354+$X194/$BD$359+$Y194/$BD$360+$Z194/$BD$361+$AA194/$BD$362+$AB194/$BD$363+$AC194/$BD$364+$AD194/$BD$365+$AE194/$BD$366+$AF194/$BD$367+$AG194/$BD$369+$AH194/$BD$355+$AI194/$BD$356+$AJ194/$BD$357+$AK194/$BD$368+$AL194/$BD$358)</f>
        <v>70.424573698183323</v>
      </c>
      <c r="AQ194" s="147">
        <f t="shared" ref="AQ194:AQ257" si="79">100*(S194/BD$350)/($O194/$BD$343+$P194/$BD$344+$Q194/$BD$346+$R194/$BD$348+$S194/$BD$350+$T194/$BD$351+$U194/$BD$352+$V194/$BD$353+$W194/$BD$354+$X194/$BD$359+$Y194/$BD$360+$Z194/$BD$361+$AA194/$BD$362+$AB194/$BD$363+$AC194/$BD$364+$AD194/$BD$365+$AE194/$BD$366+$AF194/$BD$367+$AG194/$BD$369+$AH194/$BD$355+$AI194/$BD$356+$AJ194/$BD$357+$AK194/$BD$368+$AL194/$BD$358)</f>
        <v>0</v>
      </c>
      <c r="AR194" s="147">
        <f t="shared" ref="AR194:AR257" si="80">100*(T194/BD$351)/($O194/$BD$343+$P194/$BD$344+$Q194/$BD$346+$R194/$BD$348+$S194/$BD$350+$T194/$BD$351+$U194/$BD$352+$V194/$BD$353+$W194/$BD$354+$X194/$BD$359+$Y194/$BD$360+$Z194/$BD$361+$AA194/$BD$362+$AB194/$BD$363+$AC194/$BD$364+$AD194/$BD$365+$AE194/$BD$366+$AF194/$BD$367+$AG194/$BD$369+$AH194/$BD$355+$AI194/$BD$356+$AJ194/$BD$357+$AK194/$BD$368+$AL194/$BD$358)</f>
        <v>0</v>
      </c>
      <c r="AS194" s="147">
        <f t="shared" ref="AS194:AS257" si="81">100*(U194/BD$352)/($O194/$BD$343+$P194/$BD$344+$Q194/$BD$346+$R194/$BD$348+$S194/$BD$350+$T194/$BD$351+$U194/$BD$352+$V194/$BD$353+$W194/$BD$354+$X194/$BD$359+$Y194/$BD$360+$Z194/$BD$361+$AA194/$BD$362+$AB194/$BD$363+$AC194/$BD$364+$AD194/$BD$365+$AE194/$BD$366+$AF194/$BD$367+$AG194/$BD$369+$AH194/$BD$355+$AI194/$BD$356+$AJ194/$BD$357+$AK194/$BD$368+$AL194/$BD$358)</f>
        <v>0.8399536888781941</v>
      </c>
      <c r="AT194" s="147">
        <f t="shared" ref="AT194:AT257" si="82">100*(V194/BD$353)/($O194/$BD$343+$P194/$BD$344+$Q194/$BD$346+$R194/$BD$348+$S194/$BD$350+$T194/$BD$351+$U194/$BD$352+$V194/$BD$353+$W194/$BD$354+$X194/$BD$359+$Y194/$BD$360+$Z194/$BD$361+$AA194/$BD$362+$AB194/$BD$363+$AC194/$BD$364+$AD194/$BD$365+$AE194/$BD$366+$AF194/$BD$367+$AG194/$BD$369+$AH194/$BD$355+$AI194/$BD$356+$AJ194/$BD$357+$AK194/$BD$368+$AL194/$BD$358)</f>
        <v>0</v>
      </c>
      <c r="AU194" s="147">
        <f t="shared" ref="AU194:AU257" si="83">100*(W194/BD$354)/($O194/$BD$343+$P194/$BD$344+$Q194/$BD$346+$R194/$BD$348+$S194/$BD$350+$T194/$BD$351+$U194/$BD$352+$V194/$BD$353+$W194/$BD$354+$X194/$BD$359+$Y194/$BD$360+$Z194/$BD$361+$AA194/$BD$362+$AB194/$BD$363+$AC194/$BD$364+$AD194/$BD$365+$AE194/$BD$366+$AF194/$BD$367+$AG194/$BD$369+$AH194/$BD$355+$AI194/$BD$356+$AJ194/$BD$357+$AK194/$BD$368+$AL194/$BD$358)</f>
        <v>0</v>
      </c>
      <c r="AV194" s="147">
        <f t="shared" ref="AV194:AV257" si="84">100*(X194/BD$359)/($O194/$BD$343+$P194/$BD$344+$Q194/$BD$346+$R194/$BD$348+$S194/$BD$350+$T194/$BD$351+$U194/$BD$352+$V194/$BD$353+$W194/$BD$354+$X194/$BD$359+$Y194/$BD$360+$Z194/$BD$361+$AA194/$BD$362+$AB194/$BD$363+$AC194/$BD$364+$AD194/$BD$365+$AE194/$BD$366+$AF194/$BD$367+$AG194/$BD$369+$AH194/$BD$355+$AI194/$BD$356+$AJ194/$BD$357+$AK194/$BD$368+$AL194/$BD$358)</f>
        <v>0.99743165633226827</v>
      </c>
      <c r="AW194" s="147">
        <f t="shared" ref="AW194:AW257" si="85">100*(Y194/BD$360)/($O194/$BD$343+$P194/$BD$344+$Q194/$BD$346+$R194/$BD$348+$S194/$BD$350+$T194/$BD$351+$U194/$BD$352+$V194/$BD$353+$W194/$BD$354+$X194/$BD$359+$Y194/$BD$360+$Z194/$BD$361+$AA194/$BD$362+$AB194/$BD$363+$AC194/$BD$364+$AD194/$BD$365+$AE194/$BD$366+$AF194/$BD$367+$AG194/$BD$369+$AH194/$BD$355+$AI194/$BD$356+$AJ194/$BD$357+$AK194/$BD$368+$AL194/$BD$358)</f>
        <v>0.22871345142424959</v>
      </c>
      <c r="AX194" s="147">
        <f t="shared" ref="AX194:AX257" si="86">100*(Z194/BD$361)/($O194/$BD$343+$P194/$BD$344+$Q194/$BD$346+$R194/$BD$348+$S194/$BD$350+$T194/$BD$351+$U194/$BD$352+$V194/$BD$353+$W194/$BD$354+$X194/$BD$359+$Y194/$BD$360+$Z194/$BD$361+$AA194/$BD$362+$AB194/$BD$363+$AC194/$BD$364+$AD194/$BD$365+$AE194/$BD$366+$AF194/$BD$367+$AG194/$BD$369+$AH194/$BD$355+$AI194/$BD$356+$AJ194/$BD$357+$AK194/$BD$368+$AL194/$BD$358)</f>
        <v>0</v>
      </c>
      <c r="AY194" s="147">
        <f t="shared" ref="AY194:AY257" si="87">100*(AA194/BD$362)/($O194/$BD$343+$P194/$BD$344+$Q194/$BD$346+$R194/$BD$348+$S194/$BD$350+$T194/$BD$351+$U194/$BD$352+$V194/$BD$353+$W194/$BD$354+$X194/$BD$359+$Y194/$BD$360+$Z194/$BD$361+$AA194/$BD$362+$AB194/$BD$363+$AC194/$BD$364+$AD194/$BD$365+$AE194/$BD$366+$AF194/$BD$367+$AG194/$BD$369+$AH194/$BD$355+$AI194/$BD$356+$AJ194/$BD$357+$AK194/$BD$368+$AL194/$BD$358)</f>
        <v>0</v>
      </c>
      <c r="AZ194" s="147">
        <f t="shared" ref="AZ194:AZ257" si="88">100*(AB194/BD$363)/($O194/$BD$343+$P194/$BD$344+$Q194/$BD$346+$R194/$BD$348+$S194/$BD$350+$T194/$BD$351+$U194/$BD$352+$V194/$BD$353+$W194/$BD$354+$X194/$BD$359+$Y194/$BD$360+$Z194/$BD$361+$AA194/$BD$362+$AB194/$BD$363+$AC194/$BD$364+$AD194/$BD$365+$AE194/$BD$366+$AF194/$BD$367+$AG194/$BD$369+$AH194/$BD$355+$AI194/$BD$356+$AJ194/$BD$357+$AK194/$BD$368+$AL194/$BD$358)</f>
        <v>0</v>
      </c>
      <c r="BA194" s="147">
        <f t="shared" ref="BA194:BA257" si="89">100*(AC194/BD$364)/($O194/$BD$343+$P194/$BD$344+$Q194/$BD$346+$R194/$BD$348+$S194/$BD$350+$T194/$BD$351+$U194/$BD$352+$V194/$BD$353+$W194/$BD$354+$X194/$BD$359+$Y194/$BD$360+$Z194/$BD$361+$AA194/$BD$362+$AB194/$BD$363+$AC194/$BD$364+$AD194/$BD$365+$AE194/$BD$366+$AF194/$BD$367+$AG194/$BD$369+$AH194/$BD$355+$AI194/$BD$356+$AJ194/$BD$357+$AK194/$BD$368+$AL194/$BD$358)</f>
        <v>4.4346925276158175E-2</v>
      </c>
      <c r="BB194" s="147">
        <f t="shared" ref="BB194:BB257" si="90">100*(AD194/BD$365)/($O194/$BD$343+$P194/$BD$344+$Q194/$BD$346+$R194/$BD$348+$S194/$BD$350+$T194/$BD$351+$U194/$BD$352+$V194/$BD$353+$W194/$BD$354+$X194/$BD$359+$Y194/$BD$360+$Z194/$BD$361+$AA194/$BD$362+$AB194/$BD$363+$AC194/$BD$364+$AD194/$BD$365+$AE194/$BD$366+$AF194/$BD$367+$AG194/$BD$369+$AH194/$BD$355+$AI194/$BD$356+$AJ194/$BD$357+$AK194/$BD$368+$AL194/$BD$358)</f>
        <v>5.1390992546402933E-2</v>
      </c>
      <c r="BC194" s="147">
        <f t="shared" ref="BC194:BC257" si="91">100*(AE194/BD$366)/($O194/$BD$343+$P194/$BD$344+$Q194/$BD$346+$R194/$BD$348+$S194/$BD$350+$T194/$BD$351+$U194/$BD$352+$V194/$BD$353+$W194/$BD$354+$X194/$BD$359+$Y194/$BD$360+$Z194/$BD$361+$AA194/$BD$362+$AB194/$BD$363+$AC194/$BD$364+$AD194/$BD$365+$AE194/$BD$366+$AF194/$BD$367+$AG194/$BD$369+$AH194/$BD$355+$AI194/$BD$356+$AJ194/$BD$357+$AK194/$BD$368+$AL194/$BD$358)</f>
        <v>0</v>
      </c>
      <c r="BD194" s="147">
        <f t="shared" ref="BD194:BD257" si="92">100*(AF194/BD$367)/($O194/$BD$343+$P194/$BD$344+$Q194/$BD$346+$R194/$BD$348+$S194/$BD$350+$T194/$BD$351+$U194/$BD$352+$V194/$BD$353+$W194/$BD$354+$X194/$BD$359+$Y194/$BD$360+$Z194/$BD$361+$AA194/$BD$362+$AB194/$BD$363+$AC194/$BD$364+$AD194/$BD$365+$AE194/$BD$366+$AF194/$BD$367+$AG194/$BD$369+$AH194/$BD$355+$AI194/$BD$356+$AJ194/$BD$357+$AK194/$BD$368+$AL194/$BD$358)</f>
        <v>0</v>
      </c>
      <c r="BE194" s="147">
        <f t="shared" ref="BE194:BE257" si="93">100*(AG194/BD$369)/($O194/$BD$343+$P194/$BD$344+$Q194/$BD$346+$R194/$BD$348+$S194/$BD$350+$T194/$BD$351+$U194/$BD$352+$V194/$BD$353+$W194/$BD$354+$X194/$BD$359+$Y194/$BD$360+$Z194/$BD$361+$AA194/$BD$362+$AB194/$BD$363+$AC194/$BD$364+$AD194/$BD$365+$AE194/$BD$366+$AF194/$BD$367+$AG194/$BD$369+$AH194/$BD$355+$AI194/$BD$356+$AJ194/$BD$357+$AK194/$BD$368+$AL194/$BD$358)</f>
        <v>0</v>
      </c>
      <c r="BF194" s="147">
        <f t="shared" ref="BF194:BF257" si="94">100*(AH194/BD$355)/($O194/$BD$343+$P194/$BD$344+$Q194/$BD$346+$R194/$BD$348+$S194/$BD$350+$T194/$BD$351+$U194/$BD$352+$V194/$BD$353+$W194/$BD$354+$X194/$BD$359+$Y194/$BD$360+$Z194/$BD$361+$AA194/$BD$362+$AB194/$BD$363+$AC194/$BD$364+$AD194/$BD$365+$AE194/$BD$366+$AF194/$BD$367+$AG194/$BD$369+$AH194/$BD$355+$AI194/$BD$356+$AJ194/$BD$357+$AK194/$BD$368+$AL194/$BD$358)</f>
        <v>0</v>
      </c>
      <c r="BG194" s="147">
        <f t="shared" ref="BG194:BG257" si="95">100*(AI194/BD$356)/($O194/$BD$343+$P194/$BD$344+$Q194/$BD$346+$R194/$BD$348+$S194/$BD$350+$T194/$BD$351+$U194/$BD$352+$V194/$BD$353+$W194/$BD$354+$X194/$BD$359+$Y194/$BD$360+$Z194/$BD$361+$AA194/$BD$362+$AB194/$BD$363+$AC194/$BD$364+$AD194/$BD$365+$AE194/$BD$366+$AF194/$BD$367+$AG194/$BD$369+$AH194/$BD$355+$AI194/$BD$356+$AJ194/$BD$357+$AK194/$BD$368+$AL194/$BD$358)</f>
        <v>0</v>
      </c>
      <c r="BH194" s="147">
        <f t="shared" ref="BH194:BH257" si="96">100*(AJ194/BD$357)/($O194/$BD$343+$P194/$BD$344+$Q194/$BD$346+$R194/$BD$348+$S194/$BD$350+$T194/$BD$351+$U194/$BD$352+$V194/$BD$353+$W194/$BD$354+$X194/$BD$359+$Y194/$BD$360+$Z194/$BD$361+$AA194/$BD$362+$AB194/$BD$363+$AC194/$BD$364+$AD194/$BD$365+$AE194/$BD$366+$AF194/$BD$367+$AG194/$BD$369+$AH194/$BD$355+$AI194/$BD$356+$AJ194/$BD$357+$AK194/$BD$368+$AL194/$BD$358)</f>
        <v>0</v>
      </c>
      <c r="BI194" s="147">
        <f t="shared" ref="BI194:BI257" si="97">100*(AK194/BD$368)/($O194/$BD$343+$P194/$BD$344+$Q194/$BD$346+$R194/$BD$348+$S194/$BD$350+$T194/$BD$351+$U194/$BD$352+$V194/$BD$353+$W194/$BD$354+$X194/$BD$359+$Y194/$BD$360+$Z194/$BD$361+$AA194/$BD$362+$AB194/$BD$363+$AC194/$BD$364+$AD194/$BD$365+$AE194/$BD$366+$AF194/$BD$367+$AG194/$BD$369+$AH194/$BD$355+$AI194/$BD$356+$AJ194/$BD$357+$AK194/$BD$368+$AL194/$BD$358)</f>
        <v>0</v>
      </c>
      <c r="BJ194" s="147">
        <f t="shared" ref="BJ194:BJ257" si="98">100*(AL194/BD$358)/($O194/$BD$343+$P194/$BD$344+$Q194/$BD$346+$R194/$BD$348+$S194/$BD$350+$T194/$BD$351+$U194/$BD$352+$V194/$BD$353+$W194/$BD$354+$X194/$BD$359+$Y194/$BD$360+$Z194/$BD$361+$AA194/$BD$362+$AB194/$BD$363+$AC194/$BD$364+$AD194/$BD$365+$AE194/$BD$366+$AF194/$BD$367+$AG194/$BD$369+$AH194/$BD$355+$AI194/$BD$356+$AJ194/$BD$357+$AK194/$BD$368+$AL194/$BD$358)</f>
        <v>0</v>
      </c>
      <c r="BK194" s="147">
        <f t="shared" ref="BK194:BK257" si="99">(($AM194*($BK$396+$BJ$396*($BM$389+$I194))+$AN194*($BK$397+$BJ$397*($BM$389+$I194))+$AO194*($BK$398+$BJ$398*($BM$389+$I194))+$AP194*($BK$399+$BJ$399*($BM$389+$I194))+$AR194*($BK$401+$BJ$401*($BM$389+$I194))+$AS194*($BK$402+$BJ$402*($BM$389+$I194))+$AT194*($BK$403+$BJ$403*($BM$389+$I194))+$AU194*($BK$404+$BJ$404*($BM$389+$I194))+$AV194*($BK$405+$BJ$405*($BM$389+$I194))+$AW194*($BK$406+$BJ$406*($BM$389+$I194))+$AX194*($BK$407+$BJ$407*($BM$389+$I194))+$AY194*($BK$408+$BJ$408*($BM$389+$I194))+$AZ194*($BK$409+$BJ$409*($BM$389+$I194))+$BB194*($BK$411+$BJ$411*($BM$389+$I194))+$BC194*($BK$412+$BJ$412*($BM$389+$I194))+$BD194*($BK$413+$BJ$413*($BM$389+$I194))+$BF194*($BK$415+$BJ$415*($BM$389+$I194))+$BI194*($BK$416+$BJ$416*($BM$389+$I194)))/(SUM($AM194:$BJ194)-$AQ194-$BA194-$BE194-$BG194-$BH194-$BJ194))</f>
        <v>-141.04327700438887</v>
      </c>
      <c r="BL194" s="147">
        <f>IF($K194=$L194,$BK194,IF(OR($K194="graphite",$K194="vitreous carbon"),$BK$406+($BM$389+$I194)*$BJ$406,IF($K194="Pyrolytic Boron Nitride","PBN",IF(COUNTIF($BH$396:$BH$416,$K194)&gt;0,VLOOKUP($K194,$BH$396:$BK$416,4,FALSE)+($BM$389+$I194)*VLOOKUP($K194,$BH$396:$BK$416,3,FALSE),IF(COUNTIF($L$2:$L193,$K194)&gt;0,VLOOKUP($K194,$L$2:$BK193,52,FALSE),"idk")))))</f>
        <v>-141.04327700438887</v>
      </c>
      <c r="BM194" s="147">
        <v>15</v>
      </c>
      <c r="BN194" s="147">
        <v>10</v>
      </c>
      <c r="BO194" s="147">
        <v>0.5</v>
      </c>
      <c r="BP194" s="146" t="s">
        <v>228</v>
      </c>
      <c r="BQ194" s="146"/>
      <c r="BR194" s="146" t="s">
        <v>230</v>
      </c>
      <c r="BS194" s="146"/>
      <c r="BT194" s="146">
        <v>0</v>
      </c>
      <c r="BU194" s="146">
        <v>70</v>
      </c>
      <c r="BV194" s="146"/>
      <c r="BW194" s="146"/>
      <c r="BX194" s="146"/>
      <c r="BY194" s="146"/>
      <c r="BZ194" s="146">
        <v>16</v>
      </c>
      <c r="CA194" s="146">
        <v>5</v>
      </c>
      <c r="CB194" s="146"/>
      <c r="CC194" s="146">
        <v>1</v>
      </c>
      <c r="CD194" s="146"/>
      <c r="CE194" s="146"/>
      <c r="CF194" s="146"/>
      <c r="CG194" s="146"/>
      <c r="CH194" s="146"/>
      <c r="CI194" s="146"/>
      <c r="CJ194" s="146">
        <v>1</v>
      </c>
      <c r="CK194" s="146">
        <v>1</v>
      </c>
      <c r="CL194" s="146"/>
      <c r="CM194" s="146"/>
      <c r="CN194" s="146"/>
      <c r="CO194" s="146"/>
      <c r="CP194" s="146">
        <v>110</v>
      </c>
      <c r="CQ194" s="146"/>
      <c r="CR194" s="146"/>
      <c r="CS194" s="146"/>
      <c r="CT194" s="146"/>
      <c r="CU194" s="146">
        <v>28</v>
      </c>
      <c r="CV194" s="146">
        <v>810</v>
      </c>
      <c r="CW194" s="146"/>
      <c r="CX194" s="146">
        <v>3</v>
      </c>
      <c r="CY194" s="146"/>
      <c r="CZ194" s="146">
        <v>110</v>
      </c>
      <c r="DA194" s="146"/>
      <c r="DB194" s="146"/>
      <c r="DC194" s="146"/>
      <c r="DD194" s="146"/>
      <c r="DE194" s="146">
        <v>1</v>
      </c>
      <c r="DF194" s="146"/>
      <c r="DG194" s="146"/>
      <c r="DH194" s="146"/>
      <c r="DI194" s="146"/>
      <c r="DJ194" s="146">
        <v>0</v>
      </c>
      <c r="DK194" s="146">
        <v>0</v>
      </c>
      <c r="DL194" s="146"/>
      <c r="DM194" s="146">
        <v>-1.21</v>
      </c>
      <c r="DN194" s="146"/>
      <c r="DO194" s="146">
        <v>-0.96</v>
      </c>
      <c r="DP194" s="146"/>
      <c r="DQ194" s="146"/>
      <c r="DR194" s="146"/>
      <c r="DS194" s="146"/>
      <c r="DT194" s="146"/>
      <c r="DU194" s="146" t="s">
        <v>406</v>
      </c>
      <c r="DW194" s="129">
        <f>SUM(_2025_01_07T12_47_export3[[#This Row],[Ni_wt]:[H_wt]])</f>
        <v>100.00000000000001</v>
      </c>
      <c r="DY194" s="130">
        <f>SUM($AM194:BJ194)</f>
        <v>100</v>
      </c>
    </row>
    <row r="195" spans="1:129" x14ac:dyDescent="0.25">
      <c r="A195" s="129" t="s">
        <v>410</v>
      </c>
      <c r="B195" s="129">
        <v>203</v>
      </c>
      <c r="C195" s="129" t="s">
        <v>316</v>
      </c>
      <c r="D195" s="129">
        <v>2018</v>
      </c>
      <c r="E195" s="129" t="s">
        <v>411</v>
      </c>
      <c r="F195" s="129" t="s">
        <v>412</v>
      </c>
      <c r="G195" s="129" t="s">
        <v>226</v>
      </c>
      <c r="H195" s="129">
        <v>0</v>
      </c>
      <c r="I195" s="129">
        <v>850</v>
      </c>
      <c r="J195" s="129">
        <v>300</v>
      </c>
      <c r="K195" s="129" t="s">
        <v>233</v>
      </c>
      <c r="L195" s="129" t="s">
        <v>250</v>
      </c>
      <c r="N195" s="129">
        <v>7940000</v>
      </c>
      <c r="O195" s="130">
        <v>30.4</v>
      </c>
      <c r="P195" s="130">
        <v>20.100000000000001</v>
      </c>
      <c r="Q195" s="130"/>
      <c r="R195" s="130">
        <f>100-SUM(_2025_01_07T12_47_export3[[#This Row],[Ni_wt]:[Mo_wt]],_2025_01_07T12_47_export3[[#This Row],[W_wt]:[H_wt]])</f>
        <v>48.320000000000007</v>
      </c>
      <c r="S195" s="130"/>
      <c r="T195" s="130"/>
      <c r="U195" s="130">
        <v>0.8</v>
      </c>
      <c r="V195" s="130"/>
      <c r="W195" s="130"/>
      <c r="X195" s="130">
        <v>0.3</v>
      </c>
      <c r="Y195" s="130">
        <v>0.08</v>
      </c>
      <c r="Z195" s="130"/>
      <c r="AA195" s="130"/>
      <c r="AB195" s="130"/>
      <c r="AC195" s="130"/>
      <c r="AD195" s="130"/>
      <c r="AE195" s="130"/>
      <c r="AF195" s="130"/>
      <c r="AG195" s="130"/>
      <c r="AH195" s="130"/>
      <c r="AI195" s="130"/>
      <c r="AJ195" s="130"/>
      <c r="AK195" s="130"/>
      <c r="AL195" s="130"/>
      <c r="AM195" s="130">
        <f t="shared" si="75"/>
        <v>28.751016853508379</v>
      </c>
      <c r="AN195" s="130">
        <f t="shared" si="76"/>
        <v>21.45539176401909</v>
      </c>
      <c r="AO195" s="130">
        <f t="shared" si="77"/>
        <v>0</v>
      </c>
      <c r="AP195" s="130">
        <f t="shared" si="78"/>
        <v>48.022800555810861</v>
      </c>
      <c r="AQ195" s="130">
        <f t="shared" si="79"/>
        <v>0</v>
      </c>
      <c r="AR195" s="130">
        <f t="shared" si="80"/>
        <v>0</v>
      </c>
      <c r="AS195" s="130">
        <f t="shared" si="81"/>
        <v>0.80824879731592703</v>
      </c>
      <c r="AT195" s="130">
        <f t="shared" si="82"/>
        <v>0</v>
      </c>
      <c r="AU195" s="130">
        <f t="shared" si="83"/>
        <v>0</v>
      </c>
      <c r="AV195" s="130">
        <f t="shared" si="84"/>
        <v>0.59280690091496557</v>
      </c>
      <c r="AW195" s="130">
        <f t="shared" si="85"/>
        <v>0.36973512843078288</v>
      </c>
      <c r="AX195" s="130">
        <f t="shared" si="86"/>
        <v>0</v>
      </c>
      <c r="AY195" s="130">
        <f t="shared" si="87"/>
        <v>0</v>
      </c>
      <c r="AZ195" s="130">
        <f t="shared" si="88"/>
        <v>0</v>
      </c>
      <c r="BA195" s="130">
        <f t="shared" si="89"/>
        <v>0</v>
      </c>
      <c r="BB195" s="130">
        <f t="shared" si="90"/>
        <v>0</v>
      </c>
      <c r="BC195" s="130">
        <f t="shared" si="91"/>
        <v>0</v>
      </c>
      <c r="BD195" s="130">
        <f t="shared" si="92"/>
        <v>0</v>
      </c>
      <c r="BE195" s="130">
        <f t="shared" si="93"/>
        <v>0</v>
      </c>
      <c r="BF195" s="130">
        <f t="shared" si="94"/>
        <v>0</v>
      </c>
      <c r="BG195" s="130">
        <f t="shared" si="95"/>
        <v>0</v>
      </c>
      <c r="BH195" s="130">
        <f t="shared" si="96"/>
        <v>0</v>
      </c>
      <c r="BI195" s="130">
        <f t="shared" si="97"/>
        <v>0</v>
      </c>
      <c r="BJ195" s="130">
        <f t="shared" si="98"/>
        <v>0</v>
      </c>
      <c r="BK195" s="130">
        <f t="shared" si="99"/>
        <v>-129.95987984877263</v>
      </c>
      <c r="BL195" s="130">
        <f>IF($K195=$L195,$BK195,IF(OR($K195="graphite",$K195="vitreous carbon"),$BK$406+($BM$389+$I195)*$BJ$406,IF($K195="Pyrolytic Boron Nitride","PBN",IF(COUNTIF($BH$396:$BH$416,$K195)&gt;0,VLOOKUP($K195,$BH$396:$BK$416,4,FALSE)+($BM$389+$I195)*VLOOKUP($K195,$BH$396:$BK$416,3,FALSE),IF(COUNTIF($L$2:$L194,$K195)&gt;0,VLOOKUP($K195,$L$2:$BK194,52,FALSE),"idk")))))</f>
        <v>-60.821750226979574</v>
      </c>
      <c r="BM195" s="130">
        <v>15</v>
      </c>
      <c r="BN195" s="130">
        <v>10</v>
      </c>
      <c r="BO195" s="130">
        <v>2</v>
      </c>
      <c r="BP195" s="129" t="s">
        <v>245</v>
      </c>
      <c r="BQ195" s="129"/>
      <c r="BR195" s="129" t="s">
        <v>230</v>
      </c>
      <c r="BS195" s="129"/>
      <c r="BT195" s="129">
        <v>0</v>
      </c>
      <c r="BU195" s="129">
        <v>19.18</v>
      </c>
      <c r="BV195" s="129"/>
      <c r="BZ195" s="129">
        <v>77.8</v>
      </c>
      <c r="CA195" s="129">
        <v>0.46</v>
      </c>
      <c r="CP195" s="129">
        <v>49.67</v>
      </c>
      <c r="CU195" s="129">
        <v>84.21</v>
      </c>
      <c r="CV195" s="129">
        <v>162.54</v>
      </c>
      <c r="CZ195" s="129">
        <v>18.48</v>
      </c>
      <c r="DJ195" s="129">
        <v>0</v>
      </c>
      <c r="DK195" s="129">
        <v>0</v>
      </c>
      <c r="DL195" s="129"/>
      <c r="DM195" s="129">
        <v>-343.8</v>
      </c>
      <c r="DO195" s="129">
        <v>-10.58</v>
      </c>
      <c r="DS195" s="129"/>
      <c r="DT195" s="135" t="s">
        <v>413</v>
      </c>
      <c r="DU195" s="129"/>
      <c r="DW195" s="129">
        <f>SUM(_2025_01_07T12_47_export3[[#This Row],[Ni_wt]:[H_wt]])</f>
        <v>100</v>
      </c>
      <c r="DY195" s="130">
        <f>SUM($AM195:BJ195)</f>
        <v>100.00000000000001</v>
      </c>
    </row>
    <row r="196" spans="1:129" x14ac:dyDescent="0.25">
      <c r="A196" s="148" t="s">
        <v>414</v>
      </c>
      <c r="B196" s="148">
        <v>204</v>
      </c>
      <c r="C196" s="148" t="s">
        <v>316</v>
      </c>
      <c r="D196" s="148">
        <v>2018</v>
      </c>
      <c r="E196" s="148" t="s">
        <v>411</v>
      </c>
      <c r="F196" s="148" t="s">
        <v>412</v>
      </c>
      <c r="G196" s="148" t="s">
        <v>226</v>
      </c>
      <c r="H196" s="148">
        <v>0</v>
      </c>
      <c r="I196" s="148">
        <v>850</v>
      </c>
      <c r="J196" s="148">
        <v>300</v>
      </c>
      <c r="K196" s="148" t="s">
        <v>233</v>
      </c>
      <c r="L196" s="148" t="s">
        <v>415</v>
      </c>
      <c r="M196" s="148"/>
      <c r="N196" s="148"/>
      <c r="O196" s="149">
        <f>100-SUM(_2025_01_07T12_47_export3[[#This Row],[Cr_wt]:[H_wt]])</f>
        <v>90.26</v>
      </c>
      <c r="P196" s="149">
        <v>2.64</v>
      </c>
      <c r="Q196" s="149"/>
      <c r="R196" s="149">
        <v>6.15</v>
      </c>
      <c r="S196" s="149"/>
      <c r="T196" s="149"/>
      <c r="U196" s="149">
        <v>0.56000000000000005</v>
      </c>
      <c r="V196" s="149"/>
      <c r="W196" s="149"/>
      <c r="X196" s="150">
        <v>0.36</v>
      </c>
      <c r="Y196" s="150">
        <v>0.03</v>
      </c>
      <c r="Z196" s="149"/>
      <c r="AA196" s="149"/>
      <c r="AB196" s="149"/>
      <c r="AC196" s="149"/>
      <c r="AD196" s="149"/>
      <c r="AE196" s="149"/>
      <c r="AF196" s="149"/>
      <c r="AG196" s="149"/>
      <c r="AH196" s="149"/>
      <c r="AI196" s="149"/>
      <c r="AJ196" s="149"/>
      <c r="AK196" s="149"/>
      <c r="AL196" s="149"/>
      <c r="AM196" s="149">
        <f t="shared" si="75"/>
        <v>89.190277621065633</v>
      </c>
      <c r="AN196" s="149">
        <f t="shared" si="76"/>
        <v>2.9443326797482707</v>
      </c>
      <c r="AO196" s="149">
        <f t="shared" si="77"/>
        <v>0</v>
      </c>
      <c r="AP196" s="149">
        <f t="shared" si="78"/>
        <v>6.3861370485302675</v>
      </c>
      <c r="AQ196" s="149">
        <f t="shared" si="79"/>
        <v>0</v>
      </c>
      <c r="AR196" s="149">
        <f t="shared" si="80"/>
        <v>0</v>
      </c>
      <c r="AS196" s="149">
        <f t="shared" si="81"/>
        <v>0.59113363086362569</v>
      </c>
      <c r="AT196" s="149">
        <f t="shared" si="82"/>
        <v>0</v>
      </c>
      <c r="AU196" s="149">
        <f t="shared" si="83"/>
        <v>0</v>
      </c>
      <c r="AV196" s="149">
        <f t="shared" si="84"/>
        <v>0.74325366199671528</v>
      </c>
      <c r="AW196" s="149">
        <f t="shared" si="85"/>
        <v>0.14486535779550189</v>
      </c>
      <c r="AX196" s="149">
        <f t="shared" si="86"/>
        <v>0</v>
      </c>
      <c r="AY196" s="149">
        <f t="shared" si="87"/>
        <v>0</v>
      </c>
      <c r="AZ196" s="149">
        <f t="shared" si="88"/>
        <v>0</v>
      </c>
      <c r="BA196" s="149">
        <f t="shared" si="89"/>
        <v>0</v>
      </c>
      <c r="BB196" s="149">
        <f t="shared" si="90"/>
        <v>0</v>
      </c>
      <c r="BC196" s="149">
        <f t="shared" si="91"/>
        <v>0</v>
      </c>
      <c r="BD196" s="149">
        <f t="shared" si="92"/>
        <v>0</v>
      </c>
      <c r="BE196" s="149">
        <f t="shared" si="93"/>
        <v>0</v>
      </c>
      <c r="BF196" s="149">
        <f t="shared" si="94"/>
        <v>0</v>
      </c>
      <c r="BG196" s="149">
        <f t="shared" si="95"/>
        <v>0</v>
      </c>
      <c r="BH196" s="149">
        <f t="shared" si="96"/>
        <v>0</v>
      </c>
      <c r="BI196" s="149">
        <f t="shared" si="97"/>
        <v>0</v>
      </c>
      <c r="BJ196" s="149">
        <f t="shared" si="98"/>
        <v>0</v>
      </c>
      <c r="BK196" s="149">
        <f t="shared" si="99"/>
        <v>-118.67379043973312</v>
      </c>
      <c r="BL196" s="149">
        <f>IF($K196=$L196,$BK196,IF(OR($K196="graphite",$K196="vitreous carbon"),$BK$406+($BM$389+$I196)*$BJ$406,IF($K196="Pyrolytic Boron Nitride","PBN",IF(COUNTIF($BH$396:$BH$416,$K196)&gt;0,VLOOKUP($K196,$BH$396:$BK$416,4,FALSE)+($BM$389+$I196)*VLOOKUP($K196,$BH$396:$BK$416,3,FALSE),IF(COUNTIF($L$2:$L195,$K196)&gt;0,VLOOKUP($K196,$L$2:$BK195,52,FALSE),"idk")))))</f>
        <v>-60.821750226979574</v>
      </c>
      <c r="BM196" s="149">
        <v>15</v>
      </c>
      <c r="BN196" s="149">
        <v>10</v>
      </c>
      <c r="BO196" s="149">
        <v>2</v>
      </c>
      <c r="BP196" s="148" t="s">
        <v>245</v>
      </c>
      <c r="BQ196" s="148"/>
      <c r="BR196" s="148" t="s">
        <v>230</v>
      </c>
      <c r="BS196" s="148"/>
      <c r="BT196" s="148">
        <v>0</v>
      </c>
      <c r="BU196" s="148">
        <v>19.18</v>
      </c>
      <c r="BV196" s="148"/>
      <c r="BW196" s="148"/>
      <c r="BX196" s="148"/>
      <c r="BY196" s="148"/>
      <c r="BZ196" s="148">
        <v>77.8</v>
      </c>
      <c r="CA196" s="148">
        <v>0.46</v>
      </c>
      <c r="CB196" s="148"/>
      <c r="CC196" s="148"/>
      <c r="CD196" s="148"/>
      <c r="CE196" s="148"/>
      <c r="CF196" s="148"/>
      <c r="CG196" s="148"/>
      <c r="CH196" s="148"/>
      <c r="CI196" s="148"/>
      <c r="CJ196" s="148"/>
      <c r="CK196" s="148"/>
      <c r="CL196" s="148"/>
      <c r="CM196" s="148"/>
      <c r="CN196" s="148"/>
      <c r="CO196" s="148"/>
      <c r="CP196" s="148">
        <v>17.11</v>
      </c>
      <c r="CQ196" s="148"/>
      <c r="CR196" s="148"/>
      <c r="CS196" s="148"/>
      <c r="CT196" s="148"/>
      <c r="CU196" s="148">
        <v>110.17</v>
      </c>
      <c r="CV196" s="148">
        <v>32.06</v>
      </c>
      <c r="CW196" s="148"/>
      <c r="CX196" s="148">
        <v>3.94</v>
      </c>
      <c r="CY196" s="148"/>
      <c r="CZ196" s="148">
        <v>4.16</v>
      </c>
      <c r="DA196" s="148"/>
      <c r="DB196" s="148"/>
      <c r="DC196" s="148"/>
      <c r="DD196" s="148"/>
      <c r="DE196" s="148"/>
      <c r="DF196" s="148"/>
      <c r="DG196" s="148"/>
      <c r="DH196" s="148"/>
      <c r="DI196" s="148"/>
      <c r="DJ196" s="148">
        <v>0</v>
      </c>
      <c r="DK196" s="148">
        <v>0</v>
      </c>
      <c r="DL196" s="148"/>
      <c r="DM196" s="148">
        <v>-31.5</v>
      </c>
      <c r="DN196" s="148"/>
      <c r="DO196" s="148">
        <v>-1.3</v>
      </c>
      <c r="DP196" s="148"/>
      <c r="DQ196" s="148"/>
      <c r="DR196" s="148"/>
      <c r="DS196" s="148"/>
      <c r="DT196" s="148"/>
      <c r="DU196" s="148" t="s">
        <v>416</v>
      </c>
      <c r="DW196" s="129">
        <f>SUM(_2025_01_07T12_47_export3[[#This Row],[Ni_wt]:[H_wt]])</f>
        <v>100.00000000000001</v>
      </c>
      <c r="DY196" s="130">
        <f>SUM($AM196:BJ196)</f>
        <v>100.00000000000001</v>
      </c>
    </row>
    <row r="197" spans="1:129" x14ac:dyDescent="0.25">
      <c r="A197" s="148" t="s">
        <v>414</v>
      </c>
      <c r="B197" s="148">
        <v>205</v>
      </c>
      <c r="C197" s="148" t="s">
        <v>316</v>
      </c>
      <c r="D197" s="148">
        <v>2018</v>
      </c>
      <c r="E197" s="148" t="s">
        <v>411</v>
      </c>
      <c r="F197" s="148" t="s">
        <v>412</v>
      </c>
      <c r="G197" s="148" t="s">
        <v>226</v>
      </c>
      <c r="H197" s="148">
        <v>0</v>
      </c>
      <c r="I197" s="148">
        <v>850</v>
      </c>
      <c r="J197" s="148">
        <v>300</v>
      </c>
      <c r="K197" s="148" t="s">
        <v>233</v>
      </c>
      <c r="L197" s="148" t="s">
        <v>417</v>
      </c>
      <c r="M197" s="148"/>
      <c r="N197" s="148"/>
      <c r="O197" s="149">
        <f>100-SUM(_2025_01_07T12_47_export3[[#This Row],[Cr_wt]:[H_wt]])</f>
        <v>82.259999999999991</v>
      </c>
      <c r="P197" s="149">
        <v>5.03</v>
      </c>
      <c r="Q197" s="149"/>
      <c r="R197" s="149">
        <v>11.72</v>
      </c>
      <c r="S197" s="149"/>
      <c r="T197" s="149"/>
      <c r="U197" s="149">
        <v>0.6</v>
      </c>
      <c r="V197" s="149"/>
      <c r="W197" s="149"/>
      <c r="X197" s="150">
        <v>0.36</v>
      </c>
      <c r="Y197" s="150">
        <v>0.03</v>
      </c>
      <c r="Z197" s="149"/>
      <c r="AA197" s="149"/>
      <c r="AB197" s="149"/>
      <c r="AC197" s="149"/>
      <c r="AD197" s="149"/>
      <c r="AE197" s="149"/>
      <c r="AF197" s="149"/>
      <c r="AG197" s="149"/>
      <c r="AH197" s="149"/>
      <c r="AI197" s="149"/>
      <c r="AJ197" s="149"/>
      <c r="AK197" s="149"/>
      <c r="AL197" s="149"/>
      <c r="AM197" s="149">
        <f t="shared" si="75"/>
        <v>80.81119964283377</v>
      </c>
      <c r="AN197" s="149">
        <f t="shared" si="76"/>
        <v>5.577140683012753</v>
      </c>
      <c r="AO197" s="149">
        <f t="shared" si="77"/>
        <v>0</v>
      </c>
      <c r="AP197" s="149">
        <f t="shared" si="78"/>
        <v>12.09905337128631</v>
      </c>
      <c r="AQ197" s="149">
        <f t="shared" si="79"/>
        <v>0</v>
      </c>
      <c r="AR197" s="149">
        <f t="shared" si="80"/>
        <v>0</v>
      </c>
      <c r="AS197" s="149">
        <f t="shared" si="81"/>
        <v>0.62966499984439162</v>
      </c>
      <c r="AT197" s="149">
        <f t="shared" si="82"/>
        <v>0</v>
      </c>
      <c r="AU197" s="149">
        <f t="shared" si="83"/>
        <v>0</v>
      </c>
      <c r="AV197" s="149">
        <f t="shared" si="84"/>
        <v>0.73892050747136062</v>
      </c>
      <c r="AW197" s="149">
        <f t="shared" si="85"/>
        <v>0.14402079555141911</v>
      </c>
      <c r="AX197" s="149">
        <f t="shared" si="86"/>
        <v>0</v>
      </c>
      <c r="AY197" s="149">
        <f t="shared" si="87"/>
        <v>0</v>
      </c>
      <c r="AZ197" s="149">
        <f t="shared" si="88"/>
        <v>0</v>
      </c>
      <c r="BA197" s="149">
        <f t="shared" si="89"/>
        <v>0</v>
      </c>
      <c r="BB197" s="149">
        <f t="shared" si="90"/>
        <v>0</v>
      </c>
      <c r="BC197" s="149">
        <f t="shared" si="91"/>
        <v>0</v>
      </c>
      <c r="BD197" s="149">
        <f t="shared" si="92"/>
        <v>0</v>
      </c>
      <c r="BE197" s="149">
        <f t="shared" si="93"/>
        <v>0</v>
      </c>
      <c r="BF197" s="149">
        <f t="shared" si="94"/>
        <v>0</v>
      </c>
      <c r="BG197" s="149">
        <f t="shared" si="95"/>
        <v>0</v>
      </c>
      <c r="BH197" s="149">
        <f t="shared" si="96"/>
        <v>0</v>
      </c>
      <c r="BI197" s="149">
        <f t="shared" si="97"/>
        <v>0</v>
      </c>
      <c r="BJ197" s="149">
        <f t="shared" si="98"/>
        <v>0</v>
      </c>
      <c r="BK197" s="149">
        <f t="shared" si="99"/>
        <v>-120.27754452415877</v>
      </c>
      <c r="BL197" s="149">
        <f>IF($K197=$L197,$BK197,IF(OR($K197="graphite",$K197="vitreous carbon"),$BK$406+($BM$389+$I197)*$BJ$406,IF($K197="Pyrolytic Boron Nitride","PBN",IF(COUNTIF($BH$396:$BH$416,$K197)&gt;0,VLOOKUP($K197,$BH$396:$BK$416,4,FALSE)+($BM$389+$I197)*VLOOKUP($K197,$BH$396:$BK$416,3,FALSE),IF(COUNTIF($L$2:$L196,$K197)&gt;0,VLOOKUP($K197,$L$2:$BK196,52,FALSE),"idk")))))</f>
        <v>-60.821750226979574</v>
      </c>
      <c r="BM197" s="149">
        <v>15</v>
      </c>
      <c r="BN197" s="149">
        <v>10</v>
      </c>
      <c r="BO197" s="149">
        <v>2</v>
      </c>
      <c r="BP197" s="148" t="s">
        <v>245</v>
      </c>
      <c r="BQ197" s="148"/>
      <c r="BR197" s="148" t="s">
        <v>230</v>
      </c>
      <c r="BS197" s="148"/>
      <c r="BT197" s="148">
        <v>0</v>
      </c>
      <c r="BU197" s="148">
        <v>19.18</v>
      </c>
      <c r="BV197" s="148"/>
      <c r="BW197" s="148"/>
      <c r="BX197" s="148"/>
      <c r="BY197" s="148"/>
      <c r="BZ197" s="148">
        <v>77.8</v>
      </c>
      <c r="CA197" s="148">
        <v>0.46</v>
      </c>
      <c r="CB197" s="148"/>
      <c r="CC197" s="148"/>
      <c r="CD197" s="148"/>
      <c r="CE197" s="148"/>
      <c r="CF197" s="148"/>
      <c r="CG197" s="148"/>
      <c r="CH197" s="148"/>
      <c r="CI197" s="148"/>
      <c r="CJ197" s="148"/>
      <c r="CK197" s="148"/>
      <c r="CL197" s="148"/>
      <c r="CM197" s="148"/>
      <c r="CN197" s="148"/>
      <c r="CO197" s="148"/>
      <c r="CP197" s="148">
        <v>17.11</v>
      </c>
      <c r="CQ197" s="148"/>
      <c r="CR197" s="148"/>
      <c r="CS197" s="148"/>
      <c r="CT197" s="148"/>
      <c r="CU197" s="148">
        <v>110.17</v>
      </c>
      <c r="CV197" s="148">
        <v>32.06</v>
      </c>
      <c r="CW197" s="148"/>
      <c r="CX197" s="148">
        <v>3.94</v>
      </c>
      <c r="CY197" s="148"/>
      <c r="CZ197" s="148">
        <v>4.16</v>
      </c>
      <c r="DA197" s="148"/>
      <c r="DB197" s="148"/>
      <c r="DC197" s="148"/>
      <c r="DD197" s="148"/>
      <c r="DE197" s="148"/>
      <c r="DF197" s="148"/>
      <c r="DG197" s="148"/>
      <c r="DH197" s="148"/>
      <c r="DI197" s="148"/>
      <c r="DJ197" s="148">
        <v>0</v>
      </c>
      <c r="DK197" s="148">
        <v>0</v>
      </c>
      <c r="DL197" s="148"/>
      <c r="DM197" s="148">
        <v>-290.7</v>
      </c>
      <c r="DN197" s="148"/>
      <c r="DO197" s="148">
        <v>-1.3</v>
      </c>
      <c r="DP197" s="148"/>
      <c r="DQ197" s="148"/>
      <c r="DR197" s="148"/>
      <c r="DS197" s="148"/>
      <c r="DT197" s="148"/>
      <c r="DU197" s="148" t="s">
        <v>416</v>
      </c>
      <c r="DW197" s="129">
        <f>SUM(_2025_01_07T12_47_export3[[#This Row],[Ni_wt]:[H_wt]])</f>
        <v>99.999999999999986</v>
      </c>
      <c r="DY197" s="130">
        <f>SUM($AM197:BJ197)</f>
        <v>100</v>
      </c>
    </row>
    <row r="198" spans="1:129" ht="16.5" thickBot="1" x14ac:dyDescent="0.3">
      <c r="A198" s="136" t="s">
        <v>418</v>
      </c>
      <c r="B198" s="136">
        <v>206</v>
      </c>
      <c r="C198" s="136" t="s">
        <v>316</v>
      </c>
      <c r="D198" s="136">
        <v>2018</v>
      </c>
      <c r="E198" s="136" t="s">
        <v>411</v>
      </c>
      <c r="F198" s="136" t="s">
        <v>412</v>
      </c>
      <c r="G198" s="136" t="s">
        <v>226</v>
      </c>
      <c r="H198" s="136">
        <v>0</v>
      </c>
      <c r="I198" s="136">
        <v>850</v>
      </c>
      <c r="J198" s="136">
        <v>300</v>
      </c>
      <c r="K198" s="136" t="s">
        <v>233</v>
      </c>
      <c r="L198" s="136" t="s">
        <v>239</v>
      </c>
      <c r="M198" s="136"/>
      <c r="N198" s="136">
        <v>8860000</v>
      </c>
      <c r="O198" s="137">
        <v>71</v>
      </c>
      <c r="P198" s="137">
        <v>7</v>
      </c>
      <c r="Q198" s="137">
        <v>16</v>
      </c>
      <c r="R198" s="137">
        <v>3</v>
      </c>
      <c r="S198" s="137">
        <v>0.5</v>
      </c>
      <c r="T198" s="137">
        <v>0.2</v>
      </c>
      <c r="U198" s="137">
        <v>0.8</v>
      </c>
      <c r="V198" s="137">
        <v>0.17</v>
      </c>
      <c r="W198" s="137">
        <v>0.18</v>
      </c>
      <c r="X198" s="137">
        <v>1</v>
      </c>
      <c r="Y198" s="137">
        <v>0.08</v>
      </c>
      <c r="Z198" s="137">
        <v>0.35</v>
      </c>
      <c r="AA198" s="137"/>
      <c r="AB198" s="137"/>
      <c r="AC198" s="137"/>
      <c r="AD198" s="137"/>
      <c r="AE198" s="137"/>
      <c r="AF198" s="137"/>
      <c r="AG198" s="137"/>
      <c r="AH198" s="137"/>
      <c r="AI198" s="137"/>
      <c r="AJ198" s="137"/>
      <c r="AK198" s="137"/>
      <c r="AL198" s="137"/>
      <c r="AM198" s="137">
        <f t="shared" si="75"/>
        <v>73.616065298412209</v>
      </c>
      <c r="AN198" s="137">
        <f t="shared" si="76"/>
        <v>8.1916815023149212</v>
      </c>
      <c r="AO198" s="137">
        <f t="shared" si="77"/>
        <v>10.146309488962684</v>
      </c>
      <c r="AP198" s="137">
        <f t="shared" si="78"/>
        <v>3.268710357746841</v>
      </c>
      <c r="AQ198" s="137">
        <f t="shared" si="79"/>
        <v>0.16553996507087509</v>
      </c>
      <c r="AR198" s="137">
        <f t="shared" si="80"/>
        <v>0.20652466030902325</v>
      </c>
      <c r="AS198" s="137">
        <f t="shared" si="81"/>
        <v>0.88609379191923843</v>
      </c>
      <c r="AT198" s="137">
        <f t="shared" si="82"/>
        <v>0.38342933644214711</v>
      </c>
      <c r="AU198" s="137">
        <f t="shared" si="83"/>
        <v>0.22881655334885451</v>
      </c>
      <c r="AV198" s="137">
        <f t="shared" si="84"/>
        <v>2.1663400199378318</v>
      </c>
      <c r="AW198" s="137">
        <f t="shared" si="85"/>
        <v>0.40534548649494556</v>
      </c>
      <c r="AX198" s="137">
        <f t="shared" si="86"/>
        <v>0.33514353904042166</v>
      </c>
      <c r="AY198" s="137">
        <f t="shared" si="87"/>
        <v>0</v>
      </c>
      <c r="AZ198" s="137">
        <f t="shared" si="88"/>
        <v>0</v>
      </c>
      <c r="BA198" s="137">
        <f t="shared" si="89"/>
        <v>0</v>
      </c>
      <c r="BB198" s="137">
        <f t="shared" si="90"/>
        <v>0</v>
      </c>
      <c r="BC198" s="137">
        <f t="shared" si="91"/>
        <v>0</v>
      </c>
      <c r="BD198" s="137">
        <f t="shared" si="92"/>
        <v>0</v>
      </c>
      <c r="BE198" s="137">
        <f t="shared" si="93"/>
        <v>0</v>
      </c>
      <c r="BF198" s="137">
        <f t="shared" si="94"/>
        <v>0</v>
      </c>
      <c r="BG198" s="137">
        <f t="shared" si="95"/>
        <v>0</v>
      </c>
      <c r="BH198" s="137">
        <f t="shared" si="96"/>
        <v>0</v>
      </c>
      <c r="BI198" s="137">
        <f t="shared" si="97"/>
        <v>0</v>
      </c>
      <c r="BJ198" s="137">
        <f t="shared" si="98"/>
        <v>0</v>
      </c>
      <c r="BK198" s="137">
        <f t="shared" si="99"/>
        <v>-120.17191689567275</v>
      </c>
      <c r="BL198" s="137">
        <f>IF($K198=$L198,$BK198,IF(OR($K198="graphite",$K198="vitreous carbon"),$BK$406+($BM$389+$I198)*$BJ$406,IF($K198="Pyrolytic Boron Nitride","PBN",IF(COUNTIF($BH$396:$BH$416,$K198)&gt;0,VLOOKUP($K198,$BH$396:$BK$416,4,FALSE)+($BM$389+$I198)*VLOOKUP($K198,$BH$396:$BK$416,3,FALSE),IF(COUNTIF($L$2:$L197,$K198)&gt;0,VLOOKUP($K198,$L$2:$BK197,52,FALSE),"idk")))))</f>
        <v>-60.821750226979574</v>
      </c>
      <c r="BM198" s="137">
        <v>15</v>
      </c>
      <c r="BN198" s="137">
        <v>10</v>
      </c>
      <c r="BO198" s="137">
        <v>2</v>
      </c>
      <c r="BP198" s="136" t="s">
        <v>245</v>
      </c>
      <c r="BQ198" s="136"/>
      <c r="BR198" s="136" t="s">
        <v>230</v>
      </c>
      <c r="BS198" s="136"/>
      <c r="BT198" s="136">
        <v>0</v>
      </c>
      <c r="BU198" s="136">
        <v>19.18</v>
      </c>
      <c r="BV198" s="136"/>
      <c r="BW198" s="136"/>
      <c r="BX198" s="136"/>
      <c r="BY198" s="136"/>
      <c r="BZ198" s="136">
        <v>77.8</v>
      </c>
      <c r="CA198" s="136">
        <v>0.46</v>
      </c>
      <c r="CB198" s="136"/>
      <c r="CC198" s="136"/>
      <c r="CD198" s="136"/>
      <c r="CE198" s="136"/>
      <c r="CF198" s="136"/>
      <c r="CG198" s="136"/>
      <c r="CH198" s="136"/>
      <c r="CI198" s="136"/>
      <c r="CJ198" s="136"/>
      <c r="CK198" s="136"/>
      <c r="CL198" s="136"/>
      <c r="CM198" s="136"/>
      <c r="CN198" s="136"/>
      <c r="CO198" s="136"/>
      <c r="CP198" s="136">
        <v>27.54</v>
      </c>
      <c r="CQ198" s="136"/>
      <c r="CR198" s="136"/>
      <c r="CS198" s="136"/>
      <c r="CT198" s="136"/>
      <c r="CU198" s="136">
        <v>149.31</v>
      </c>
      <c r="CV198" s="136">
        <v>53.27</v>
      </c>
      <c r="CW198" s="136"/>
      <c r="CX198" s="136"/>
      <c r="CY198" s="136"/>
      <c r="CZ198" s="136">
        <v>7.03</v>
      </c>
      <c r="DA198" s="136"/>
      <c r="DB198" s="136"/>
      <c r="DC198" s="136"/>
      <c r="DD198" s="136"/>
      <c r="DE198" s="136"/>
      <c r="DF198" s="136"/>
      <c r="DG198" s="136"/>
      <c r="DH198" s="136"/>
      <c r="DI198" s="136"/>
      <c r="DJ198" s="136">
        <v>0</v>
      </c>
      <c r="DK198" s="136">
        <v>0</v>
      </c>
      <c r="DL198" s="136"/>
      <c r="DM198" s="136">
        <v>-31.2</v>
      </c>
      <c r="DN198" s="136"/>
      <c r="DO198" s="136">
        <v>-0.31</v>
      </c>
      <c r="DP198" s="136"/>
      <c r="DQ198" s="136"/>
      <c r="DR198" s="136"/>
      <c r="DS198" s="136"/>
      <c r="DT198" s="136"/>
      <c r="DU198" s="136"/>
      <c r="DW198" s="129">
        <f>SUM(_2025_01_07T12_47_export3[[#This Row],[Ni_wt]:[H_wt]])</f>
        <v>100.28</v>
      </c>
      <c r="DY198" s="130">
        <f>SUM($AM198:BJ198)</f>
        <v>100</v>
      </c>
    </row>
    <row r="199" spans="1:129" s="227" customFormat="1" x14ac:dyDescent="0.25">
      <c r="A199" s="244" t="s">
        <v>419</v>
      </c>
      <c r="B199" s="244">
        <v>207</v>
      </c>
      <c r="C199" s="244" t="s">
        <v>420</v>
      </c>
      <c r="D199" s="244">
        <v>2020</v>
      </c>
      <c r="E199" s="244" t="s">
        <v>421</v>
      </c>
      <c r="F199" s="244" t="s">
        <v>422</v>
      </c>
      <c r="G199" s="244" t="s">
        <v>226</v>
      </c>
      <c r="H199" s="244">
        <v>0</v>
      </c>
      <c r="I199" s="244">
        <v>700</v>
      </c>
      <c r="J199" s="244">
        <v>15</v>
      </c>
      <c r="K199" s="244" t="s">
        <v>48</v>
      </c>
      <c r="L199" s="244" t="s">
        <v>239</v>
      </c>
      <c r="M199" s="244"/>
      <c r="N199" s="244">
        <v>8860000</v>
      </c>
      <c r="O199" s="245">
        <v>70.56</v>
      </c>
      <c r="P199" s="245">
        <v>7.01</v>
      </c>
      <c r="Q199" s="245">
        <v>17.34</v>
      </c>
      <c r="R199" s="245">
        <v>3.92</v>
      </c>
      <c r="S199" s="245"/>
      <c r="T199" s="245">
        <v>4.0000000000000001E-3</v>
      </c>
      <c r="U199" s="245">
        <v>0.6</v>
      </c>
      <c r="V199" s="245">
        <v>2.1000000000000001E-2</v>
      </c>
      <c r="W199" s="245">
        <v>2E-3</v>
      </c>
      <c r="X199" s="245">
        <v>0.45</v>
      </c>
      <c r="Y199" s="245">
        <v>5.5E-2</v>
      </c>
      <c r="Z199" s="245"/>
      <c r="AA199" s="245"/>
      <c r="AB199" s="245"/>
      <c r="AC199" s="245"/>
      <c r="AD199" s="245"/>
      <c r="AE199" s="245"/>
      <c r="AF199" s="245"/>
      <c r="AG199" s="245"/>
      <c r="AH199" s="245"/>
      <c r="AI199" s="245"/>
      <c r="AJ199" s="245"/>
      <c r="AK199" s="245"/>
      <c r="AL199" s="245"/>
      <c r="AM199" s="245">
        <f t="shared" si="75"/>
        <v>74.196714441831276</v>
      </c>
      <c r="AN199" s="245">
        <f t="shared" si="76"/>
        <v>8.3196467397750542</v>
      </c>
      <c r="AO199" s="245">
        <f t="shared" si="77"/>
        <v>11.151905115481981</v>
      </c>
      <c r="AP199" s="245">
        <f t="shared" si="78"/>
        <v>4.3316474391635102</v>
      </c>
      <c r="AQ199" s="245">
        <f t="shared" si="79"/>
        <v>0</v>
      </c>
      <c r="AR199" s="245">
        <f t="shared" si="80"/>
        <v>4.1890328109324112E-3</v>
      </c>
      <c r="AS199" s="245">
        <f t="shared" si="81"/>
        <v>0.67398899767450038</v>
      </c>
      <c r="AT199" s="245">
        <f t="shared" si="82"/>
        <v>4.8036080193784164E-2</v>
      </c>
      <c r="AU199" s="245">
        <f t="shared" si="83"/>
        <v>2.5784385162758204E-3</v>
      </c>
      <c r="AV199" s="245">
        <f t="shared" si="84"/>
        <v>0.98866915803409705</v>
      </c>
      <c r="AW199" s="245">
        <f t="shared" si="85"/>
        <v>0.28262455651860086</v>
      </c>
      <c r="AX199" s="245">
        <f t="shared" si="86"/>
        <v>0</v>
      </c>
      <c r="AY199" s="245">
        <f t="shared" si="87"/>
        <v>0</v>
      </c>
      <c r="AZ199" s="245">
        <f t="shared" si="88"/>
        <v>0</v>
      </c>
      <c r="BA199" s="245">
        <f t="shared" si="89"/>
        <v>0</v>
      </c>
      <c r="BB199" s="245">
        <f t="shared" si="90"/>
        <v>0</v>
      </c>
      <c r="BC199" s="245">
        <f t="shared" si="91"/>
        <v>0</v>
      </c>
      <c r="BD199" s="245">
        <f t="shared" si="92"/>
        <v>0</v>
      </c>
      <c r="BE199" s="245">
        <f t="shared" si="93"/>
        <v>0</v>
      </c>
      <c r="BF199" s="245">
        <f t="shared" si="94"/>
        <v>0</v>
      </c>
      <c r="BG199" s="245">
        <f t="shared" si="95"/>
        <v>0</v>
      </c>
      <c r="BH199" s="245">
        <f t="shared" si="96"/>
        <v>0</v>
      </c>
      <c r="BI199" s="245">
        <f t="shared" si="97"/>
        <v>0</v>
      </c>
      <c r="BJ199" s="245">
        <f t="shared" si="98"/>
        <v>0</v>
      </c>
      <c r="BK199" s="245">
        <f t="shared" si="99"/>
        <v>-124.51377510865618</v>
      </c>
      <c r="BL199" s="245">
        <f>IF($K199=$L199,$BK199,IF(OR($K199="graphite",$K199="vitreous carbon"),$BK$406+($BM$389+$I199)*$BJ$406,IF($K199="Pyrolytic Boron Nitride","PBN",IF(COUNTIF($BH$396:$BH$416,$K199)&gt;0,VLOOKUP($K199,$BH$396:$BK$416,4,FALSE)+($BM$389+$I199)*VLOOKUP($K199,$BH$396:$BK$416,3,FALSE),IF(COUNTIF($L$2:$L198,$K199)&gt;0,VLOOKUP($K199,$L$2:$BK198,52,FALSE),"idk")))))</f>
        <v>-121.74823772574202</v>
      </c>
      <c r="BM199" s="245">
        <v>20</v>
      </c>
      <c r="BN199" s="245">
        <v>10</v>
      </c>
      <c r="BO199" s="245">
        <v>3</v>
      </c>
      <c r="BP199" s="244" t="s">
        <v>245</v>
      </c>
      <c r="BQ199" s="244"/>
      <c r="BR199" s="244" t="s">
        <v>230</v>
      </c>
      <c r="BS199" s="244"/>
      <c r="BT199" s="244">
        <v>0</v>
      </c>
      <c r="BU199" s="244">
        <v>14</v>
      </c>
      <c r="BV199" s="244"/>
      <c r="BW199" s="244">
        <v>10</v>
      </c>
      <c r="BX199" s="244">
        <v>11</v>
      </c>
      <c r="BY199" s="244"/>
      <c r="BZ199" s="244">
        <v>74</v>
      </c>
      <c r="CA199" s="244">
        <v>6</v>
      </c>
      <c r="CB199" s="244"/>
      <c r="CC199" s="244"/>
      <c r="CD199" s="244">
        <v>19</v>
      </c>
      <c r="CE199" s="244"/>
      <c r="CF199" s="244">
        <v>8</v>
      </c>
      <c r="CG199" s="244"/>
      <c r="CH199" s="244"/>
      <c r="CI199" s="246">
        <v>100</v>
      </c>
      <c r="CJ199" s="246"/>
      <c r="CK199" s="246"/>
      <c r="CL199" s="246"/>
      <c r="CM199" s="246"/>
      <c r="CN199" s="246"/>
      <c r="CO199" s="246"/>
      <c r="CP199" s="246"/>
      <c r="CQ199" s="246"/>
      <c r="CR199" s="246"/>
      <c r="CS199" s="246"/>
      <c r="CT199" s="246"/>
      <c r="CU199" s="246"/>
      <c r="CV199" s="246"/>
      <c r="CW199" s="246"/>
      <c r="CX199" s="246"/>
      <c r="CY199" s="246"/>
      <c r="CZ199" s="246"/>
      <c r="DA199" s="246"/>
      <c r="DB199" s="246"/>
      <c r="DC199" s="246"/>
      <c r="DD199" s="246"/>
      <c r="DE199" s="246"/>
      <c r="DF199" s="246"/>
      <c r="DG199" s="246"/>
      <c r="DH199" s="246"/>
      <c r="DI199" s="246"/>
      <c r="DJ199" s="244">
        <v>0</v>
      </c>
      <c r="DK199" s="244">
        <v>0</v>
      </c>
      <c r="DL199" s="244"/>
      <c r="DM199" s="244">
        <v>-2.62</v>
      </c>
      <c r="DN199" s="244"/>
      <c r="DO199" s="244">
        <v>-0.41</v>
      </c>
      <c r="DP199" s="244"/>
      <c r="DQ199" s="244"/>
      <c r="DR199" s="244"/>
      <c r="DS199" s="244"/>
      <c r="DT199" s="236" t="s">
        <v>424</v>
      </c>
      <c r="DU199" s="244" t="s">
        <v>423</v>
      </c>
      <c r="DW199" s="227">
        <f>SUM(_2025_01_07T12_47_export3[[#This Row],[Ni_wt]:[H_wt]])</f>
        <v>99.962000000000018</v>
      </c>
      <c r="DY199" s="228">
        <f>SUM($AM199:BJ199)</f>
        <v>100</v>
      </c>
    </row>
    <row r="200" spans="1:129" s="227" customFormat="1" x14ac:dyDescent="0.25">
      <c r="A200" s="227" t="s">
        <v>419</v>
      </c>
      <c r="B200" s="227">
        <v>208</v>
      </c>
      <c r="C200" s="227" t="s">
        <v>420</v>
      </c>
      <c r="D200" s="227">
        <v>2020</v>
      </c>
      <c r="E200" s="227" t="s">
        <v>421</v>
      </c>
      <c r="F200" s="227" t="s">
        <v>422</v>
      </c>
      <c r="G200" s="227" t="s">
        <v>226</v>
      </c>
      <c r="H200" s="227">
        <v>0</v>
      </c>
      <c r="I200" s="227">
        <v>700</v>
      </c>
      <c r="J200" s="227">
        <v>60</v>
      </c>
      <c r="K200" s="227" t="s">
        <v>48</v>
      </c>
      <c r="L200" s="227" t="s">
        <v>239</v>
      </c>
      <c r="N200" s="227">
        <v>8860000</v>
      </c>
      <c r="O200" s="228">
        <v>70.56</v>
      </c>
      <c r="P200" s="228">
        <v>7.01</v>
      </c>
      <c r="Q200" s="228">
        <v>17.34</v>
      </c>
      <c r="R200" s="228">
        <v>3.92</v>
      </c>
      <c r="S200" s="228"/>
      <c r="T200" s="228">
        <v>4.0000000000000001E-3</v>
      </c>
      <c r="U200" s="228">
        <v>0.6</v>
      </c>
      <c r="V200" s="228">
        <v>2.1000000000000001E-2</v>
      </c>
      <c r="W200" s="228">
        <v>2E-3</v>
      </c>
      <c r="X200" s="228">
        <v>0.45</v>
      </c>
      <c r="Y200" s="228">
        <v>5.5E-2</v>
      </c>
      <c r="Z200" s="228"/>
      <c r="AA200" s="228"/>
      <c r="AB200" s="228"/>
      <c r="AC200" s="228"/>
      <c r="AD200" s="228"/>
      <c r="AE200" s="228"/>
      <c r="AF200" s="228"/>
      <c r="AG200" s="228"/>
      <c r="AH200" s="228"/>
      <c r="AI200" s="228"/>
      <c r="AJ200" s="228"/>
      <c r="AK200" s="228"/>
      <c r="AL200" s="228"/>
      <c r="AM200" s="228">
        <f t="shared" si="75"/>
        <v>74.196714441831276</v>
      </c>
      <c r="AN200" s="228">
        <f t="shared" si="76"/>
        <v>8.3196467397750542</v>
      </c>
      <c r="AO200" s="228">
        <f t="shared" si="77"/>
        <v>11.151905115481981</v>
      </c>
      <c r="AP200" s="228">
        <f t="shared" si="78"/>
        <v>4.3316474391635102</v>
      </c>
      <c r="AQ200" s="228">
        <f t="shared" si="79"/>
        <v>0</v>
      </c>
      <c r="AR200" s="228">
        <f t="shared" si="80"/>
        <v>4.1890328109324112E-3</v>
      </c>
      <c r="AS200" s="228">
        <f t="shared" si="81"/>
        <v>0.67398899767450038</v>
      </c>
      <c r="AT200" s="228">
        <f t="shared" si="82"/>
        <v>4.8036080193784164E-2</v>
      </c>
      <c r="AU200" s="228">
        <f t="shared" si="83"/>
        <v>2.5784385162758204E-3</v>
      </c>
      <c r="AV200" s="228">
        <f t="shared" si="84"/>
        <v>0.98866915803409705</v>
      </c>
      <c r="AW200" s="228">
        <f t="shared" si="85"/>
        <v>0.28262455651860086</v>
      </c>
      <c r="AX200" s="228">
        <f t="shared" si="86"/>
        <v>0</v>
      </c>
      <c r="AY200" s="228">
        <f t="shared" si="87"/>
        <v>0</v>
      </c>
      <c r="AZ200" s="228">
        <f t="shared" si="88"/>
        <v>0</v>
      </c>
      <c r="BA200" s="228">
        <f t="shared" si="89"/>
        <v>0</v>
      </c>
      <c r="BB200" s="228">
        <f t="shared" si="90"/>
        <v>0</v>
      </c>
      <c r="BC200" s="228">
        <f t="shared" si="91"/>
        <v>0</v>
      </c>
      <c r="BD200" s="228">
        <f t="shared" si="92"/>
        <v>0</v>
      </c>
      <c r="BE200" s="228">
        <f t="shared" si="93"/>
        <v>0</v>
      </c>
      <c r="BF200" s="228">
        <f t="shared" si="94"/>
        <v>0</v>
      </c>
      <c r="BG200" s="228">
        <f t="shared" si="95"/>
        <v>0</v>
      </c>
      <c r="BH200" s="228">
        <f t="shared" si="96"/>
        <v>0</v>
      </c>
      <c r="BI200" s="228">
        <f t="shared" si="97"/>
        <v>0</v>
      </c>
      <c r="BJ200" s="228">
        <f t="shared" si="98"/>
        <v>0</v>
      </c>
      <c r="BK200" s="228">
        <f t="shared" si="99"/>
        <v>-124.51377510865618</v>
      </c>
      <c r="BL200" s="228">
        <f>IF($K200=$L200,$BK200,IF(OR($K200="graphite",$K200="vitreous carbon"),$BK$406+($BM$389+$I200)*$BJ$406,IF($K200="Pyrolytic Boron Nitride","PBN",IF(COUNTIF($BH$396:$BH$416,$K200)&gt;0,VLOOKUP($K200,$BH$396:$BK$416,4,FALSE)+($BM$389+$I200)*VLOOKUP($K200,$BH$396:$BK$416,3,FALSE),IF(COUNTIF($L$2:$L199,$K200)&gt;0,VLOOKUP($K200,$L$2:$BK199,52,FALSE),"idk")))))</f>
        <v>-121.74823772574202</v>
      </c>
      <c r="BM200" s="228">
        <v>20</v>
      </c>
      <c r="BN200" s="228">
        <v>10</v>
      </c>
      <c r="BO200" s="228">
        <v>3</v>
      </c>
      <c r="BP200" s="227" t="s">
        <v>245</v>
      </c>
      <c r="BR200" s="227" t="s">
        <v>230</v>
      </c>
      <c r="BT200" s="227">
        <v>0</v>
      </c>
      <c r="BU200" s="227">
        <v>14</v>
      </c>
      <c r="BW200" s="227">
        <v>10</v>
      </c>
      <c r="BX200" s="227">
        <v>11</v>
      </c>
      <c r="BZ200" s="227">
        <v>74</v>
      </c>
      <c r="CA200" s="227">
        <v>6</v>
      </c>
      <c r="CD200" s="227">
        <v>19</v>
      </c>
      <c r="CF200" s="227">
        <v>8</v>
      </c>
      <c r="CI200" s="229">
        <v>100</v>
      </c>
      <c r="CJ200" s="229"/>
      <c r="CK200" s="229"/>
      <c r="CL200" s="229"/>
      <c r="CM200" s="229"/>
      <c r="CN200" s="229"/>
      <c r="CO200" s="229"/>
      <c r="CP200" s="229"/>
      <c r="CQ200" s="229"/>
      <c r="CR200" s="229"/>
      <c r="CS200" s="229"/>
      <c r="CT200" s="229"/>
      <c r="CU200" s="229"/>
      <c r="CV200" s="229"/>
      <c r="CW200" s="229"/>
      <c r="CX200" s="229"/>
      <c r="CY200" s="229"/>
      <c r="CZ200" s="229"/>
      <c r="DA200" s="229"/>
      <c r="DB200" s="229"/>
      <c r="DC200" s="229"/>
      <c r="DD200" s="229"/>
      <c r="DE200" s="229"/>
      <c r="DF200" s="229"/>
      <c r="DG200" s="229"/>
      <c r="DH200" s="229"/>
      <c r="DI200" s="229"/>
      <c r="DJ200" s="227">
        <v>0</v>
      </c>
      <c r="DK200" s="227">
        <v>0</v>
      </c>
      <c r="DM200" s="227">
        <v>-6.72</v>
      </c>
      <c r="DO200" s="227">
        <v>-0.85</v>
      </c>
      <c r="DU200" s="227" t="s">
        <v>423</v>
      </c>
      <c r="DW200" s="227">
        <f>SUM(_2025_01_07T12_47_export3[[#This Row],[Ni_wt]:[H_wt]])</f>
        <v>99.962000000000018</v>
      </c>
      <c r="DY200" s="228">
        <f>SUM($AM200:BJ200)</f>
        <v>100</v>
      </c>
    </row>
    <row r="201" spans="1:129" s="227" customFormat="1" x14ac:dyDescent="0.25">
      <c r="A201" s="227" t="s">
        <v>419</v>
      </c>
      <c r="B201" s="227">
        <v>209</v>
      </c>
      <c r="C201" s="227" t="s">
        <v>420</v>
      </c>
      <c r="D201" s="227">
        <v>2020</v>
      </c>
      <c r="E201" s="227" t="s">
        <v>421</v>
      </c>
      <c r="F201" s="227" t="s">
        <v>422</v>
      </c>
      <c r="G201" s="227" t="s">
        <v>226</v>
      </c>
      <c r="H201" s="227">
        <v>0</v>
      </c>
      <c r="I201" s="227">
        <v>700</v>
      </c>
      <c r="J201" s="227">
        <v>120</v>
      </c>
      <c r="K201" s="227" t="s">
        <v>48</v>
      </c>
      <c r="L201" s="227" t="s">
        <v>239</v>
      </c>
      <c r="N201" s="227">
        <v>8860000</v>
      </c>
      <c r="O201" s="228">
        <v>70.56</v>
      </c>
      <c r="P201" s="228">
        <v>7.01</v>
      </c>
      <c r="Q201" s="228">
        <v>17.34</v>
      </c>
      <c r="R201" s="228">
        <v>3.92</v>
      </c>
      <c r="S201" s="228"/>
      <c r="T201" s="228">
        <v>4.0000000000000001E-3</v>
      </c>
      <c r="U201" s="228">
        <v>0.6</v>
      </c>
      <c r="V201" s="228">
        <v>2.1000000000000001E-2</v>
      </c>
      <c r="W201" s="228">
        <v>2E-3</v>
      </c>
      <c r="X201" s="228">
        <v>0.45</v>
      </c>
      <c r="Y201" s="228">
        <v>5.5E-2</v>
      </c>
      <c r="Z201" s="228"/>
      <c r="AA201" s="228"/>
      <c r="AB201" s="228"/>
      <c r="AC201" s="228"/>
      <c r="AD201" s="228"/>
      <c r="AE201" s="228"/>
      <c r="AF201" s="228"/>
      <c r="AG201" s="228"/>
      <c r="AH201" s="228"/>
      <c r="AI201" s="228"/>
      <c r="AJ201" s="228"/>
      <c r="AK201" s="228"/>
      <c r="AL201" s="228"/>
      <c r="AM201" s="228">
        <f t="shared" si="75"/>
        <v>74.196714441831276</v>
      </c>
      <c r="AN201" s="228">
        <f t="shared" si="76"/>
        <v>8.3196467397750542</v>
      </c>
      <c r="AO201" s="228">
        <f t="shared" si="77"/>
        <v>11.151905115481981</v>
      </c>
      <c r="AP201" s="228">
        <f t="shared" si="78"/>
        <v>4.3316474391635102</v>
      </c>
      <c r="AQ201" s="228">
        <f t="shared" si="79"/>
        <v>0</v>
      </c>
      <c r="AR201" s="228">
        <f t="shared" si="80"/>
        <v>4.1890328109324112E-3</v>
      </c>
      <c r="AS201" s="228">
        <f t="shared" si="81"/>
        <v>0.67398899767450038</v>
      </c>
      <c r="AT201" s="228">
        <f t="shared" si="82"/>
        <v>4.8036080193784164E-2</v>
      </c>
      <c r="AU201" s="228">
        <f t="shared" si="83"/>
        <v>2.5784385162758204E-3</v>
      </c>
      <c r="AV201" s="228">
        <f t="shared" si="84"/>
        <v>0.98866915803409705</v>
      </c>
      <c r="AW201" s="228">
        <f t="shared" si="85"/>
        <v>0.28262455651860086</v>
      </c>
      <c r="AX201" s="228">
        <f t="shared" si="86"/>
        <v>0</v>
      </c>
      <c r="AY201" s="228">
        <f t="shared" si="87"/>
        <v>0</v>
      </c>
      <c r="AZ201" s="228">
        <f t="shared" si="88"/>
        <v>0</v>
      </c>
      <c r="BA201" s="228">
        <f t="shared" si="89"/>
        <v>0</v>
      </c>
      <c r="BB201" s="228">
        <f t="shared" si="90"/>
        <v>0</v>
      </c>
      <c r="BC201" s="228">
        <f t="shared" si="91"/>
        <v>0</v>
      </c>
      <c r="BD201" s="228">
        <f t="shared" si="92"/>
        <v>0</v>
      </c>
      <c r="BE201" s="228">
        <f t="shared" si="93"/>
        <v>0</v>
      </c>
      <c r="BF201" s="228">
        <f t="shared" si="94"/>
        <v>0</v>
      </c>
      <c r="BG201" s="228">
        <f t="shared" si="95"/>
        <v>0</v>
      </c>
      <c r="BH201" s="228">
        <f t="shared" si="96"/>
        <v>0</v>
      </c>
      <c r="BI201" s="228">
        <f t="shared" si="97"/>
        <v>0</v>
      </c>
      <c r="BJ201" s="228">
        <f t="shared" si="98"/>
        <v>0</v>
      </c>
      <c r="BK201" s="228">
        <f t="shared" si="99"/>
        <v>-124.51377510865618</v>
      </c>
      <c r="BL201" s="228">
        <f>IF($K201=$L201,$BK201,IF(OR($K201="graphite",$K201="vitreous carbon"),$BK$406+($BM$389+$I201)*$BJ$406,IF($K201="Pyrolytic Boron Nitride","PBN",IF(COUNTIF($BH$396:$BH$416,$K201)&gt;0,VLOOKUP($K201,$BH$396:$BK$416,4,FALSE)+($BM$389+$I201)*VLOOKUP($K201,$BH$396:$BK$416,3,FALSE),IF(COUNTIF($L$2:$L200,$K201)&gt;0,VLOOKUP($K201,$L$2:$BK200,52,FALSE),"idk")))))</f>
        <v>-121.74823772574202</v>
      </c>
      <c r="BM201" s="228">
        <v>20</v>
      </c>
      <c r="BN201" s="228">
        <v>10</v>
      </c>
      <c r="BO201" s="228">
        <v>3</v>
      </c>
      <c r="BP201" s="227" t="s">
        <v>245</v>
      </c>
      <c r="BR201" s="227" t="s">
        <v>230</v>
      </c>
      <c r="BT201" s="227">
        <v>0</v>
      </c>
      <c r="BU201" s="227">
        <v>14</v>
      </c>
      <c r="BW201" s="227">
        <v>10</v>
      </c>
      <c r="BX201" s="227">
        <v>11</v>
      </c>
      <c r="BZ201" s="227">
        <v>74</v>
      </c>
      <c r="CA201" s="227">
        <v>6</v>
      </c>
      <c r="CD201" s="227">
        <v>19</v>
      </c>
      <c r="CF201" s="227">
        <v>8</v>
      </c>
      <c r="CI201" s="229">
        <v>100</v>
      </c>
      <c r="CJ201" s="229"/>
      <c r="CK201" s="229"/>
      <c r="CL201" s="229"/>
      <c r="CM201" s="229"/>
      <c r="CN201" s="229"/>
      <c r="CO201" s="229"/>
      <c r="CP201" s="229"/>
      <c r="CQ201" s="229"/>
      <c r="CR201" s="229"/>
      <c r="CS201" s="229"/>
      <c r="CT201" s="229"/>
      <c r="CU201" s="229"/>
      <c r="CV201" s="229"/>
      <c r="CW201" s="229"/>
      <c r="CX201" s="229"/>
      <c r="CY201" s="229"/>
      <c r="CZ201" s="229"/>
      <c r="DA201" s="229"/>
      <c r="DB201" s="229"/>
      <c r="DC201" s="229"/>
      <c r="DD201" s="229"/>
      <c r="DE201" s="229"/>
      <c r="DF201" s="229"/>
      <c r="DG201" s="229"/>
      <c r="DH201" s="229"/>
      <c r="DI201" s="229"/>
      <c r="DJ201" s="227">
        <v>0</v>
      </c>
      <c r="DK201" s="227">
        <v>0</v>
      </c>
      <c r="DM201" s="227">
        <v>-9.6</v>
      </c>
      <c r="DO201" s="227">
        <v>-1.03</v>
      </c>
      <c r="DU201" s="227" t="s">
        <v>423</v>
      </c>
      <c r="DW201" s="227">
        <f>SUM(_2025_01_07T12_47_export3[[#This Row],[Ni_wt]:[H_wt]])</f>
        <v>99.962000000000018</v>
      </c>
      <c r="DY201" s="228">
        <f>SUM($AM201:BJ201)</f>
        <v>100</v>
      </c>
    </row>
    <row r="202" spans="1:129" s="227" customFormat="1" x14ac:dyDescent="0.25">
      <c r="A202" s="227" t="s">
        <v>419</v>
      </c>
      <c r="B202" s="227">
        <v>210</v>
      </c>
      <c r="C202" s="227" t="s">
        <v>420</v>
      </c>
      <c r="D202" s="227">
        <v>2020</v>
      </c>
      <c r="E202" s="227" t="s">
        <v>421</v>
      </c>
      <c r="F202" s="227" t="s">
        <v>422</v>
      </c>
      <c r="G202" s="227" t="s">
        <v>226</v>
      </c>
      <c r="H202" s="227">
        <v>0</v>
      </c>
      <c r="I202" s="227">
        <v>700</v>
      </c>
      <c r="J202" s="227">
        <v>167</v>
      </c>
      <c r="K202" s="227" t="s">
        <v>48</v>
      </c>
      <c r="L202" s="227" t="s">
        <v>239</v>
      </c>
      <c r="N202" s="227">
        <v>8860000</v>
      </c>
      <c r="O202" s="228">
        <v>70.56</v>
      </c>
      <c r="P202" s="228">
        <v>7.01</v>
      </c>
      <c r="Q202" s="228">
        <v>17.34</v>
      </c>
      <c r="R202" s="228">
        <v>3.92</v>
      </c>
      <c r="S202" s="228"/>
      <c r="T202" s="228">
        <v>4.0000000000000001E-3</v>
      </c>
      <c r="U202" s="228">
        <v>0.6</v>
      </c>
      <c r="V202" s="228">
        <v>2.1000000000000001E-2</v>
      </c>
      <c r="W202" s="228">
        <v>2E-3</v>
      </c>
      <c r="X202" s="228">
        <v>0.45</v>
      </c>
      <c r="Y202" s="228">
        <v>5.5E-2</v>
      </c>
      <c r="Z202" s="228"/>
      <c r="AA202" s="228"/>
      <c r="AB202" s="228"/>
      <c r="AC202" s="228"/>
      <c r="AD202" s="228"/>
      <c r="AE202" s="228"/>
      <c r="AF202" s="228"/>
      <c r="AG202" s="228"/>
      <c r="AH202" s="228"/>
      <c r="AI202" s="228"/>
      <c r="AJ202" s="228"/>
      <c r="AK202" s="228"/>
      <c r="AL202" s="228"/>
      <c r="AM202" s="228">
        <f t="shared" si="75"/>
        <v>74.196714441831276</v>
      </c>
      <c r="AN202" s="228">
        <f t="shared" si="76"/>
        <v>8.3196467397750542</v>
      </c>
      <c r="AO202" s="228">
        <f t="shared" si="77"/>
        <v>11.151905115481981</v>
      </c>
      <c r="AP202" s="228">
        <f t="shared" si="78"/>
        <v>4.3316474391635102</v>
      </c>
      <c r="AQ202" s="228">
        <f t="shared" si="79"/>
        <v>0</v>
      </c>
      <c r="AR202" s="228">
        <f t="shared" si="80"/>
        <v>4.1890328109324112E-3</v>
      </c>
      <c r="AS202" s="228">
        <f t="shared" si="81"/>
        <v>0.67398899767450038</v>
      </c>
      <c r="AT202" s="228">
        <f t="shared" si="82"/>
        <v>4.8036080193784164E-2</v>
      </c>
      <c r="AU202" s="228">
        <f t="shared" si="83"/>
        <v>2.5784385162758204E-3</v>
      </c>
      <c r="AV202" s="228">
        <f t="shared" si="84"/>
        <v>0.98866915803409705</v>
      </c>
      <c r="AW202" s="228">
        <f t="shared" si="85"/>
        <v>0.28262455651860086</v>
      </c>
      <c r="AX202" s="228">
        <f t="shared" si="86"/>
        <v>0</v>
      </c>
      <c r="AY202" s="228">
        <f t="shared" si="87"/>
        <v>0</v>
      </c>
      <c r="AZ202" s="228">
        <f t="shared" si="88"/>
        <v>0</v>
      </c>
      <c r="BA202" s="228">
        <f t="shared" si="89"/>
        <v>0</v>
      </c>
      <c r="BB202" s="228">
        <f t="shared" si="90"/>
        <v>0</v>
      </c>
      <c r="BC202" s="228">
        <f t="shared" si="91"/>
        <v>0</v>
      </c>
      <c r="BD202" s="228">
        <f t="shared" si="92"/>
        <v>0</v>
      </c>
      <c r="BE202" s="228">
        <f t="shared" si="93"/>
        <v>0</v>
      </c>
      <c r="BF202" s="228">
        <f t="shared" si="94"/>
        <v>0</v>
      </c>
      <c r="BG202" s="228">
        <f t="shared" si="95"/>
        <v>0</v>
      </c>
      <c r="BH202" s="228">
        <f t="shared" si="96"/>
        <v>0</v>
      </c>
      <c r="BI202" s="228">
        <f t="shared" si="97"/>
        <v>0</v>
      </c>
      <c r="BJ202" s="228">
        <f t="shared" si="98"/>
        <v>0</v>
      </c>
      <c r="BK202" s="228">
        <f t="shared" si="99"/>
        <v>-124.51377510865618</v>
      </c>
      <c r="BL202" s="228">
        <f>IF($K202=$L202,$BK202,IF(OR($K202="graphite",$K202="vitreous carbon"),$BK$406+($BM$389+$I202)*$BJ$406,IF($K202="Pyrolytic Boron Nitride","PBN",IF(COUNTIF($BH$396:$BH$416,$K202)&gt;0,VLOOKUP($K202,$BH$396:$BK$416,4,FALSE)+($BM$389+$I202)*VLOOKUP($K202,$BH$396:$BK$416,3,FALSE),IF(COUNTIF($L$2:$L201,$K202)&gt;0,VLOOKUP($K202,$L$2:$BK201,52,FALSE),"idk")))))</f>
        <v>-121.74823772574202</v>
      </c>
      <c r="BM202" s="228">
        <v>20</v>
      </c>
      <c r="BN202" s="228">
        <v>10</v>
      </c>
      <c r="BO202" s="228">
        <v>3</v>
      </c>
      <c r="BP202" s="227" t="s">
        <v>245</v>
      </c>
      <c r="BR202" s="227" t="s">
        <v>230</v>
      </c>
      <c r="BT202" s="227">
        <v>0</v>
      </c>
      <c r="BU202" s="227">
        <v>14</v>
      </c>
      <c r="BW202" s="227">
        <v>10</v>
      </c>
      <c r="BX202" s="227">
        <v>11</v>
      </c>
      <c r="BZ202" s="227">
        <v>74</v>
      </c>
      <c r="CA202" s="227">
        <v>6</v>
      </c>
      <c r="CD202" s="227">
        <v>19</v>
      </c>
      <c r="CF202" s="227">
        <v>8</v>
      </c>
      <c r="CI202" s="229">
        <v>100</v>
      </c>
      <c r="CJ202" s="229"/>
      <c r="CK202" s="229"/>
      <c r="CL202" s="229"/>
      <c r="CM202" s="229"/>
      <c r="CN202" s="229"/>
      <c r="CO202" s="229"/>
      <c r="CP202" s="229"/>
      <c r="CQ202" s="229"/>
      <c r="CR202" s="229"/>
      <c r="CS202" s="229"/>
      <c r="CT202" s="229"/>
      <c r="CU202" s="229"/>
      <c r="CV202" s="229"/>
      <c r="CW202" s="229"/>
      <c r="CX202" s="229"/>
      <c r="CY202" s="229"/>
      <c r="CZ202" s="229"/>
      <c r="DA202" s="229"/>
      <c r="DB202" s="229"/>
      <c r="DC202" s="229"/>
      <c r="DD202" s="229"/>
      <c r="DE202" s="229"/>
      <c r="DF202" s="229"/>
      <c r="DG202" s="229"/>
      <c r="DH202" s="229"/>
      <c r="DI202" s="229"/>
      <c r="DJ202" s="227">
        <v>0</v>
      </c>
      <c r="DK202" s="227">
        <v>0</v>
      </c>
      <c r="DM202" s="227">
        <v>-9.82</v>
      </c>
      <c r="DO202" s="227">
        <v>-1.2</v>
      </c>
      <c r="DU202" s="227" t="s">
        <v>423</v>
      </c>
      <c r="DW202" s="227">
        <f>SUM(_2025_01_07T12_47_export3[[#This Row],[Ni_wt]:[H_wt]])</f>
        <v>99.962000000000018</v>
      </c>
      <c r="DY202" s="228">
        <f>SUM($AM202:BJ202)</f>
        <v>100</v>
      </c>
    </row>
    <row r="203" spans="1:129" x14ac:dyDescent="0.25">
      <c r="A203" s="129" t="s">
        <v>419</v>
      </c>
      <c r="B203" s="129">
        <v>211</v>
      </c>
      <c r="C203" s="129" t="s">
        <v>420</v>
      </c>
      <c r="D203" s="129">
        <v>2020</v>
      </c>
      <c r="E203" s="129" t="s">
        <v>421</v>
      </c>
      <c r="F203" s="129" t="s">
        <v>422</v>
      </c>
      <c r="G203" s="129" t="s">
        <v>226</v>
      </c>
      <c r="H203" s="129">
        <v>0</v>
      </c>
      <c r="I203" s="129">
        <v>700</v>
      </c>
      <c r="J203" s="129">
        <v>15</v>
      </c>
      <c r="K203" s="129" t="s">
        <v>48</v>
      </c>
      <c r="L203" s="129" t="s">
        <v>239</v>
      </c>
      <c r="N203" s="129">
        <v>8860000</v>
      </c>
      <c r="O203" s="130">
        <v>70.56</v>
      </c>
      <c r="P203" s="130">
        <v>7.01</v>
      </c>
      <c r="Q203" s="130">
        <v>17.34</v>
      </c>
      <c r="R203" s="130">
        <v>3.92</v>
      </c>
      <c r="S203" s="130"/>
      <c r="T203" s="130">
        <v>4.0000000000000001E-3</v>
      </c>
      <c r="U203" s="130">
        <v>0.6</v>
      </c>
      <c r="V203" s="130">
        <v>2.1000000000000001E-2</v>
      </c>
      <c r="W203" s="130">
        <v>2E-3</v>
      </c>
      <c r="X203" s="130">
        <v>0.45</v>
      </c>
      <c r="Y203" s="130">
        <v>5.5E-2</v>
      </c>
      <c r="Z203" s="130"/>
      <c r="AA203" s="130"/>
      <c r="AB203" s="130"/>
      <c r="AC203" s="130"/>
      <c r="AD203" s="130"/>
      <c r="AE203" s="130"/>
      <c r="AF203" s="130"/>
      <c r="AG203" s="130"/>
      <c r="AH203" s="130"/>
      <c r="AI203" s="130"/>
      <c r="AJ203" s="130"/>
      <c r="AK203" s="130"/>
      <c r="AL203" s="130"/>
      <c r="AM203" s="130">
        <f t="shared" si="75"/>
        <v>74.196714441831276</v>
      </c>
      <c r="AN203" s="130">
        <f t="shared" si="76"/>
        <v>8.3196467397750542</v>
      </c>
      <c r="AO203" s="130">
        <f t="shared" si="77"/>
        <v>11.151905115481981</v>
      </c>
      <c r="AP203" s="130">
        <f t="shared" si="78"/>
        <v>4.3316474391635102</v>
      </c>
      <c r="AQ203" s="130">
        <f t="shared" si="79"/>
        <v>0</v>
      </c>
      <c r="AR203" s="130">
        <f t="shared" si="80"/>
        <v>4.1890328109324112E-3</v>
      </c>
      <c r="AS203" s="130">
        <f t="shared" si="81"/>
        <v>0.67398899767450038</v>
      </c>
      <c r="AT203" s="130">
        <f t="shared" si="82"/>
        <v>4.8036080193784164E-2</v>
      </c>
      <c r="AU203" s="130">
        <f t="shared" si="83"/>
        <v>2.5784385162758204E-3</v>
      </c>
      <c r="AV203" s="130">
        <f t="shared" si="84"/>
        <v>0.98866915803409705</v>
      </c>
      <c r="AW203" s="130">
        <f t="shared" si="85"/>
        <v>0.28262455651860086</v>
      </c>
      <c r="AX203" s="130">
        <f t="shared" si="86"/>
        <v>0</v>
      </c>
      <c r="AY203" s="130">
        <f t="shared" si="87"/>
        <v>0</v>
      </c>
      <c r="AZ203" s="130">
        <f t="shared" si="88"/>
        <v>0</v>
      </c>
      <c r="BA203" s="130">
        <f t="shared" si="89"/>
        <v>0</v>
      </c>
      <c r="BB203" s="130">
        <f t="shared" si="90"/>
        <v>0</v>
      </c>
      <c r="BC203" s="130">
        <f t="shared" si="91"/>
        <v>0</v>
      </c>
      <c r="BD203" s="130">
        <f t="shared" si="92"/>
        <v>0</v>
      </c>
      <c r="BE203" s="130">
        <f t="shared" si="93"/>
        <v>0</v>
      </c>
      <c r="BF203" s="130">
        <f t="shared" si="94"/>
        <v>0</v>
      </c>
      <c r="BG203" s="130">
        <f t="shared" si="95"/>
        <v>0</v>
      </c>
      <c r="BH203" s="130">
        <f t="shared" si="96"/>
        <v>0</v>
      </c>
      <c r="BI203" s="130">
        <f t="shared" si="97"/>
        <v>0</v>
      </c>
      <c r="BJ203" s="130">
        <f t="shared" si="98"/>
        <v>0</v>
      </c>
      <c r="BK203" s="130">
        <f t="shared" si="99"/>
        <v>-124.51377510865618</v>
      </c>
      <c r="BL203" s="130">
        <f>IF($K203=$L203,$BK203,IF(OR($K203="graphite",$K203="vitreous carbon"),$BK$406+($BM$389+$I203)*$BJ$406,IF($K203="Pyrolytic Boron Nitride","PBN",IF(COUNTIF($BH$396:$BH$416,$K203)&gt;0,VLOOKUP($K203,$BH$396:$BK$416,4,FALSE)+($BM$389+$I203)*VLOOKUP($K203,$BH$396:$BK$416,3,FALSE),IF(COUNTIF($L$2:$L202,$K203)&gt;0,VLOOKUP($K203,$L$2:$BK202,52,FALSE),"idk")))))</f>
        <v>-121.74823772574202</v>
      </c>
      <c r="BM203" s="130">
        <v>20</v>
      </c>
      <c r="BN203" s="130">
        <v>10</v>
      </c>
      <c r="BO203" s="130">
        <v>3</v>
      </c>
      <c r="BP203" s="129" t="s">
        <v>245</v>
      </c>
      <c r="BQ203" s="129"/>
      <c r="BR203" s="129" t="s">
        <v>230</v>
      </c>
      <c r="BS203" s="129"/>
      <c r="BT203" s="129">
        <v>0</v>
      </c>
      <c r="BU203" s="129">
        <v>14</v>
      </c>
      <c r="BV203" s="129"/>
      <c r="BW203" s="129">
        <v>10</v>
      </c>
      <c r="BX203" s="129">
        <v>11</v>
      </c>
      <c r="BZ203" s="129">
        <v>74</v>
      </c>
      <c r="CA203" s="129">
        <v>6</v>
      </c>
      <c r="CD203" s="129">
        <v>19</v>
      </c>
      <c r="CF203" s="129">
        <v>8</v>
      </c>
      <c r="CI203" s="151"/>
      <c r="CJ203" s="151"/>
      <c r="CK203" s="151"/>
      <c r="CL203" s="151"/>
      <c r="CM203" s="151"/>
      <c r="CN203" s="151"/>
      <c r="CO203" s="151"/>
      <c r="CP203" s="151"/>
      <c r="CQ203" s="151"/>
      <c r="CR203" s="151"/>
      <c r="CS203" s="151"/>
      <c r="CT203" s="151"/>
      <c r="CU203" s="151"/>
      <c r="CV203" s="151"/>
      <c r="CW203" s="151"/>
      <c r="CX203" s="151"/>
      <c r="CY203" s="151"/>
      <c r="CZ203" s="151"/>
      <c r="DA203" s="151"/>
      <c r="DB203" s="151"/>
      <c r="DC203" s="151"/>
      <c r="DD203" s="151"/>
      <c r="DE203" s="151"/>
      <c r="DF203" s="151"/>
      <c r="DG203" s="151"/>
      <c r="DH203" s="151"/>
      <c r="DI203" s="151"/>
      <c r="DJ203" s="129">
        <v>0</v>
      </c>
      <c r="DK203" s="129">
        <v>0</v>
      </c>
      <c r="DL203" s="129"/>
      <c r="DM203" s="129">
        <v>-5.43</v>
      </c>
      <c r="DO203" s="129">
        <v>-0.42</v>
      </c>
      <c r="DS203" s="129"/>
      <c r="DU203" s="129" t="s">
        <v>423</v>
      </c>
      <c r="DW203" s="129">
        <f>SUM(_2025_01_07T12_47_export3[[#This Row],[Ni_wt]:[H_wt]])</f>
        <v>99.962000000000018</v>
      </c>
      <c r="DY203" s="130">
        <f>SUM($AM203:BJ203)</f>
        <v>100</v>
      </c>
    </row>
    <row r="204" spans="1:129" x14ac:dyDescent="0.25">
      <c r="A204" s="129" t="s">
        <v>419</v>
      </c>
      <c r="B204" s="129">
        <v>212</v>
      </c>
      <c r="C204" s="129" t="s">
        <v>420</v>
      </c>
      <c r="D204" s="129">
        <v>2020</v>
      </c>
      <c r="E204" s="129" t="s">
        <v>421</v>
      </c>
      <c r="F204" s="129" t="s">
        <v>422</v>
      </c>
      <c r="G204" s="129" t="s">
        <v>226</v>
      </c>
      <c r="H204" s="129">
        <v>0</v>
      </c>
      <c r="I204" s="129">
        <v>700</v>
      </c>
      <c r="J204" s="129">
        <v>60</v>
      </c>
      <c r="K204" s="129" t="s">
        <v>48</v>
      </c>
      <c r="L204" s="129" t="s">
        <v>239</v>
      </c>
      <c r="N204" s="129">
        <v>8860000</v>
      </c>
      <c r="O204" s="130">
        <v>70.56</v>
      </c>
      <c r="P204" s="130">
        <v>7.01</v>
      </c>
      <c r="Q204" s="130">
        <v>17.34</v>
      </c>
      <c r="R204" s="130">
        <v>3.92</v>
      </c>
      <c r="S204" s="130"/>
      <c r="T204" s="130">
        <v>4.0000000000000001E-3</v>
      </c>
      <c r="U204" s="130">
        <v>0.6</v>
      </c>
      <c r="V204" s="130">
        <v>2.1000000000000001E-2</v>
      </c>
      <c r="W204" s="130">
        <v>2E-3</v>
      </c>
      <c r="X204" s="130">
        <v>0.45</v>
      </c>
      <c r="Y204" s="130">
        <v>5.5E-2</v>
      </c>
      <c r="Z204" s="130"/>
      <c r="AA204" s="130"/>
      <c r="AB204" s="130"/>
      <c r="AC204" s="130"/>
      <c r="AD204" s="130"/>
      <c r="AE204" s="130"/>
      <c r="AF204" s="130"/>
      <c r="AG204" s="130"/>
      <c r="AH204" s="130"/>
      <c r="AI204" s="130"/>
      <c r="AJ204" s="130"/>
      <c r="AK204" s="130"/>
      <c r="AL204" s="130"/>
      <c r="AM204" s="130">
        <f t="shared" si="75"/>
        <v>74.196714441831276</v>
      </c>
      <c r="AN204" s="130">
        <f t="shared" si="76"/>
        <v>8.3196467397750542</v>
      </c>
      <c r="AO204" s="130">
        <f t="shared" si="77"/>
        <v>11.151905115481981</v>
      </c>
      <c r="AP204" s="130">
        <f t="shared" si="78"/>
        <v>4.3316474391635102</v>
      </c>
      <c r="AQ204" s="130">
        <f t="shared" si="79"/>
        <v>0</v>
      </c>
      <c r="AR204" s="130">
        <f t="shared" si="80"/>
        <v>4.1890328109324112E-3</v>
      </c>
      <c r="AS204" s="130">
        <f t="shared" si="81"/>
        <v>0.67398899767450038</v>
      </c>
      <c r="AT204" s="130">
        <f t="shared" si="82"/>
        <v>4.8036080193784164E-2</v>
      </c>
      <c r="AU204" s="130">
        <f t="shared" si="83"/>
        <v>2.5784385162758204E-3</v>
      </c>
      <c r="AV204" s="130">
        <f t="shared" si="84"/>
        <v>0.98866915803409705</v>
      </c>
      <c r="AW204" s="130">
        <f t="shared" si="85"/>
        <v>0.28262455651860086</v>
      </c>
      <c r="AX204" s="130">
        <f t="shared" si="86"/>
        <v>0</v>
      </c>
      <c r="AY204" s="130">
        <f t="shared" si="87"/>
        <v>0</v>
      </c>
      <c r="AZ204" s="130">
        <f t="shared" si="88"/>
        <v>0</v>
      </c>
      <c r="BA204" s="130">
        <f t="shared" si="89"/>
        <v>0</v>
      </c>
      <c r="BB204" s="130">
        <f t="shared" si="90"/>
        <v>0</v>
      </c>
      <c r="BC204" s="130">
        <f t="shared" si="91"/>
        <v>0</v>
      </c>
      <c r="BD204" s="130">
        <f t="shared" si="92"/>
        <v>0</v>
      </c>
      <c r="BE204" s="130">
        <f t="shared" si="93"/>
        <v>0</v>
      </c>
      <c r="BF204" s="130">
        <f t="shared" si="94"/>
        <v>0</v>
      </c>
      <c r="BG204" s="130">
        <f t="shared" si="95"/>
        <v>0</v>
      </c>
      <c r="BH204" s="130">
        <f t="shared" si="96"/>
        <v>0</v>
      </c>
      <c r="BI204" s="130">
        <f t="shared" si="97"/>
        <v>0</v>
      </c>
      <c r="BJ204" s="130">
        <f t="shared" si="98"/>
        <v>0</v>
      </c>
      <c r="BK204" s="130">
        <f t="shared" si="99"/>
        <v>-124.51377510865618</v>
      </c>
      <c r="BL204" s="130">
        <f>IF($K204=$L204,$BK204,IF(OR($K204="graphite",$K204="vitreous carbon"),$BK$406+($BM$389+$I204)*$BJ$406,IF($K204="Pyrolytic Boron Nitride","PBN",IF(COUNTIF($BH$396:$BH$416,$K204)&gt;0,VLOOKUP($K204,$BH$396:$BK$416,4,FALSE)+($BM$389+$I204)*VLOOKUP($K204,$BH$396:$BK$416,3,FALSE),IF(COUNTIF($L$2:$L203,$K204)&gt;0,VLOOKUP($K204,$L$2:$BK203,52,FALSE),"idk")))))</f>
        <v>-121.74823772574202</v>
      </c>
      <c r="BM204" s="130">
        <v>20</v>
      </c>
      <c r="BN204" s="130">
        <v>10</v>
      </c>
      <c r="BO204" s="130">
        <v>3</v>
      </c>
      <c r="BP204" s="129" t="s">
        <v>245</v>
      </c>
      <c r="BQ204" s="129"/>
      <c r="BR204" s="129" t="s">
        <v>230</v>
      </c>
      <c r="BS204" s="129"/>
      <c r="BT204" s="129">
        <v>0</v>
      </c>
      <c r="BU204" s="129">
        <v>14</v>
      </c>
      <c r="BV204" s="129"/>
      <c r="BW204" s="129">
        <v>10</v>
      </c>
      <c r="BX204" s="129">
        <v>11</v>
      </c>
      <c r="BZ204" s="129">
        <v>74</v>
      </c>
      <c r="CA204" s="129">
        <v>6</v>
      </c>
      <c r="CD204" s="129">
        <v>19</v>
      </c>
      <c r="CF204" s="129">
        <v>8</v>
      </c>
      <c r="CI204" s="151"/>
      <c r="CJ204" s="151"/>
      <c r="CK204" s="151"/>
      <c r="CL204" s="151"/>
      <c r="CM204" s="151"/>
      <c r="CN204" s="151"/>
      <c r="CO204" s="151"/>
      <c r="CP204" s="151"/>
      <c r="CQ204" s="151"/>
      <c r="CR204" s="151"/>
      <c r="CS204" s="151"/>
      <c r="CT204" s="151"/>
      <c r="CU204" s="151"/>
      <c r="CV204" s="151"/>
      <c r="CW204" s="151"/>
      <c r="CX204" s="151"/>
      <c r="CY204" s="151"/>
      <c r="CZ204" s="151"/>
      <c r="DA204" s="151"/>
      <c r="DB204" s="151"/>
      <c r="DC204" s="151"/>
      <c r="DD204" s="151"/>
      <c r="DE204" s="151"/>
      <c r="DF204" s="151"/>
      <c r="DG204" s="151"/>
      <c r="DH204" s="151"/>
      <c r="DI204" s="151"/>
      <c r="DJ204" s="129">
        <v>0</v>
      </c>
      <c r="DK204" s="129">
        <v>0</v>
      </c>
      <c r="DL204" s="129"/>
      <c r="DM204" s="129">
        <v>-8.4</v>
      </c>
      <c r="DO204" s="129">
        <v>-0.56000000000000005</v>
      </c>
      <c r="DS204" s="129"/>
      <c r="DU204" s="129" t="s">
        <v>423</v>
      </c>
      <c r="DW204" s="129">
        <f>SUM(_2025_01_07T12_47_export3[[#This Row],[Ni_wt]:[H_wt]])</f>
        <v>99.962000000000018</v>
      </c>
      <c r="DY204" s="130">
        <f>SUM($AM204:BJ204)</f>
        <v>100</v>
      </c>
    </row>
    <row r="205" spans="1:129" x14ac:dyDescent="0.25">
      <c r="A205" s="129" t="s">
        <v>419</v>
      </c>
      <c r="B205" s="129">
        <v>213</v>
      </c>
      <c r="C205" s="129" t="s">
        <v>420</v>
      </c>
      <c r="D205" s="129">
        <v>2020</v>
      </c>
      <c r="E205" s="129" t="s">
        <v>421</v>
      </c>
      <c r="F205" s="129" t="s">
        <v>422</v>
      </c>
      <c r="G205" s="129" t="s">
        <v>226</v>
      </c>
      <c r="H205" s="129">
        <v>0</v>
      </c>
      <c r="I205" s="129">
        <v>700</v>
      </c>
      <c r="J205" s="129">
        <v>120</v>
      </c>
      <c r="K205" s="129" t="s">
        <v>48</v>
      </c>
      <c r="L205" s="129" t="s">
        <v>239</v>
      </c>
      <c r="N205" s="129">
        <v>8860000</v>
      </c>
      <c r="O205" s="130">
        <v>70.56</v>
      </c>
      <c r="P205" s="130">
        <v>7.01</v>
      </c>
      <c r="Q205" s="130">
        <v>17.34</v>
      </c>
      <c r="R205" s="130">
        <v>3.92</v>
      </c>
      <c r="S205" s="130"/>
      <c r="T205" s="130">
        <v>4.0000000000000001E-3</v>
      </c>
      <c r="U205" s="130">
        <v>0.6</v>
      </c>
      <c r="V205" s="130">
        <v>2.1000000000000001E-2</v>
      </c>
      <c r="W205" s="130">
        <v>2E-3</v>
      </c>
      <c r="X205" s="130">
        <v>0.45</v>
      </c>
      <c r="Y205" s="130">
        <v>5.5E-2</v>
      </c>
      <c r="Z205" s="130"/>
      <c r="AA205" s="130"/>
      <c r="AB205" s="130"/>
      <c r="AC205" s="130"/>
      <c r="AD205" s="130"/>
      <c r="AE205" s="130"/>
      <c r="AF205" s="130"/>
      <c r="AG205" s="130"/>
      <c r="AH205" s="130"/>
      <c r="AI205" s="130"/>
      <c r="AJ205" s="130"/>
      <c r="AK205" s="130"/>
      <c r="AL205" s="130"/>
      <c r="AM205" s="130">
        <f t="shared" si="75"/>
        <v>74.196714441831276</v>
      </c>
      <c r="AN205" s="130">
        <f t="shared" si="76"/>
        <v>8.3196467397750542</v>
      </c>
      <c r="AO205" s="130">
        <f t="shared" si="77"/>
        <v>11.151905115481981</v>
      </c>
      <c r="AP205" s="130">
        <f t="shared" si="78"/>
        <v>4.3316474391635102</v>
      </c>
      <c r="AQ205" s="130">
        <f t="shared" si="79"/>
        <v>0</v>
      </c>
      <c r="AR205" s="130">
        <f t="shared" si="80"/>
        <v>4.1890328109324112E-3</v>
      </c>
      <c r="AS205" s="130">
        <f t="shared" si="81"/>
        <v>0.67398899767450038</v>
      </c>
      <c r="AT205" s="130">
        <f t="shared" si="82"/>
        <v>4.8036080193784164E-2</v>
      </c>
      <c r="AU205" s="130">
        <f t="shared" si="83"/>
        <v>2.5784385162758204E-3</v>
      </c>
      <c r="AV205" s="130">
        <f t="shared" si="84"/>
        <v>0.98866915803409705</v>
      </c>
      <c r="AW205" s="130">
        <f t="shared" si="85"/>
        <v>0.28262455651860086</v>
      </c>
      <c r="AX205" s="130">
        <f t="shared" si="86"/>
        <v>0</v>
      </c>
      <c r="AY205" s="130">
        <f t="shared" si="87"/>
        <v>0</v>
      </c>
      <c r="AZ205" s="130">
        <f t="shared" si="88"/>
        <v>0</v>
      </c>
      <c r="BA205" s="130">
        <f t="shared" si="89"/>
        <v>0</v>
      </c>
      <c r="BB205" s="130">
        <f t="shared" si="90"/>
        <v>0</v>
      </c>
      <c r="BC205" s="130">
        <f t="shared" si="91"/>
        <v>0</v>
      </c>
      <c r="BD205" s="130">
        <f t="shared" si="92"/>
        <v>0</v>
      </c>
      <c r="BE205" s="130">
        <f t="shared" si="93"/>
        <v>0</v>
      </c>
      <c r="BF205" s="130">
        <f t="shared" si="94"/>
        <v>0</v>
      </c>
      <c r="BG205" s="130">
        <f t="shared" si="95"/>
        <v>0</v>
      </c>
      <c r="BH205" s="130">
        <f t="shared" si="96"/>
        <v>0</v>
      </c>
      <c r="BI205" s="130">
        <f t="shared" si="97"/>
        <v>0</v>
      </c>
      <c r="BJ205" s="130">
        <f t="shared" si="98"/>
        <v>0</v>
      </c>
      <c r="BK205" s="130">
        <f t="shared" si="99"/>
        <v>-124.51377510865618</v>
      </c>
      <c r="BL205" s="130">
        <f>IF($K205=$L205,$BK205,IF(OR($K205="graphite",$K205="vitreous carbon"),$BK$406+($BM$389+$I205)*$BJ$406,IF($K205="Pyrolytic Boron Nitride","PBN",IF(COUNTIF($BH$396:$BH$416,$K205)&gt;0,VLOOKUP($K205,$BH$396:$BK$416,4,FALSE)+($BM$389+$I205)*VLOOKUP($K205,$BH$396:$BK$416,3,FALSE),IF(COUNTIF($L$2:$L204,$K205)&gt;0,VLOOKUP($K205,$L$2:$BK204,52,FALSE),"idk")))))</f>
        <v>-121.74823772574202</v>
      </c>
      <c r="BM205" s="130">
        <v>20</v>
      </c>
      <c r="BN205" s="130">
        <v>10</v>
      </c>
      <c r="BO205" s="130">
        <v>3</v>
      </c>
      <c r="BP205" s="129" t="s">
        <v>245</v>
      </c>
      <c r="BQ205" s="129"/>
      <c r="BR205" s="129" t="s">
        <v>230</v>
      </c>
      <c r="BS205" s="129"/>
      <c r="BT205" s="129">
        <v>0</v>
      </c>
      <c r="BU205" s="129">
        <v>14</v>
      </c>
      <c r="BV205" s="129"/>
      <c r="BW205" s="129">
        <v>10</v>
      </c>
      <c r="BX205" s="129">
        <v>11</v>
      </c>
      <c r="BZ205" s="129">
        <v>74</v>
      </c>
      <c r="CA205" s="129">
        <v>6</v>
      </c>
      <c r="CD205" s="129">
        <v>19</v>
      </c>
      <c r="CF205" s="129">
        <v>8</v>
      </c>
      <c r="CI205" s="151"/>
      <c r="CJ205" s="151"/>
      <c r="CK205" s="151"/>
      <c r="CL205" s="151"/>
      <c r="CM205" s="151"/>
      <c r="CN205" s="151"/>
      <c r="CO205" s="151"/>
      <c r="CP205" s="151"/>
      <c r="CQ205" s="151"/>
      <c r="CR205" s="151"/>
      <c r="CS205" s="151"/>
      <c r="CT205" s="151"/>
      <c r="CU205" s="151"/>
      <c r="CV205" s="151"/>
      <c r="CW205" s="151"/>
      <c r="CX205" s="151"/>
      <c r="CY205" s="151"/>
      <c r="CZ205" s="151"/>
      <c r="DA205" s="151"/>
      <c r="DB205" s="151"/>
      <c r="DC205" s="151"/>
      <c r="DD205" s="151"/>
      <c r="DE205" s="151"/>
      <c r="DF205" s="151"/>
      <c r="DG205" s="151"/>
      <c r="DH205" s="151"/>
      <c r="DI205" s="151"/>
      <c r="DJ205" s="129">
        <v>0</v>
      </c>
      <c r="DK205" s="129">
        <v>0</v>
      </c>
      <c r="DL205" s="129"/>
      <c r="DM205" s="129">
        <v>-10.210000000000001</v>
      </c>
      <c r="DO205" s="129">
        <v>-0.71</v>
      </c>
      <c r="DS205" s="129"/>
      <c r="DU205" s="129" t="s">
        <v>423</v>
      </c>
      <c r="DW205" s="129">
        <f>SUM(_2025_01_07T12_47_export3[[#This Row],[Ni_wt]:[H_wt]])</f>
        <v>99.962000000000018</v>
      </c>
      <c r="DY205" s="130">
        <f>SUM($AM205:BJ205)</f>
        <v>100</v>
      </c>
    </row>
    <row r="206" spans="1:129" ht="16.5" thickBot="1" x14ac:dyDescent="0.3">
      <c r="A206" s="136" t="s">
        <v>419</v>
      </c>
      <c r="B206" s="136">
        <v>214</v>
      </c>
      <c r="C206" s="136" t="s">
        <v>420</v>
      </c>
      <c r="D206" s="136">
        <v>2020</v>
      </c>
      <c r="E206" s="136" t="s">
        <v>421</v>
      </c>
      <c r="F206" s="136" t="s">
        <v>422</v>
      </c>
      <c r="G206" s="136" t="s">
        <v>226</v>
      </c>
      <c r="H206" s="136">
        <v>0</v>
      </c>
      <c r="I206" s="136">
        <v>700</v>
      </c>
      <c r="J206" s="136">
        <v>167</v>
      </c>
      <c r="K206" s="136" t="s">
        <v>48</v>
      </c>
      <c r="L206" s="136" t="s">
        <v>239</v>
      </c>
      <c r="M206" s="136"/>
      <c r="N206" s="136">
        <v>8860000</v>
      </c>
      <c r="O206" s="137">
        <v>70.56</v>
      </c>
      <c r="P206" s="137">
        <v>7.01</v>
      </c>
      <c r="Q206" s="137">
        <v>17.34</v>
      </c>
      <c r="R206" s="137">
        <v>3.92</v>
      </c>
      <c r="S206" s="137"/>
      <c r="T206" s="137">
        <v>4.0000000000000001E-3</v>
      </c>
      <c r="U206" s="137">
        <v>0.6</v>
      </c>
      <c r="V206" s="137">
        <v>2.1000000000000001E-2</v>
      </c>
      <c r="W206" s="137">
        <v>2E-3</v>
      </c>
      <c r="X206" s="137">
        <v>0.45</v>
      </c>
      <c r="Y206" s="137">
        <v>5.5E-2</v>
      </c>
      <c r="Z206" s="137"/>
      <c r="AA206" s="137"/>
      <c r="AB206" s="137"/>
      <c r="AC206" s="137"/>
      <c r="AD206" s="137"/>
      <c r="AE206" s="137"/>
      <c r="AF206" s="137"/>
      <c r="AG206" s="137"/>
      <c r="AH206" s="137"/>
      <c r="AI206" s="137"/>
      <c r="AJ206" s="137"/>
      <c r="AK206" s="137"/>
      <c r="AL206" s="137"/>
      <c r="AM206" s="137">
        <f t="shared" si="75"/>
        <v>74.196714441831276</v>
      </c>
      <c r="AN206" s="137">
        <f t="shared" si="76"/>
        <v>8.3196467397750542</v>
      </c>
      <c r="AO206" s="137">
        <f t="shared" si="77"/>
        <v>11.151905115481981</v>
      </c>
      <c r="AP206" s="137">
        <f t="shared" si="78"/>
        <v>4.3316474391635102</v>
      </c>
      <c r="AQ206" s="137">
        <f t="shared" si="79"/>
        <v>0</v>
      </c>
      <c r="AR206" s="137">
        <f t="shared" si="80"/>
        <v>4.1890328109324112E-3</v>
      </c>
      <c r="AS206" s="137">
        <f t="shared" si="81"/>
        <v>0.67398899767450038</v>
      </c>
      <c r="AT206" s="137">
        <f t="shared" si="82"/>
        <v>4.8036080193784164E-2</v>
      </c>
      <c r="AU206" s="137">
        <f t="shared" si="83"/>
        <v>2.5784385162758204E-3</v>
      </c>
      <c r="AV206" s="137">
        <f t="shared" si="84"/>
        <v>0.98866915803409705</v>
      </c>
      <c r="AW206" s="137">
        <f t="shared" si="85"/>
        <v>0.28262455651860086</v>
      </c>
      <c r="AX206" s="137">
        <f t="shared" si="86"/>
        <v>0</v>
      </c>
      <c r="AY206" s="137">
        <f t="shared" si="87"/>
        <v>0</v>
      </c>
      <c r="AZ206" s="137">
        <f t="shared" si="88"/>
        <v>0</v>
      </c>
      <c r="BA206" s="137">
        <f t="shared" si="89"/>
        <v>0</v>
      </c>
      <c r="BB206" s="137">
        <f t="shared" si="90"/>
        <v>0</v>
      </c>
      <c r="BC206" s="137">
        <f t="shared" si="91"/>
        <v>0</v>
      </c>
      <c r="BD206" s="137">
        <f t="shared" si="92"/>
        <v>0</v>
      </c>
      <c r="BE206" s="137">
        <f t="shared" si="93"/>
        <v>0</v>
      </c>
      <c r="BF206" s="137">
        <f t="shared" si="94"/>
        <v>0</v>
      </c>
      <c r="BG206" s="137">
        <f t="shared" si="95"/>
        <v>0</v>
      </c>
      <c r="BH206" s="137">
        <f t="shared" si="96"/>
        <v>0</v>
      </c>
      <c r="BI206" s="137">
        <f t="shared" si="97"/>
        <v>0</v>
      </c>
      <c r="BJ206" s="137">
        <f t="shared" si="98"/>
        <v>0</v>
      </c>
      <c r="BK206" s="137">
        <f t="shared" si="99"/>
        <v>-124.51377510865618</v>
      </c>
      <c r="BL206" s="137">
        <f>IF($K206=$L206,$BK206,IF(OR($K206="graphite",$K206="vitreous carbon"),$BK$406+($BM$389+$I206)*$BJ$406,IF($K206="Pyrolytic Boron Nitride","PBN",IF(COUNTIF($BH$396:$BH$416,$K206)&gt;0,VLOOKUP($K206,$BH$396:$BK$416,4,FALSE)+($BM$389+$I206)*VLOOKUP($K206,$BH$396:$BK$416,3,FALSE),IF(COUNTIF($L$2:$L205,$K206)&gt;0,VLOOKUP($K206,$L$2:$BK205,52,FALSE),"idk")))))</f>
        <v>-121.74823772574202</v>
      </c>
      <c r="BM206" s="137">
        <v>20</v>
      </c>
      <c r="BN206" s="137">
        <v>10</v>
      </c>
      <c r="BO206" s="137">
        <v>3</v>
      </c>
      <c r="BP206" s="136" t="s">
        <v>245</v>
      </c>
      <c r="BQ206" s="136"/>
      <c r="BR206" s="136" t="s">
        <v>230</v>
      </c>
      <c r="BS206" s="136"/>
      <c r="BT206" s="136">
        <v>0</v>
      </c>
      <c r="BU206" s="136">
        <v>14</v>
      </c>
      <c r="BV206" s="136"/>
      <c r="BW206" s="136">
        <v>10</v>
      </c>
      <c r="BX206" s="136">
        <v>11</v>
      </c>
      <c r="BY206" s="136"/>
      <c r="BZ206" s="136">
        <v>74</v>
      </c>
      <c r="CA206" s="136">
        <v>6</v>
      </c>
      <c r="CB206" s="136"/>
      <c r="CC206" s="136"/>
      <c r="CD206" s="136">
        <v>19</v>
      </c>
      <c r="CE206" s="136"/>
      <c r="CF206" s="136">
        <v>8</v>
      </c>
      <c r="CG206" s="136"/>
      <c r="CH206" s="136"/>
      <c r="CI206" s="152"/>
      <c r="CJ206" s="152"/>
      <c r="CK206" s="152"/>
      <c r="CL206" s="152"/>
      <c r="CM206" s="152"/>
      <c r="CN206" s="152"/>
      <c r="CO206" s="152"/>
      <c r="CP206" s="152"/>
      <c r="CQ206" s="152"/>
      <c r="CR206" s="152"/>
      <c r="CS206" s="152"/>
      <c r="CT206" s="152"/>
      <c r="CU206" s="152"/>
      <c r="CV206" s="152"/>
      <c r="CW206" s="152"/>
      <c r="CX206" s="152"/>
      <c r="CY206" s="152"/>
      <c r="CZ206" s="152"/>
      <c r="DA206" s="152"/>
      <c r="DB206" s="152"/>
      <c r="DC206" s="152"/>
      <c r="DD206" s="152"/>
      <c r="DE206" s="152"/>
      <c r="DF206" s="152"/>
      <c r="DG206" s="152"/>
      <c r="DH206" s="152"/>
      <c r="DI206" s="152"/>
      <c r="DJ206" s="136">
        <v>0</v>
      </c>
      <c r="DK206" s="136">
        <v>0</v>
      </c>
      <c r="DL206" s="136"/>
      <c r="DM206" s="136">
        <v>-12.27</v>
      </c>
      <c r="DN206" s="136"/>
      <c r="DO206" s="136">
        <v>-0.79</v>
      </c>
      <c r="DP206" s="136"/>
      <c r="DQ206" s="136"/>
      <c r="DR206" s="136"/>
      <c r="DS206" s="136"/>
      <c r="DT206" s="136"/>
      <c r="DU206" s="136" t="s">
        <v>423</v>
      </c>
      <c r="DW206" s="129">
        <f>SUM(_2025_01_07T12_47_export3[[#This Row],[Ni_wt]:[H_wt]])</f>
        <v>99.962000000000018</v>
      </c>
      <c r="DY206" s="130">
        <f>SUM($AM206:BJ206)</f>
        <v>100</v>
      </c>
    </row>
    <row r="207" spans="1:129" ht="16.5" thickBot="1" x14ac:dyDescent="0.3">
      <c r="A207" s="142" t="s">
        <v>425</v>
      </c>
      <c r="B207" s="142">
        <v>215</v>
      </c>
      <c r="C207" s="142" t="s">
        <v>316</v>
      </c>
      <c r="D207" s="142">
        <v>2020</v>
      </c>
      <c r="E207" s="142" t="s">
        <v>426</v>
      </c>
      <c r="F207" s="142" t="s">
        <v>427</v>
      </c>
      <c r="G207" s="142" t="s">
        <v>226</v>
      </c>
      <c r="H207" s="142">
        <v>0</v>
      </c>
      <c r="I207" s="142">
        <v>850</v>
      </c>
      <c r="J207" s="142">
        <v>400</v>
      </c>
      <c r="K207" s="142" t="s">
        <v>233</v>
      </c>
      <c r="L207" s="142" t="s">
        <v>428</v>
      </c>
      <c r="M207" s="142"/>
      <c r="N207" s="143"/>
      <c r="O207" s="144">
        <f>100-SUM(_2025_01_07T12_47_export3[[#This Row],[Cr_wt]:[H_wt]])</f>
        <v>66.150000000000006</v>
      </c>
      <c r="P207" s="144">
        <v>5.86</v>
      </c>
      <c r="Q207" s="144">
        <v>1</v>
      </c>
      <c r="R207" s="144">
        <v>0.54</v>
      </c>
      <c r="S207" s="144">
        <v>26.1</v>
      </c>
      <c r="T207" s="144"/>
      <c r="U207" s="144"/>
      <c r="V207" s="144"/>
      <c r="W207" s="144"/>
      <c r="X207" s="144">
        <v>0.31</v>
      </c>
      <c r="Y207" s="144">
        <v>0.04</v>
      </c>
      <c r="Z207" s="144"/>
      <c r="AA207" s="144"/>
      <c r="AB207" s="144"/>
      <c r="AC207" s="144"/>
      <c r="AD207" s="144"/>
      <c r="AE207" s="144"/>
      <c r="AF207" s="144"/>
      <c r="AG207" s="144"/>
      <c r="AH207" s="144"/>
      <c r="AI207" s="144"/>
      <c r="AJ207" s="144"/>
      <c r="AK207" s="144"/>
      <c r="AL207" s="144"/>
      <c r="AM207" s="144">
        <f t="shared" si="75"/>
        <v>79.583487122263321</v>
      </c>
      <c r="AN207" s="144">
        <f t="shared" si="76"/>
        <v>7.9570392101125114</v>
      </c>
      <c r="AO207" s="144">
        <f t="shared" si="77"/>
        <v>0.73581220368741984</v>
      </c>
      <c r="AP207" s="144">
        <f t="shared" si="78"/>
        <v>0.68269670717199993</v>
      </c>
      <c r="AQ207" s="144">
        <f t="shared" si="79"/>
        <v>10.026566211199942</v>
      </c>
      <c r="AR207" s="144">
        <f t="shared" si="80"/>
        <v>0</v>
      </c>
      <c r="AS207" s="144">
        <f t="shared" si="81"/>
        <v>0</v>
      </c>
      <c r="AT207" s="144">
        <f t="shared" si="82"/>
        <v>0</v>
      </c>
      <c r="AU207" s="144">
        <f t="shared" si="83"/>
        <v>0</v>
      </c>
      <c r="AV207" s="144">
        <f t="shared" si="84"/>
        <v>0.77923272019978251</v>
      </c>
      <c r="AW207" s="144">
        <f t="shared" si="85"/>
        <v>0.23516582536501185</v>
      </c>
      <c r="AX207" s="144">
        <f t="shared" si="86"/>
        <v>0</v>
      </c>
      <c r="AY207" s="144">
        <f t="shared" si="87"/>
        <v>0</v>
      </c>
      <c r="AZ207" s="144">
        <f t="shared" si="88"/>
        <v>0</v>
      </c>
      <c r="BA207" s="144">
        <f t="shared" si="89"/>
        <v>0</v>
      </c>
      <c r="BB207" s="144">
        <f t="shared" si="90"/>
        <v>0</v>
      </c>
      <c r="BC207" s="144">
        <f t="shared" si="91"/>
        <v>0</v>
      </c>
      <c r="BD207" s="144">
        <f t="shared" si="92"/>
        <v>0</v>
      </c>
      <c r="BE207" s="144">
        <f t="shared" si="93"/>
        <v>0</v>
      </c>
      <c r="BF207" s="144">
        <f t="shared" si="94"/>
        <v>0</v>
      </c>
      <c r="BG207" s="144">
        <f t="shared" si="95"/>
        <v>0</v>
      </c>
      <c r="BH207" s="144">
        <f t="shared" si="96"/>
        <v>0</v>
      </c>
      <c r="BI207" s="144">
        <f t="shared" si="97"/>
        <v>0</v>
      </c>
      <c r="BJ207" s="144">
        <f t="shared" si="98"/>
        <v>0</v>
      </c>
      <c r="BK207" s="144">
        <f t="shared" si="99"/>
        <v>-119.24648131158746</v>
      </c>
      <c r="BL207" s="144">
        <f>IF($K207=$L207,$BK207,IF(OR($K207="graphite",$K207="vitreous carbon"),$BK$406+($BM$389+$I207)*$BJ$406,IF($K207="Pyrolytic Boron Nitride","PBN",IF(COUNTIF($BH$396:$BH$416,$K207)&gt;0,VLOOKUP($K207,$BH$396:$BK$416,4,FALSE)+($BM$389+$I207)*VLOOKUP($K207,$BH$396:$BK$416,3,FALSE),IF(COUNTIF($L$2:$L206,$K207)&gt;0,VLOOKUP($K207,$L$2:$BK206,52,FALSE),"idk")))))</f>
        <v>-60.821750226979574</v>
      </c>
      <c r="BM207" s="144">
        <v>20</v>
      </c>
      <c r="BN207" s="144">
        <v>10</v>
      </c>
      <c r="BO207" s="144">
        <v>2</v>
      </c>
      <c r="BP207" s="142" t="s">
        <v>245</v>
      </c>
      <c r="BQ207" s="142"/>
      <c r="BR207" s="142" t="s">
        <v>230</v>
      </c>
      <c r="BS207" s="142"/>
      <c r="BT207" s="142">
        <v>0</v>
      </c>
      <c r="BU207" s="142">
        <v>149.5</v>
      </c>
      <c r="BV207" s="142"/>
      <c r="BW207" s="142"/>
      <c r="BX207" s="142"/>
      <c r="BY207" s="142"/>
      <c r="BZ207" s="142">
        <v>60.8</v>
      </c>
      <c r="CA207" s="142">
        <v>26.3</v>
      </c>
      <c r="CB207" s="142"/>
      <c r="CC207" s="142">
        <v>21.4</v>
      </c>
      <c r="CD207" s="142"/>
      <c r="CE207" s="142"/>
      <c r="CF207" s="142"/>
      <c r="CG207" s="142"/>
      <c r="CH207" s="142"/>
      <c r="CI207" s="153"/>
      <c r="CJ207" s="153">
        <v>2.1</v>
      </c>
      <c r="CK207" s="153"/>
      <c r="CL207" s="153"/>
      <c r="CM207" s="153"/>
      <c r="CN207" s="153"/>
      <c r="CO207" s="153"/>
      <c r="CP207" s="153">
        <v>22</v>
      </c>
      <c r="CQ207" s="153"/>
      <c r="CR207" s="153"/>
      <c r="CS207" s="153"/>
      <c r="CT207" s="153"/>
      <c r="CU207" s="153">
        <v>90.1</v>
      </c>
      <c r="CV207" s="153">
        <v>40</v>
      </c>
      <c r="CW207" s="153"/>
      <c r="CX207" s="153">
        <v>2.9</v>
      </c>
      <c r="CY207" s="153"/>
      <c r="CZ207" s="153"/>
      <c r="DA207" s="153"/>
      <c r="DB207" s="153"/>
      <c r="DC207" s="153"/>
      <c r="DD207" s="153"/>
      <c r="DE207" s="153">
        <v>24.9</v>
      </c>
      <c r="DF207" s="153"/>
      <c r="DG207" s="153"/>
      <c r="DH207" s="153"/>
      <c r="DI207" s="153"/>
      <c r="DJ207" s="142">
        <v>0</v>
      </c>
      <c r="DK207" s="142">
        <v>0</v>
      </c>
      <c r="DL207" s="142"/>
      <c r="DM207" s="142">
        <v>-23</v>
      </c>
      <c r="DN207" s="142"/>
      <c r="DO207" s="142">
        <v>-1.37</v>
      </c>
      <c r="DP207" s="142"/>
      <c r="DQ207" s="142"/>
      <c r="DR207" s="142"/>
      <c r="DS207" s="142"/>
      <c r="DT207" s="154" t="s">
        <v>430</v>
      </c>
      <c r="DU207" s="142" t="s">
        <v>429</v>
      </c>
      <c r="DW207" s="129">
        <f>SUM(_2025_01_07T12_47_export3[[#This Row],[Ni_wt]:[H_wt]])</f>
        <v>100.00000000000001</v>
      </c>
      <c r="DY207" s="130">
        <f>SUM($AM207:BJ207)</f>
        <v>100</v>
      </c>
    </row>
    <row r="208" spans="1:129" x14ac:dyDescent="0.25">
      <c r="A208" s="129" t="s">
        <v>431</v>
      </c>
      <c r="B208" s="129">
        <v>216</v>
      </c>
      <c r="C208" s="129" t="s">
        <v>432</v>
      </c>
      <c r="D208" s="129">
        <v>2023</v>
      </c>
      <c r="E208" s="129" t="s">
        <v>433</v>
      </c>
      <c r="F208" s="129" t="s">
        <v>434</v>
      </c>
      <c r="G208" s="129" t="s">
        <v>226</v>
      </c>
      <c r="H208" s="129">
        <v>0</v>
      </c>
      <c r="I208" s="129">
        <v>700</v>
      </c>
      <c r="J208" s="129">
        <v>72</v>
      </c>
      <c r="K208" s="129" t="s">
        <v>48</v>
      </c>
      <c r="L208" s="129" t="s">
        <v>239</v>
      </c>
      <c r="N208" s="129">
        <v>8860000</v>
      </c>
      <c r="O208" s="130">
        <f>100-SUM(_2025_01_07T12_47_export3[[#This Row],[Cr_wt]:[H_wt]])</f>
        <v>72.436300000000003</v>
      </c>
      <c r="P208" s="130">
        <v>7</v>
      </c>
      <c r="Q208" s="130">
        <v>16</v>
      </c>
      <c r="R208" s="130">
        <v>4</v>
      </c>
      <c r="S208" s="130">
        <v>6.3399999999999998E-2</v>
      </c>
      <c r="T208" s="130">
        <v>2.9999999999999997E-4</v>
      </c>
      <c r="U208" s="130">
        <v>0.5</v>
      </c>
      <c r="V208" s="130"/>
      <c r="W208" s="130"/>
      <c r="X208" s="130"/>
      <c r="Y208" s="130"/>
      <c r="Z208" s="130"/>
      <c r="AA208" s="130"/>
      <c r="AB208" s="130"/>
      <c r="AC208" s="130"/>
      <c r="AD208" s="130"/>
      <c r="AE208" s="130"/>
      <c r="AF208" s="130"/>
      <c r="AG208" s="130"/>
      <c r="AH208" s="130"/>
      <c r="AI208" s="130"/>
      <c r="AJ208" s="130"/>
      <c r="AK208" s="130"/>
      <c r="AL208" s="130"/>
      <c r="AM208" s="130">
        <f t="shared" si="75"/>
        <v>76.344614098583591</v>
      </c>
      <c r="AN208" s="130">
        <f t="shared" si="76"/>
        <v>8.3268540268964948</v>
      </c>
      <c r="AO208" s="130">
        <f t="shared" si="77"/>
        <v>10.313735708893415</v>
      </c>
      <c r="AP208" s="130">
        <f t="shared" si="78"/>
        <v>4.4301973080815218</v>
      </c>
      <c r="AQ208" s="130">
        <f t="shared" si="79"/>
        <v>2.1336835345773641E-2</v>
      </c>
      <c r="AR208" s="130">
        <f t="shared" si="80"/>
        <v>3.1489884565122139E-4</v>
      </c>
      <c r="AS208" s="130">
        <f t="shared" si="81"/>
        <v>0.56294712335355157</v>
      </c>
      <c r="AT208" s="130">
        <f t="shared" si="82"/>
        <v>0</v>
      </c>
      <c r="AU208" s="130">
        <f t="shared" si="83"/>
        <v>0</v>
      </c>
      <c r="AV208" s="130">
        <f t="shared" si="84"/>
        <v>0</v>
      </c>
      <c r="AW208" s="130">
        <f t="shared" si="85"/>
        <v>0</v>
      </c>
      <c r="AX208" s="130">
        <f t="shared" si="86"/>
        <v>0</v>
      </c>
      <c r="AY208" s="130">
        <f t="shared" si="87"/>
        <v>0</v>
      </c>
      <c r="AZ208" s="130">
        <f t="shared" si="88"/>
        <v>0</v>
      </c>
      <c r="BA208" s="130">
        <f t="shared" si="89"/>
        <v>0</v>
      </c>
      <c r="BB208" s="130">
        <f t="shared" si="90"/>
        <v>0</v>
      </c>
      <c r="BC208" s="130">
        <f t="shared" si="91"/>
        <v>0</v>
      </c>
      <c r="BD208" s="130">
        <f t="shared" si="92"/>
        <v>0</v>
      </c>
      <c r="BE208" s="130">
        <f t="shared" si="93"/>
        <v>0</v>
      </c>
      <c r="BF208" s="130">
        <f t="shared" si="94"/>
        <v>0</v>
      </c>
      <c r="BG208" s="130">
        <f t="shared" si="95"/>
        <v>0</v>
      </c>
      <c r="BH208" s="130">
        <f t="shared" si="96"/>
        <v>0</v>
      </c>
      <c r="BI208" s="130">
        <f t="shared" si="97"/>
        <v>0</v>
      </c>
      <c r="BJ208" s="130">
        <f t="shared" si="98"/>
        <v>0</v>
      </c>
      <c r="BK208" s="130">
        <f t="shared" si="99"/>
        <v>-124.21542200799192</v>
      </c>
      <c r="BL208" s="130">
        <f>IF($K208=$L208,$BK208,IF(OR($K208="graphite",$K208="vitreous carbon"),$BK$406+($BM$389+$I208)*$BJ$406,IF($K208="Pyrolytic Boron Nitride","PBN",IF(COUNTIF($BH$396:$BH$416,$K208)&gt;0,VLOOKUP($K208,$BH$396:$BK$416,4,FALSE)+($BM$389+$I208)*VLOOKUP($K208,$BH$396:$BK$416,3,FALSE),IF(COUNTIF($L$2:$L207,$K208)&gt;0,VLOOKUP($K208,$L$2:$BK207,52,FALSE),"idk")))))</f>
        <v>-121.74823772574202</v>
      </c>
      <c r="BM208" s="130">
        <v>10</v>
      </c>
      <c r="BN208" s="130">
        <v>10</v>
      </c>
      <c r="BO208" s="130">
        <v>10</v>
      </c>
      <c r="BP208" s="129" t="s">
        <v>245</v>
      </c>
      <c r="BQ208" s="129"/>
      <c r="BR208" s="129" t="s">
        <v>247</v>
      </c>
      <c r="BS208" s="129"/>
      <c r="BT208" s="129">
        <v>0</v>
      </c>
      <c r="BU208" s="129">
        <v>332.5</v>
      </c>
      <c r="BV208" s="129"/>
      <c r="BY208" s="129">
        <v>3300</v>
      </c>
      <c r="BZ208" s="129">
        <v>8</v>
      </c>
      <c r="CA208" s="129">
        <v>47</v>
      </c>
      <c r="CC208" s="129">
        <v>8</v>
      </c>
      <c r="CI208" s="151"/>
      <c r="CJ208" s="151"/>
      <c r="CK208" s="151">
        <v>11.1</v>
      </c>
      <c r="CL208" s="151"/>
      <c r="CM208" s="151"/>
      <c r="CN208" s="151"/>
      <c r="CO208" s="151"/>
      <c r="CP208" s="151"/>
      <c r="CQ208" s="151"/>
      <c r="CR208" s="151"/>
      <c r="CS208" s="151"/>
      <c r="CT208" s="151"/>
      <c r="CU208" s="151"/>
      <c r="CV208" s="151"/>
      <c r="CW208" s="151"/>
      <c r="CX208" s="151"/>
      <c r="CY208" s="151"/>
      <c r="CZ208" s="151"/>
      <c r="DA208" s="151"/>
      <c r="DB208" s="151"/>
      <c r="DC208" s="151"/>
      <c r="DD208" s="151"/>
      <c r="DE208" s="151"/>
      <c r="DF208" s="151"/>
      <c r="DG208" s="151"/>
      <c r="DH208" s="151"/>
      <c r="DI208" s="151"/>
      <c r="DJ208" s="129">
        <v>0</v>
      </c>
      <c r="DK208" s="129">
        <v>0</v>
      </c>
      <c r="DL208" s="129"/>
      <c r="DM208" s="129">
        <v>-5</v>
      </c>
      <c r="DO208" s="129">
        <v>-1.04</v>
      </c>
      <c r="DS208" s="129"/>
      <c r="DT208" s="155" t="s">
        <v>436</v>
      </c>
      <c r="DU208" s="129" t="s">
        <v>435</v>
      </c>
      <c r="DW208" s="129">
        <f>SUM(_2025_01_07T12_47_export3[[#This Row],[Ni_wt]:[H_wt]])</f>
        <v>100</v>
      </c>
      <c r="DY208" s="130">
        <f>SUM($AM208:BJ208)</f>
        <v>100</v>
      </c>
    </row>
    <row r="209" spans="1:129" ht="16.5" thickBot="1" x14ac:dyDescent="0.3">
      <c r="A209" s="136" t="s">
        <v>437</v>
      </c>
      <c r="B209" s="136">
        <v>217</v>
      </c>
      <c r="C209" s="136" t="s">
        <v>432</v>
      </c>
      <c r="D209" s="136">
        <v>2023</v>
      </c>
      <c r="E209" s="136" t="s">
        <v>433</v>
      </c>
      <c r="F209" s="136" t="s">
        <v>434</v>
      </c>
      <c r="G209" s="136" t="s">
        <v>226</v>
      </c>
      <c r="H209" s="136">
        <v>0</v>
      </c>
      <c r="I209" s="136">
        <v>700</v>
      </c>
      <c r="J209" s="136">
        <v>72</v>
      </c>
      <c r="K209" s="136" t="s">
        <v>48</v>
      </c>
      <c r="L209" s="136" t="s">
        <v>368</v>
      </c>
      <c r="M209" s="136"/>
      <c r="N209" s="136">
        <v>8220000</v>
      </c>
      <c r="O209" s="137">
        <f>100-SUM(_2025_01_07T12_47_export3[[#This Row],[Cr_wt]:[H_wt]])</f>
        <v>49.220000000000006</v>
      </c>
      <c r="P209" s="137">
        <v>21.4</v>
      </c>
      <c r="Q209" s="137">
        <v>8.6999999999999993</v>
      </c>
      <c r="R209" s="137">
        <v>18.2</v>
      </c>
      <c r="S209" s="137">
        <v>0.51</v>
      </c>
      <c r="T209" s="137">
        <v>1</v>
      </c>
      <c r="U209" s="137">
        <v>0.97</v>
      </c>
      <c r="V209" s="137"/>
      <c r="W209" s="137"/>
      <c r="X209" s="137"/>
      <c r="Y209" s="137"/>
      <c r="Z209" s="137"/>
      <c r="AA209" s="137"/>
      <c r="AB209" s="137"/>
      <c r="AC209" s="137"/>
      <c r="AD209" s="137"/>
      <c r="AE209" s="137"/>
      <c r="AF209" s="137"/>
      <c r="AG209" s="137"/>
      <c r="AH209" s="137"/>
      <c r="AI209" s="137"/>
      <c r="AJ209" s="137"/>
      <c r="AK209" s="137"/>
      <c r="AL209" s="137"/>
      <c r="AM209" s="137">
        <f t="shared" si="75"/>
        <v>49.212787400782311</v>
      </c>
      <c r="AN209" s="137">
        <f t="shared" si="76"/>
        <v>24.149652947758476</v>
      </c>
      <c r="AO209" s="137">
        <f t="shared" si="77"/>
        <v>5.3202186043084216</v>
      </c>
      <c r="AP209" s="137">
        <f t="shared" si="78"/>
        <v>19.122676352511832</v>
      </c>
      <c r="AQ209" s="137">
        <f t="shared" si="79"/>
        <v>0.16282651708341928</v>
      </c>
      <c r="AR209" s="137">
        <f t="shared" si="80"/>
        <v>0.99578143027561672</v>
      </c>
      <c r="AS209" s="137">
        <f t="shared" si="81"/>
        <v>1.0360567472799023</v>
      </c>
      <c r="AT209" s="137">
        <f t="shared" si="82"/>
        <v>0</v>
      </c>
      <c r="AU209" s="137">
        <f t="shared" si="83"/>
        <v>0</v>
      </c>
      <c r="AV209" s="137">
        <f t="shared" si="84"/>
        <v>0</v>
      </c>
      <c r="AW209" s="137">
        <f t="shared" si="85"/>
        <v>0</v>
      </c>
      <c r="AX209" s="137">
        <f t="shared" si="86"/>
        <v>0</v>
      </c>
      <c r="AY209" s="137">
        <f t="shared" si="87"/>
        <v>0</v>
      </c>
      <c r="AZ209" s="137">
        <f t="shared" si="88"/>
        <v>0</v>
      </c>
      <c r="BA209" s="137">
        <f t="shared" si="89"/>
        <v>0</v>
      </c>
      <c r="BB209" s="137">
        <f t="shared" si="90"/>
        <v>0</v>
      </c>
      <c r="BC209" s="137">
        <f t="shared" si="91"/>
        <v>0</v>
      </c>
      <c r="BD209" s="137">
        <f t="shared" si="92"/>
        <v>0</v>
      </c>
      <c r="BE209" s="137">
        <f t="shared" si="93"/>
        <v>0</v>
      </c>
      <c r="BF209" s="137">
        <f t="shared" si="94"/>
        <v>0</v>
      </c>
      <c r="BG209" s="137">
        <f t="shared" si="95"/>
        <v>0</v>
      </c>
      <c r="BH209" s="137">
        <f t="shared" si="96"/>
        <v>0</v>
      </c>
      <c r="BI209" s="137">
        <f t="shared" si="97"/>
        <v>0</v>
      </c>
      <c r="BJ209" s="137">
        <f t="shared" si="98"/>
        <v>0</v>
      </c>
      <c r="BK209" s="137">
        <f t="shared" si="99"/>
        <v>-131.3023053220528</v>
      </c>
      <c r="BL209" s="137">
        <f>IF($K209=$L209,$BK209,IF(OR($K209="graphite",$K209="vitreous carbon"),$BK$406+($BM$389+$I209)*$BJ$406,IF($K209="Pyrolytic Boron Nitride","PBN",IF(COUNTIF($BH$396:$BH$416,$K209)&gt;0,VLOOKUP($K209,$BH$396:$BK$416,4,FALSE)+($BM$389+$I209)*VLOOKUP($K209,$BH$396:$BK$416,3,FALSE),IF(COUNTIF($L$2:$L208,$K209)&gt;0,VLOOKUP($K209,$L$2:$BK208,52,FALSE),"idk")))))</f>
        <v>-121.74823772574202</v>
      </c>
      <c r="BM209" s="137">
        <v>10</v>
      </c>
      <c r="BN209" s="137">
        <v>10</v>
      </c>
      <c r="BO209" s="137">
        <v>10</v>
      </c>
      <c r="BP209" s="136" t="s">
        <v>245</v>
      </c>
      <c r="BQ209" s="136"/>
      <c r="BR209" s="136" t="s">
        <v>247</v>
      </c>
      <c r="BS209" s="136"/>
      <c r="BT209" s="136">
        <v>0</v>
      </c>
      <c r="BU209" s="136">
        <v>332.5</v>
      </c>
      <c r="BV209" s="136"/>
      <c r="BW209" s="136"/>
      <c r="BX209" s="136"/>
      <c r="BY209" s="136">
        <v>3300</v>
      </c>
      <c r="BZ209" s="136">
        <v>8</v>
      </c>
      <c r="CA209" s="136">
        <v>47</v>
      </c>
      <c r="CB209" s="136"/>
      <c r="CC209" s="136">
        <v>8</v>
      </c>
      <c r="CD209" s="136"/>
      <c r="CE209" s="136"/>
      <c r="CF209" s="136"/>
      <c r="CG209" s="136"/>
      <c r="CH209" s="136"/>
      <c r="CI209" s="152"/>
      <c r="CJ209" s="152"/>
      <c r="CK209" s="152"/>
      <c r="CL209" s="152"/>
      <c r="CM209" s="152"/>
      <c r="CN209" s="152"/>
      <c r="CO209" s="152"/>
      <c r="CP209" s="152"/>
      <c r="CQ209" s="152"/>
      <c r="CR209" s="152"/>
      <c r="CS209" s="152"/>
      <c r="CT209" s="152"/>
      <c r="CU209" s="152"/>
      <c r="CV209" s="152"/>
      <c r="CW209" s="152"/>
      <c r="CX209" s="152"/>
      <c r="CY209" s="152"/>
      <c r="CZ209" s="152"/>
      <c r="DA209" s="152"/>
      <c r="DB209" s="152"/>
      <c r="DC209" s="152"/>
      <c r="DD209" s="152"/>
      <c r="DE209" s="152"/>
      <c r="DF209" s="152"/>
      <c r="DG209" s="152"/>
      <c r="DH209" s="152"/>
      <c r="DI209" s="152"/>
      <c r="DJ209" s="136">
        <v>0</v>
      </c>
      <c r="DK209" s="136">
        <v>0</v>
      </c>
      <c r="DL209" s="136"/>
      <c r="DM209" s="136">
        <v>-10</v>
      </c>
      <c r="DN209" s="136"/>
      <c r="DO209" s="136">
        <v>-12.9</v>
      </c>
      <c r="DP209" s="136"/>
      <c r="DQ209" s="136"/>
      <c r="DR209" s="136"/>
      <c r="DS209" s="136"/>
      <c r="DT209" s="136"/>
      <c r="DU209" s="136" t="s">
        <v>435</v>
      </c>
      <c r="DW209" s="129">
        <f>SUM(_2025_01_07T12_47_export3[[#This Row],[Ni_wt]:[H_wt]])</f>
        <v>100.00000000000001</v>
      </c>
      <c r="DY209" s="130">
        <f>SUM($AM209:BJ209)</f>
        <v>99.999999999999972</v>
      </c>
    </row>
    <row r="210" spans="1:129" x14ac:dyDescent="0.25">
      <c r="A210" s="129" t="s">
        <v>438</v>
      </c>
      <c r="B210" s="129">
        <v>218</v>
      </c>
      <c r="C210" s="129" t="s">
        <v>439</v>
      </c>
      <c r="D210" s="129">
        <v>2023</v>
      </c>
      <c r="E210" s="129" t="s">
        <v>421</v>
      </c>
      <c r="F210" s="129" t="s">
        <v>440</v>
      </c>
      <c r="G210" s="129" t="s">
        <v>226</v>
      </c>
      <c r="H210" s="129">
        <v>0</v>
      </c>
      <c r="I210" s="129">
        <v>700</v>
      </c>
      <c r="J210" s="129">
        <v>100</v>
      </c>
      <c r="K210" s="129" t="s">
        <v>48</v>
      </c>
      <c r="L210" s="129" t="s">
        <v>239</v>
      </c>
      <c r="N210" s="129">
        <v>8860000</v>
      </c>
      <c r="O210" s="130">
        <f>100-SUM(_2025_01_07T12_47_export3[[#This Row],[Cr_wt]:[H_wt]])</f>
        <v>70.5</v>
      </c>
      <c r="P210" s="130">
        <v>7.01</v>
      </c>
      <c r="Q210" s="130">
        <v>17.34</v>
      </c>
      <c r="R210" s="130">
        <v>3.92</v>
      </c>
      <c r="S210" s="130"/>
      <c r="T210" s="130"/>
      <c r="U210" s="130">
        <v>0.68</v>
      </c>
      <c r="V210" s="130"/>
      <c r="W210" s="130"/>
      <c r="X210" s="130">
        <v>0.45</v>
      </c>
      <c r="Y210" s="130">
        <v>0.1</v>
      </c>
      <c r="Z210" s="130"/>
      <c r="AA210" s="130"/>
      <c r="AB210" s="130"/>
      <c r="AC210" s="130"/>
      <c r="AD210" s="130"/>
      <c r="AE210" s="130"/>
      <c r="AF210" s="130"/>
      <c r="AG210" s="130"/>
      <c r="AH210" s="130"/>
      <c r="AI210" s="130"/>
      <c r="AJ210" s="130"/>
      <c r="AK210" s="130"/>
      <c r="AL210" s="130"/>
      <c r="AM210" s="130">
        <f t="shared" si="75"/>
        <v>73.983282435619998</v>
      </c>
      <c r="AN210" s="130">
        <f t="shared" si="76"/>
        <v>8.3027748803838577</v>
      </c>
      <c r="AO210" s="130">
        <f t="shared" si="77"/>
        <v>11.129289566897105</v>
      </c>
      <c r="AP210" s="130">
        <f t="shared" si="78"/>
        <v>4.322863058190169</v>
      </c>
      <c r="AQ210" s="130">
        <f t="shared" si="79"/>
        <v>0</v>
      </c>
      <c r="AR210" s="130">
        <f t="shared" si="80"/>
        <v>0</v>
      </c>
      <c r="AS210" s="130">
        <f t="shared" si="81"/>
        <v>0.76230513632657826</v>
      </c>
      <c r="AT210" s="130">
        <f t="shared" si="82"/>
        <v>0</v>
      </c>
      <c r="AU210" s="130">
        <f t="shared" si="83"/>
        <v>0</v>
      </c>
      <c r="AV210" s="130">
        <f t="shared" si="84"/>
        <v>0.98666418263784428</v>
      </c>
      <c r="AW210" s="130">
        <f t="shared" si="85"/>
        <v>0.51282073994443611</v>
      </c>
      <c r="AX210" s="130">
        <f t="shared" si="86"/>
        <v>0</v>
      </c>
      <c r="AY210" s="130">
        <f t="shared" si="87"/>
        <v>0</v>
      </c>
      <c r="AZ210" s="130">
        <f t="shared" si="88"/>
        <v>0</v>
      </c>
      <c r="BA210" s="130">
        <f t="shared" si="89"/>
        <v>0</v>
      </c>
      <c r="BB210" s="130">
        <f t="shared" si="90"/>
        <v>0</v>
      </c>
      <c r="BC210" s="130">
        <f t="shared" si="91"/>
        <v>0</v>
      </c>
      <c r="BD210" s="130">
        <f t="shared" si="92"/>
        <v>0</v>
      </c>
      <c r="BE210" s="130">
        <f t="shared" si="93"/>
        <v>0</v>
      </c>
      <c r="BF210" s="130">
        <f t="shared" si="94"/>
        <v>0</v>
      </c>
      <c r="BG210" s="130">
        <f t="shared" si="95"/>
        <v>0</v>
      </c>
      <c r="BH210" s="130">
        <f t="shared" si="96"/>
        <v>0</v>
      </c>
      <c r="BI210" s="130">
        <f t="shared" si="97"/>
        <v>0</v>
      </c>
      <c r="BJ210" s="130">
        <f t="shared" si="98"/>
        <v>0</v>
      </c>
      <c r="BK210" s="130">
        <f t="shared" si="99"/>
        <v>-124.3774896678361</v>
      </c>
      <c r="BL210" s="130">
        <f>IF($K210=$L210,$BK210,IF(OR($K210="graphite",$K210="vitreous carbon"),$BK$406+($BM$389+$I210)*$BJ$406,IF($K210="Pyrolytic Boron Nitride","PBN",IF(COUNTIF($BH$396:$BH$416,$K210)&gt;0,VLOOKUP($K210,$BH$396:$BK$416,4,FALSE)+($BM$389+$I210)*VLOOKUP($K210,$BH$396:$BK$416,3,FALSE),IF(COUNTIF($L$2:$L209,$K210)&gt;0,VLOOKUP($K210,$L$2:$BK209,52,FALSE),"idk")))))</f>
        <v>-121.74823772574202</v>
      </c>
      <c r="BM210" s="130">
        <v>10</v>
      </c>
      <c r="BN210" s="130">
        <v>8</v>
      </c>
      <c r="BO210" s="130">
        <v>1</v>
      </c>
      <c r="BP210" s="129" t="s">
        <v>245</v>
      </c>
      <c r="BQ210" s="129" t="s">
        <v>299</v>
      </c>
      <c r="BR210" s="129" t="s">
        <v>230</v>
      </c>
      <c r="BS210" s="129"/>
      <c r="BT210" s="129">
        <v>0</v>
      </c>
      <c r="BV210" s="129"/>
      <c r="BZ210" s="129"/>
      <c r="CE210" s="129">
        <v>3.22</v>
      </c>
      <c r="CI210" s="151"/>
      <c r="CJ210" s="151"/>
      <c r="CK210" s="151"/>
      <c r="CL210" s="151">
        <v>13.1</v>
      </c>
      <c r="CM210" s="151"/>
      <c r="CN210" s="151"/>
      <c r="CO210" s="151"/>
      <c r="CP210" s="151"/>
      <c r="CQ210" s="151"/>
      <c r="CR210" s="151"/>
      <c r="CS210" s="151"/>
      <c r="CT210" s="151"/>
      <c r="CU210" s="151"/>
      <c r="CV210" s="151"/>
      <c r="CW210" s="151"/>
      <c r="CX210" s="151">
        <v>0.33</v>
      </c>
      <c r="CY210" s="151"/>
      <c r="CZ210" s="151">
        <v>3.62</v>
      </c>
      <c r="DA210" s="151"/>
      <c r="DB210" s="151"/>
      <c r="DC210" s="151"/>
      <c r="DD210" s="151"/>
      <c r="DE210" s="151"/>
      <c r="DF210" s="151"/>
      <c r="DG210" s="151"/>
      <c r="DH210" s="151"/>
      <c r="DI210" s="151"/>
      <c r="DJ210" s="129">
        <v>0</v>
      </c>
      <c r="DK210" s="129">
        <v>0</v>
      </c>
      <c r="DL210" s="129"/>
      <c r="DM210" s="129">
        <v>-3</v>
      </c>
      <c r="DO210" s="129">
        <v>-0.05</v>
      </c>
      <c r="DS210" s="129"/>
      <c r="DT210" s="155" t="s">
        <v>441</v>
      </c>
      <c r="DU210" s="129"/>
      <c r="DW210" s="129">
        <f>SUM(_2025_01_07T12_47_export3[[#This Row],[Ni_wt]:[H_wt]])</f>
        <v>100.00000000000001</v>
      </c>
      <c r="DY210" s="130">
        <f>SUM($AM210:BJ210)</f>
        <v>99.999999999999957</v>
      </c>
    </row>
    <row r="211" spans="1:129" x14ac:dyDescent="0.25">
      <c r="A211" s="129" t="s">
        <v>438</v>
      </c>
      <c r="B211" s="129">
        <v>219</v>
      </c>
      <c r="C211" s="129" t="s">
        <v>439</v>
      </c>
      <c r="D211" s="129">
        <v>2023</v>
      </c>
      <c r="E211" s="129" t="s">
        <v>421</v>
      </c>
      <c r="F211" s="129" t="s">
        <v>440</v>
      </c>
      <c r="G211" s="129" t="s">
        <v>226</v>
      </c>
      <c r="H211" s="129">
        <v>0</v>
      </c>
      <c r="I211" s="129">
        <v>700</v>
      </c>
      <c r="J211" s="129">
        <v>100</v>
      </c>
      <c r="K211" s="129" t="s">
        <v>48</v>
      </c>
      <c r="L211" s="129" t="s">
        <v>239</v>
      </c>
      <c r="N211" s="129">
        <v>8860000</v>
      </c>
      <c r="O211" s="130">
        <f>100-SUM(_2025_01_07T12_47_export3[[#This Row],[Cr_wt]:[H_wt]])</f>
        <v>70.5</v>
      </c>
      <c r="P211" s="130">
        <v>7.01</v>
      </c>
      <c r="Q211" s="130">
        <v>17.34</v>
      </c>
      <c r="R211" s="130">
        <v>3.92</v>
      </c>
      <c r="S211" s="130"/>
      <c r="T211" s="130"/>
      <c r="U211" s="130">
        <v>0.68</v>
      </c>
      <c r="V211" s="130"/>
      <c r="W211" s="130"/>
      <c r="X211" s="130">
        <v>0.45</v>
      </c>
      <c r="Y211" s="130">
        <v>0.1</v>
      </c>
      <c r="Z211" s="130"/>
      <c r="AA211" s="130"/>
      <c r="AB211" s="130"/>
      <c r="AC211" s="130"/>
      <c r="AD211" s="130"/>
      <c r="AE211" s="130"/>
      <c r="AF211" s="130"/>
      <c r="AG211" s="130"/>
      <c r="AH211" s="130"/>
      <c r="AI211" s="130"/>
      <c r="AJ211" s="130"/>
      <c r="AK211" s="130"/>
      <c r="AL211" s="130"/>
      <c r="AM211" s="130">
        <f t="shared" si="75"/>
        <v>73.983282435619998</v>
      </c>
      <c r="AN211" s="130">
        <f t="shared" si="76"/>
        <v>8.3027748803838577</v>
      </c>
      <c r="AO211" s="130">
        <f t="shared" si="77"/>
        <v>11.129289566897105</v>
      </c>
      <c r="AP211" s="130">
        <f t="shared" si="78"/>
        <v>4.322863058190169</v>
      </c>
      <c r="AQ211" s="130">
        <f t="shared" si="79"/>
        <v>0</v>
      </c>
      <c r="AR211" s="130">
        <f t="shared" si="80"/>
        <v>0</v>
      </c>
      <c r="AS211" s="130">
        <f t="shared" si="81"/>
        <v>0.76230513632657826</v>
      </c>
      <c r="AT211" s="130">
        <f t="shared" si="82"/>
        <v>0</v>
      </c>
      <c r="AU211" s="130">
        <f t="shared" si="83"/>
        <v>0</v>
      </c>
      <c r="AV211" s="130">
        <f t="shared" si="84"/>
        <v>0.98666418263784428</v>
      </c>
      <c r="AW211" s="130">
        <f t="shared" si="85"/>
        <v>0.51282073994443611</v>
      </c>
      <c r="AX211" s="130">
        <f t="shared" si="86"/>
        <v>0</v>
      </c>
      <c r="AY211" s="130">
        <f t="shared" si="87"/>
        <v>0</v>
      </c>
      <c r="AZ211" s="130">
        <f t="shared" si="88"/>
        <v>0</v>
      </c>
      <c r="BA211" s="130">
        <f t="shared" si="89"/>
        <v>0</v>
      </c>
      <c r="BB211" s="130">
        <f t="shared" si="90"/>
        <v>0</v>
      </c>
      <c r="BC211" s="130">
        <f t="shared" si="91"/>
        <v>0</v>
      </c>
      <c r="BD211" s="130">
        <f t="shared" si="92"/>
        <v>0</v>
      </c>
      <c r="BE211" s="130">
        <f t="shared" si="93"/>
        <v>0</v>
      </c>
      <c r="BF211" s="130">
        <f t="shared" si="94"/>
        <v>0</v>
      </c>
      <c r="BG211" s="130">
        <f t="shared" si="95"/>
        <v>0</v>
      </c>
      <c r="BH211" s="130">
        <f t="shared" si="96"/>
        <v>0</v>
      </c>
      <c r="BI211" s="130">
        <f t="shared" si="97"/>
        <v>0</v>
      </c>
      <c r="BJ211" s="130">
        <f t="shared" si="98"/>
        <v>0</v>
      </c>
      <c r="BK211" s="130">
        <f t="shared" si="99"/>
        <v>-124.3774896678361</v>
      </c>
      <c r="BL211" s="130">
        <f>IF($K211=$L211,$BK211,IF(OR($K211="graphite",$K211="vitreous carbon"),$BK$406+($BM$389+$I211)*$BJ$406,IF($K211="Pyrolytic Boron Nitride","PBN",IF(COUNTIF($BH$396:$BH$416,$K211)&gt;0,VLOOKUP($K211,$BH$396:$BK$416,4,FALSE)+($BM$389+$I211)*VLOOKUP($K211,$BH$396:$BK$416,3,FALSE),IF(COUNTIF($L$2:$L210,$K211)&gt;0,VLOOKUP($K211,$L$2:$BK210,52,FALSE),"idk")))))</f>
        <v>-121.74823772574202</v>
      </c>
      <c r="BM211" s="130">
        <v>10</v>
      </c>
      <c r="BN211" s="130">
        <v>8</v>
      </c>
      <c r="BO211" s="130">
        <v>1</v>
      </c>
      <c r="BP211" s="129" t="s">
        <v>245</v>
      </c>
      <c r="BQ211" s="129" t="s">
        <v>299</v>
      </c>
      <c r="BR211" s="129" t="s">
        <v>230</v>
      </c>
      <c r="BS211" s="129"/>
      <c r="BT211" s="129">
        <v>0</v>
      </c>
      <c r="BV211" s="129"/>
      <c r="BZ211" s="129"/>
      <c r="CE211" s="129">
        <v>3.22</v>
      </c>
      <c r="CI211" s="151"/>
      <c r="CJ211" s="151"/>
      <c r="CK211" s="151"/>
      <c r="CL211" s="151">
        <v>13.1</v>
      </c>
      <c r="CM211" s="151"/>
      <c r="CN211" s="151"/>
      <c r="CO211" s="151"/>
      <c r="CP211" s="151"/>
      <c r="CQ211" s="151"/>
      <c r="CR211" s="151"/>
      <c r="CS211" s="151"/>
      <c r="CT211" s="151"/>
      <c r="CU211" s="151"/>
      <c r="CV211" s="151"/>
      <c r="CW211" s="151"/>
      <c r="CX211" s="151">
        <v>3.58</v>
      </c>
      <c r="CY211" s="151"/>
      <c r="CZ211" s="151">
        <v>3.09</v>
      </c>
      <c r="DA211" s="151"/>
      <c r="DB211" s="151"/>
      <c r="DC211" s="151"/>
      <c r="DD211" s="151"/>
      <c r="DE211" s="151"/>
      <c r="DF211" s="151"/>
      <c r="DG211" s="151"/>
      <c r="DH211" s="151">
        <v>60</v>
      </c>
      <c r="DI211" s="151"/>
      <c r="DJ211" s="129">
        <v>0</v>
      </c>
      <c r="DK211" s="129">
        <v>0</v>
      </c>
      <c r="DL211" s="129"/>
      <c r="DM211" s="129">
        <v>-3</v>
      </c>
      <c r="DO211" s="129">
        <v>-0.05</v>
      </c>
      <c r="DS211" s="129"/>
      <c r="DT211" s="135" t="s">
        <v>441</v>
      </c>
      <c r="DU211" s="129"/>
      <c r="DW211" s="129">
        <f>SUM(_2025_01_07T12_47_export3[[#This Row],[Ni_wt]:[H_wt]])</f>
        <v>100.00000000000001</v>
      </c>
      <c r="DY211" s="130">
        <f>SUM($AM211:BJ211)</f>
        <v>99.999999999999957</v>
      </c>
    </row>
    <row r="212" spans="1:129" x14ac:dyDescent="0.25">
      <c r="A212" s="129" t="s">
        <v>438</v>
      </c>
      <c r="B212" s="129">
        <v>220</v>
      </c>
      <c r="C212" s="129" t="s">
        <v>439</v>
      </c>
      <c r="D212" s="129">
        <v>2023</v>
      </c>
      <c r="E212" s="129" t="s">
        <v>421</v>
      </c>
      <c r="F212" s="129" t="s">
        <v>440</v>
      </c>
      <c r="G212" s="129" t="s">
        <v>226</v>
      </c>
      <c r="H212" s="129">
        <v>0</v>
      </c>
      <c r="I212" s="129">
        <v>700</v>
      </c>
      <c r="J212" s="129">
        <v>100</v>
      </c>
      <c r="K212" s="129" t="s">
        <v>48</v>
      </c>
      <c r="L212" s="129" t="s">
        <v>239</v>
      </c>
      <c r="N212" s="129">
        <v>8860000</v>
      </c>
      <c r="O212" s="130">
        <f>100-SUM(_2025_01_07T12_47_export3[[#This Row],[Cr_wt]:[H_wt]])</f>
        <v>70.5</v>
      </c>
      <c r="P212" s="130">
        <v>7.01</v>
      </c>
      <c r="Q212" s="130">
        <v>17.34</v>
      </c>
      <c r="R212" s="130">
        <v>3.92</v>
      </c>
      <c r="S212" s="130"/>
      <c r="T212" s="130"/>
      <c r="U212" s="130">
        <v>0.68</v>
      </c>
      <c r="V212" s="130"/>
      <c r="W212" s="130"/>
      <c r="X212" s="130">
        <v>0.45</v>
      </c>
      <c r="Y212" s="130">
        <v>0.1</v>
      </c>
      <c r="Z212" s="130"/>
      <c r="AA212" s="130"/>
      <c r="AB212" s="130"/>
      <c r="AC212" s="130"/>
      <c r="AD212" s="130"/>
      <c r="AE212" s="130"/>
      <c r="AF212" s="130"/>
      <c r="AG212" s="130"/>
      <c r="AH212" s="130"/>
      <c r="AI212" s="130"/>
      <c r="AJ212" s="130"/>
      <c r="AK212" s="130"/>
      <c r="AL212" s="130"/>
      <c r="AM212" s="130">
        <f t="shared" si="75"/>
        <v>73.983282435619998</v>
      </c>
      <c r="AN212" s="130">
        <f t="shared" si="76"/>
        <v>8.3027748803838577</v>
      </c>
      <c r="AO212" s="130">
        <f t="shared" si="77"/>
        <v>11.129289566897105</v>
      </c>
      <c r="AP212" s="130">
        <f t="shared" si="78"/>
        <v>4.322863058190169</v>
      </c>
      <c r="AQ212" s="130">
        <f t="shared" si="79"/>
        <v>0</v>
      </c>
      <c r="AR212" s="130">
        <f t="shared" si="80"/>
        <v>0</v>
      </c>
      <c r="AS212" s="130">
        <f t="shared" si="81"/>
        <v>0.76230513632657826</v>
      </c>
      <c r="AT212" s="130">
        <f t="shared" si="82"/>
        <v>0</v>
      </c>
      <c r="AU212" s="130">
        <f t="shared" si="83"/>
        <v>0</v>
      </c>
      <c r="AV212" s="130">
        <f t="shared" si="84"/>
        <v>0.98666418263784428</v>
      </c>
      <c r="AW212" s="130">
        <f t="shared" si="85"/>
        <v>0.51282073994443611</v>
      </c>
      <c r="AX212" s="130">
        <f t="shared" si="86"/>
        <v>0</v>
      </c>
      <c r="AY212" s="130">
        <f t="shared" si="87"/>
        <v>0</v>
      </c>
      <c r="AZ212" s="130">
        <f t="shared" si="88"/>
        <v>0</v>
      </c>
      <c r="BA212" s="130">
        <f t="shared" si="89"/>
        <v>0</v>
      </c>
      <c r="BB212" s="130">
        <f t="shared" si="90"/>
        <v>0</v>
      </c>
      <c r="BC212" s="130">
        <f t="shared" si="91"/>
        <v>0</v>
      </c>
      <c r="BD212" s="130">
        <f t="shared" si="92"/>
        <v>0</v>
      </c>
      <c r="BE212" s="130">
        <f t="shared" si="93"/>
        <v>0</v>
      </c>
      <c r="BF212" s="130">
        <f t="shared" si="94"/>
        <v>0</v>
      </c>
      <c r="BG212" s="130">
        <f t="shared" si="95"/>
        <v>0</v>
      </c>
      <c r="BH212" s="130">
        <f t="shared" si="96"/>
        <v>0</v>
      </c>
      <c r="BI212" s="130">
        <f t="shared" si="97"/>
        <v>0</v>
      </c>
      <c r="BJ212" s="130">
        <f t="shared" si="98"/>
        <v>0</v>
      </c>
      <c r="BK212" s="130">
        <f t="shared" si="99"/>
        <v>-124.3774896678361</v>
      </c>
      <c r="BL212" s="130">
        <f>IF($K212=$L212,$BK212,IF(OR($K212="graphite",$K212="vitreous carbon"),$BK$406+($BM$389+$I212)*$BJ$406,IF($K212="Pyrolytic Boron Nitride","PBN",IF(COUNTIF($BH$396:$BH$416,$K212)&gt;0,VLOOKUP($K212,$BH$396:$BK$416,4,FALSE)+($BM$389+$I212)*VLOOKUP($K212,$BH$396:$BK$416,3,FALSE),IF(COUNTIF($L$2:$L211,$K212)&gt;0,VLOOKUP($K212,$L$2:$BK211,52,FALSE),"idk")))))</f>
        <v>-121.74823772574202</v>
      </c>
      <c r="BM212" s="130">
        <v>10</v>
      </c>
      <c r="BN212" s="130">
        <v>8</v>
      </c>
      <c r="BO212" s="130">
        <v>1</v>
      </c>
      <c r="BP212" s="129" t="s">
        <v>245</v>
      </c>
      <c r="BQ212" s="129" t="s">
        <v>299</v>
      </c>
      <c r="BR212" s="129" t="s">
        <v>230</v>
      </c>
      <c r="BS212" s="129"/>
      <c r="BT212" s="129">
        <v>0</v>
      </c>
      <c r="BV212" s="129"/>
      <c r="BZ212" s="129"/>
      <c r="CE212" s="129">
        <v>3.22</v>
      </c>
      <c r="CI212" s="151"/>
      <c r="CJ212" s="151"/>
      <c r="CK212" s="151"/>
      <c r="CL212" s="151">
        <v>13.1</v>
      </c>
      <c r="CM212" s="151"/>
      <c r="CN212" s="151"/>
      <c r="CO212" s="151"/>
      <c r="CP212" s="151"/>
      <c r="CQ212" s="151"/>
      <c r="CR212" s="151"/>
      <c r="CS212" s="151"/>
      <c r="CT212" s="151"/>
      <c r="CU212" s="151">
        <v>0.66</v>
      </c>
      <c r="CV212" s="151">
        <v>2.71</v>
      </c>
      <c r="CW212" s="151"/>
      <c r="CX212" s="151">
        <v>2315.0100000000002</v>
      </c>
      <c r="CY212" s="151"/>
      <c r="CZ212" s="151">
        <v>4.87</v>
      </c>
      <c r="DA212" s="151"/>
      <c r="DB212" s="151"/>
      <c r="DC212" s="151"/>
      <c r="DD212" s="151"/>
      <c r="DE212" s="151"/>
      <c r="DF212" s="151"/>
      <c r="DG212" s="151">
        <v>409.48</v>
      </c>
      <c r="DH212" s="151">
        <v>1200</v>
      </c>
      <c r="DI212" s="151"/>
      <c r="DJ212" s="129">
        <v>0</v>
      </c>
      <c r="DK212" s="129">
        <v>0</v>
      </c>
      <c r="DL212" s="129"/>
      <c r="DM212" s="129">
        <v>-9</v>
      </c>
      <c r="DO212" s="129">
        <v>-0.3</v>
      </c>
      <c r="DS212" s="129"/>
      <c r="DT212" s="135" t="s">
        <v>441</v>
      </c>
      <c r="DU212" s="129"/>
      <c r="DW212" s="129">
        <f>SUM(_2025_01_07T12_47_export3[[#This Row],[Ni_wt]:[H_wt]])</f>
        <v>100.00000000000001</v>
      </c>
      <c r="DY212" s="130">
        <f>SUM($AM212:BJ212)</f>
        <v>99.999999999999957</v>
      </c>
    </row>
    <row r="213" spans="1:129" ht="16.5" thickBot="1" x14ac:dyDescent="0.3">
      <c r="A213" s="136" t="s">
        <v>438</v>
      </c>
      <c r="B213" s="136">
        <v>221</v>
      </c>
      <c r="C213" s="136" t="s">
        <v>439</v>
      </c>
      <c r="D213" s="136">
        <v>2023</v>
      </c>
      <c r="E213" s="136" t="s">
        <v>421</v>
      </c>
      <c r="F213" s="136" t="s">
        <v>440</v>
      </c>
      <c r="G213" s="136" t="s">
        <v>226</v>
      </c>
      <c r="H213" s="136">
        <v>0</v>
      </c>
      <c r="I213" s="136">
        <v>700</v>
      </c>
      <c r="J213" s="136">
        <v>100</v>
      </c>
      <c r="K213" s="136" t="s">
        <v>48</v>
      </c>
      <c r="L213" s="136" t="s">
        <v>239</v>
      </c>
      <c r="M213" s="136"/>
      <c r="N213" s="136">
        <v>8860000</v>
      </c>
      <c r="O213" s="137">
        <f>100-SUM(_2025_01_07T12_47_export3[[#This Row],[Cr_wt]:[H_wt]])</f>
        <v>70.5</v>
      </c>
      <c r="P213" s="137">
        <v>7.01</v>
      </c>
      <c r="Q213" s="137">
        <v>17.34</v>
      </c>
      <c r="R213" s="137">
        <v>3.92</v>
      </c>
      <c r="S213" s="137"/>
      <c r="T213" s="137"/>
      <c r="U213" s="137">
        <v>0.68</v>
      </c>
      <c r="V213" s="137"/>
      <c r="W213" s="137"/>
      <c r="X213" s="137">
        <v>0.45</v>
      </c>
      <c r="Y213" s="137">
        <v>0.1</v>
      </c>
      <c r="Z213" s="137"/>
      <c r="AA213" s="137"/>
      <c r="AB213" s="137"/>
      <c r="AC213" s="137"/>
      <c r="AD213" s="137"/>
      <c r="AE213" s="137"/>
      <c r="AF213" s="137"/>
      <c r="AG213" s="137"/>
      <c r="AH213" s="137"/>
      <c r="AI213" s="137"/>
      <c r="AJ213" s="137"/>
      <c r="AK213" s="137"/>
      <c r="AL213" s="137"/>
      <c r="AM213" s="137">
        <f t="shared" si="75"/>
        <v>73.983282435619998</v>
      </c>
      <c r="AN213" s="137">
        <f t="shared" si="76"/>
        <v>8.3027748803838577</v>
      </c>
      <c r="AO213" s="137">
        <f t="shared" si="77"/>
        <v>11.129289566897105</v>
      </c>
      <c r="AP213" s="137">
        <f t="shared" si="78"/>
        <v>4.322863058190169</v>
      </c>
      <c r="AQ213" s="137">
        <f t="shared" si="79"/>
        <v>0</v>
      </c>
      <c r="AR213" s="137">
        <f t="shared" si="80"/>
        <v>0</v>
      </c>
      <c r="AS213" s="137">
        <f t="shared" si="81"/>
        <v>0.76230513632657826</v>
      </c>
      <c r="AT213" s="137">
        <f t="shared" si="82"/>
        <v>0</v>
      </c>
      <c r="AU213" s="137">
        <f t="shared" si="83"/>
        <v>0</v>
      </c>
      <c r="AV213" s="137">
        <f t="shared" si="84"/>
        <v>0.98666418263784428</v>
      </c>
      <c r="AW213" s="137">
        <f t="shared" si="85"/>
        <v>0.51282073994443611</v>
      </c>
      <c r="AX213" s="137">
        <f t="shared" si="86"/>
        <v>0</v>
      </c>
      <c r="AY213" s="137">
        <f t="shared" si="87"/>
        <v>0</v>
      </c>
      <c r="AZ213" s="137">
        <f t="shared" si="88"/>
        <v>0</v>
      </c>
      <c r="BA213" s="137">
        <f t="shared" si="89"/>
        <v>0</v>
      </c>
      <c r="BB213" s="137">
        <f t="shared" si="90"/>
        <v>0</v>
      </c>
      <c r="BC213" s="137">
        <f t="shared" si="91"/>
        <v>0</v>
      </c>
      <c r="BD213" s="137">
        <f t="shared" si="92"/>
        <v>0</v>
      </c>
      <c r="BE213" s="137">
        <f t="shared" si="93"/>
        <v>0</v>
      </c>
      <c r="BF213" s="137">
        <f t="shared" si="94"/>
        <v>0</v>
      </c>
      <c r="BG213" s="137">
        <f t="shared" si="95"/>
        <v>0</v>
      </c>
      <c r="BH213" s="137">
        <f t="shared" si="96"/>
        <v>0</v>
      </c>
      <c r="BI213" s="137">
        <f t="shared" si="97"/>
        <v>0</v>
      </c>
      <c r="BJ213" s="137">
        <f t="shared" si="98"/>
        <v>0</v>
      </c>
      <c r="BK213" s="137">
        <f t="shared" si="99"/>
        <v>-124.3774896678361</v>
      </c>
      <c r="BL213" s="137">
        <f>IF($K213=$L213,$BK213,IF(OR($K213="graphite",$K213="vitreous carbon"),$BK$406+($BM$389+$I213)*$BJ$406,IF($K213="Pyrolytic Boron Nitride","PBN",IF(COUNTIF($BH$396:$BH$416,$K213)&gt;0,VLOOKUP($K213,$BH$396:$BK$416,4,FALSE)+($BM$389+$I213)*VLOOKUP($K213,$BH$396:$BK$416,3,FALSE),IF(COUNTIF($L$2:$L212,$K213)&gt;0,VLOOKUP($K213,$L$2:$BK212,52,FALSE),"idk")))))</f>
        <v>-121.74823772574202</v>
      </c>
      <c r="BM213" s="137">
        <v>10</v>
      </c>
      <c r="BN213" s="137">
        <v>8</v>
      </c>
      <c r="BO213" s="137">
        <v>1</v>
      </c>
      <c r="BP213" s="136" t="s">
        <v>245</v>
      </c>
      <c r="BQ213" s="136" t="s">
        <v>299</v>
      </c>
      <c r="BR213" s="136" t="s">
        <v>230</v>
      </c>
      <c r="BS213" s="136"/>
      <c r="BT213" s="136">
        <v>0</v>
      </c>
      <c r="BU213" s="136"/>
      <c r="BV213" s="136"/>
      <c r="BW213" s="136"/>
      <c r="BX213" s="136"/>
      <c r="BY213" s="136"/>
      <c r="BZ213" s="136"/>
      <c r="CA213" s="136"/>
      <c r="CB213" s="136"/>
      <c r="CC213" s="136"/>
      <c r="CD213" s="136"/>
      <c r="CE213" s="136">
        <v>3.22</v>
      </c>
      <c r="CF213" s="136"/>
      <c r="CG213" s="136"/>
      <c r="CH213" s="136"/>
      <c r="CI213" s="152"/>
      <c r="CJ213" s="152"/>
      <c r="CK213" s="152"/>
      <c r="CL213" s="152">
        <v>13.1</v>
      </c>
      <c r="CM213" s="152"/>
      <c r="CN213" s="152"/>
      <c r="CO213" s="152"/>
      <c r="CP213" s="152"/>
      <c r="CQ213" s="152"/>
      <c r="CR213" s="152"/>
      <c r="CS213" s="152"/>
      <c r="CT213" s="152"/>
      <c r="CU213" s="152">
        <v>14.09</v>
      </c>
      <c r="CV213" s="152">
        <v>36.25</v>
      </c>
      <c r="CW213" s="152"/>
      <c r="CX213" s="152">
        <v>11803.87</v>
      </c>
      <c r="CY213" s="152"/>
      <c r="CZ213" s="152">
        <v>36.479999999999997</v>
      </c>
      <c r="DA213" s="152"/>
      <c r="DB213" s="152"/>
      <c r="DC213" s="152"/>
      <c r="DD213" s="152"/>
      <c r="DE213" s="152"/>
      <c r="DF213" s="152"/>
      <c r="DG213" s="152">
        <v>2476.27</v>
      </c>
      <c r="DH213" s="152">
        <v>12000</v>
      </c>
      <c r="DI213" s="152"/>
      <c r="DJ213" s="136">
        <v>0</v>
      </c>
      <c r="DK213" s="136">
        <v>0</v>
      </c>
      <c r="DL213" s="136"/>
      <c r="DM213" s="136">
        <v>-34</v>
      </c>
      <c r="DN213" s="136"/>
      <c r="DO213" s="136">
        <v>-2.42</v>
      </c>
      <c r="DP213" s="136"/>
      <c r="DQ213" s="136"/>
      <c r="DR213" s="136"/>
      <c r="DS213" s="136"/>
      <c r="DT213" s="280" t="s">
        <v>441</v>
      </c>
      <c r="DU213" s="136"/>
      <c r="DW213" s="129">
        <f>SUM(_2025_01_07T12_47_export3[[#This Row],[Ni_wt]:[H_wt]])</f>
        <v>100.00000000000001</v>
      </c>
      <c r="DY213" s="130">
        <f>SUM($AM213:BJ213)</f>
        <v>99.999999999999957</v>
      </c>
    </row>
    <row r="214" spans="1:129" x14ac:dyDescent="0.25">
      <c r="A214" s="129" t="s">
        <v>442</v>
      </c>
      <c r="B214" s="129">
        <v>222</v>
      </c>
      <c r="C214" s="129" t="s">
        <v>223</v>
      </c>
      <c r="D214" s="129">
        <v>2011</v>
      </c>
      <c r="E214" s="129" t="s">
        <v>363</v>
      </c>
      <c r="F214" s="129" t="s">
        <v>443</v>
      </c>
      <c r="G214" s="129" t="s">
        <v>226</v>
      </c>
      <c r="H214" s="129">
        <v>0</v>
      </c>
      <c r="I214" s="129">
        <v>850</v>
      </c>
      <c r="J214" s="129">
        <v>500</v>
      </c>
      <c r="K214" s="129" t="s">
        <v>233</v>
      </c>
      <c r="L214" s="129" t="s">
        <v>251</v>
      </c>
      <c r="N214" s="129">
        <v>8900000</v>
      </c>
      <c r="O214" s="130">
        <v>99.4</v>
      </c>
      <c r="P214" s="130"/>
      <c r="Q214" s="130"/>
      <c r="R214" s="130">
        <v>0.05</v>
      </c>
      <c r="S214" s="130"/>
      <c r="T214" s="130">
        <v>0.02</v>
      </c>
      <c r="U214" s="130">
        <v>0.19</v>
      </c>
      <c r="V214" s="130"/>
      <c r="W214" s="130">
        <v>0.02</v>
      </c>
      <c r="X214" s="130">
        <v>0.09</v>
      </c>
      <c r="Y214" s="130">
        <v>0.02</v>
      </c>
      <c r="Z214" s="130">
        <v>0.01</v>
      </c>
      <c r="AA214" s="130"/>
      <c r="AB214" s="130"/>
      <c r="AC214" s="130"/>
      <c r="AD214" s="130"/>
      <c r="AE214" s="130"/>
      <c r="AF214" s="130"/>
      <c r="AG214" s="130"/>
      <c r="AH214" s="130"/>
      <c r="AI214" s="130"/>
      <c r="AJ214" s="130"/>
      <c r="AK214" s="130"/>
      <c r="AL214" s="130"/>
      <c r="AM214" s="130">
        <f t="shared" si="75"/>
        <v>99.405007211082889</v>
      </c>
      <c r="AN214" s="130">
        <f t="shared" si="76"/>
        <v>0</v>
      </c>
      <c r="AO214" s="130">
        <f t="shared" si="77"/>
        <v>0</v>
      </c>
      <c r="AP214" s="130">
        <f t="shared" si="78"/>
        <v>5.2545171415407883E-2</v>
      </c>
      <c r="AQ214" s="130">
        <f t="shared" si="79"/>
        <v>0</v>
      </c>
      <c r="AR214" s="130">
        <f t="shared" si="80"/>
        <v>1.9919550813171767E-2</v>
      </c>
      <c r="AS214" s="130">
        <f t="shared" si="81"/>
        <v>0.20297891753716812</v>
      </c>
      <c r="AT214" s="130">
        <f t="shared" si="82"/>
        <v>0</v>
      </c>
      <c r="AU214" s="130">
        <f t="shared" si="83"/>
        <v>2.4521811769797626E-2</v>
      </c>
      <c r="AV214" s="130">
        <f t="shared" si="84"/>
        <v>0.18805148032719665</v>
      </c>
      <c r="AW214" s="130">
        <f t="shared" si="85"/>
        <v>9.7740143998352388E-2</v>
      </c>
      <c r="AX214" s="130">
        <f t="shared" si="86"/>
        <v>9.2357130560205523E-3</v>
      </c>
      <c r="AY214" s="130">
        <f t="shared" si="87"/>
        <v>0</v>
      </c>
      <c r="AZ214" s="130">
        <f t="shared" si="88"/>
        <v>0</v>
      </c>
      <c r="BA214" s="130">
        <f t="shared" si="89"/>
        <v>0</v>
      </c>
      <c r="BB214" s="130">
        <f t="shared" si="90"/>
        <v>0</v>
      </c>
      <c r="BC214" s="130">
        <f t="shared" si="91"/>
        <v>0</v>
      </c>
      <c r="BD214" s="130">
        <f t="shared" si="92"/>
        <v>0</v>
      </c>
      <c r="BE214" s="130">
        <f t="shared" si="93"/>
        <v>0</v>
      </c>
      <c r="BF214" s="130">
        <f t="shared" si="94"/>
        <v>0</v>
      </c>
      <c r="BG214" s="130">
        <f t="shared" si="95"/>
        <v>0</v>
      </c>
      <c r="BH214" s="130">
        <f t="shared" si="96"/>
        <v>0</v>
      </c>
      <c r="BI214" s="130">
        <f t="shared" si="97"/>
        <v>0</v>
      </c>
      <c r="BJ214" s="130">
        <f t="shared" si="98"/>
        <v>0</v>
      </c>
      <c r="BK214" s="130">
        <f t="shared" si="99"/>
        <v>-116.51724624395071</v>
      </c>
      <c r="BL214" s="130">
        <f>IF($K214=$L214,$BK214,IF(OR($K214="graphite",$K214="vitreous carbon"),$BK$406+($BM$389+$I214)*$BJ$406,IF($K214="Pyrolytic Boron Nitride","PBN",IF(COUNTIF($BH$396:$BH$416,$K214)&gt;0,VLOOKUP($K214,$BH$396:$BK$416,4,FALSE)+($BM$389+$I214)*VLOOKUP($K214,$BH$396:$BK$416,3,FALSE),IF(COUNTIF($L$2:$L213,$K214)&gt;0,VLOOKUP($K214,$L$2:$BK213,52,FALSE),"idk")))))</f>
        <v>-60.821750226979574</v>
      </c>
      <c r="BM214" s="129">
        <v>32</v>
      </c>
      <c r="BN214" s="129">
        <v>13</v>
      </c>
      <c r="BO214" s="129">
        <v>1.5</v>
      </c>
      <c r="BP214" s="129" t="s">
        <v>245</v>
      </c>
      <c r="BQ214" s="129" t="s">
        <v>351</v>
      </c>
      <c r="BR214" s="129" t="s">
        <v>230</v>
      </c>
      <c r="BS214" s="129"/>
      <c r="BT214" s="129">
        <v>0</v>
      </c>
      <c r="BV214" s="129"/>
      <c r="BZ214" s="130"/>
      <c r="CA214" s="130"/>
      <c r="CB214" s="130"/>
      <c r="CI214" s="151"/>
      <c r="CJ214" s="151"/>
      <c r="CK214" s="151"/>
      <c r="CL214" s="151"/>
      <c r="CM214" s="151"/>
      <c r="CN214" s="151"/>
      <c r="CO214" s="151"/>
      <c r="CP214" s="151"/>
      <c r="CQ214" s="151"/>
      <c r="CR214" s="151"/>
      <c r="CS214" s="151"/>
      <c r="CT214" s="151"/>
      <c r="CU214" s="151"/>
      <c r="CV214" s="151"/>
      <c r="CW214" s="151"/>
      <c r="CX214" s="151"/>
      <c r="CY214" s="151"/>
      <c r="CZ214" s="151"/>
      <c r="DA214" s="151"/>
      <c r="DB214" s="151"/>
      <c r="DC214" s="151"/>
      <c r="DD214" s="151"/>
      <c r="DE214" s="151"/>
      <c r="DF214" s="151"/>
      <c r="DG214" s="151"/>
      <c r="DH214" s="151"/>
      <c r="DI214" s="151"/>
      <c r="DJ214" s="129">
        <v>0</v>
      </c>
      <c r="DK214" s="129">
        <v>0</v>
      </c>
      <c r="DL214" s="129"/>
      <c r="DO214" s="129">
        <v>-0.1</v>
      </c>
      <c r="DS214" s="129"/>
      <c r="DT214" s="4" t="s">
        <v>444</v>
      </c>
      <c r="DU214" s="129"/>
      <c r="DW214" s="129">
        <f>SUM(_2025_01_07T12_47_export3[[#This Row],[Ni_wt]:[H_wt]])</f>
        <v>99.8</v>
      </c>
      <c r="DY214" s="130">
        <f>SUM($AM214:BJ214)</f>
        <v>100</v>
      </c>
    </row>
    <row r="215" spans="1:129" x14ac:dyDescent="0.25">
      <c r="A215" s="129" t="s">
        <v>445</v>
      </c>
      <c r="B215" s="129">
        <v>223</v>
      </c>
      <c r="C215" s="129" t="s">
        <v>223</v>
      </c>
      <c r="D215" s="129">
        <v>2011</v>
      </c>
      <c r="E215" s="129" t="s">
        <v>363</v>
      </c>
      <c r="F215" s="129" t="s">
        <v>443</v>
      </c>
      <c r="G215" s="129" t="s">
        <v>226</v>
      </c>
      <c r="H215" s="129">
        <v>0</v>
      </c>
      <c r="I215" s="129">
        <v>850</v>
      </c>
      <c r="J215" s="129">
        <v>500</v>
      </c>
      <c r="K215" s="129" t="s">
        <v>233</v>
      </c>
      <c r="L215" s="129" t="s">
        <v>250</v>
      </c>
      <c r="N215" s="129">
        <v>7940000</v>
      </c>
      <c r="O215" s="130">
        <v>31.59</v>
      </c>
      <c r="P215" s="130">
        <v>20.420000000000002</v>
      </c>
      <c r="Q215" s="130"/>
      <c r="R215" s="130">
        <v>45.26</v>
      </c>
      <c r="S215" s="130"/>
      <c r="T215" s="130"/>
      <c r="U215" s="130">
        <v>0.76</v>
      </c>
      <c r="V215" s="130">
        <v>0.5</v>
      </c>
      <c r="W215" s="130">
        <v>0.56999999999999995</v>
      </c>
      <c r="X215" s="130">
        <v>0.13</v>
      </c>
      <c r="Y215" s="130">
        <v>7.0000000000000007E-2</v>
      </c>
      <c r="Z215" s="130">
        <v>0.42</v>
      </c>
      <c r="AA215" s="130"/>
      <c r="AB215" s="130"/>
      <c r="AC215" s="130">
        <v>0.01</v>
      </c>
      <c r="AD215" s="130"/>
      <c r="AE215" s="130"/>
      <c r="AF215" s="130"/>
      <c r="AG215" s="130"/>
      <c r="AH215" s="130"/>
      <c r="AI215" s="130"/>
      <c r="AJ215" s="130"/>
      <c r="AK215" s="130"/>
      <c r="AL215" s="130"/>
      <c r="AM215" s="130">
        <f t="shared" si="75"/>
        <v>29.853286811557286</v>
      </c>
      <c r="AN215" s="130">
        <f t="shared" si="76"/>
        <v>21.780057959342944</v>
      </c>
      <c r="AO215" s="130">
        <f t="shared" si="77"/>
        <v>0</v>
      </c>
      <c r="AP215" s="130">
        <f t="shared" si="78"/>
        <v>44.946720488780194</v>
      </c>
      <c r="AQ215" s="130">
        <f t="shared" si="79"/>
        <v>0</v>
      </c>
      <c r="AR215" s="130">
        <f t="shared" si="80"/>
        <v>0</v>
      </c>
      <c r="AS215" s="130">
        <f t="shared" si="81"/>
        <v>0.76724059632432517</v>
      </c>
      <c r="AT215" s="130">
        <f t="shared" si="82"/>
        <v>1.0278617290112175</v>
      </c>
      <c r="AU215" s="130">
        <f t="shared" si="83"/>
        <v>0.66041672804561968</v>
      </c>
      <c r="AV215" s="130">
        <f t="shared" si="84"/>
        <v>0.25668367592267316</v>
      </c>
      <c r="AW215" s="130">
        <f t="shared" si="85"/>
        <v>0.32326722088436061</v>
      </c>
      <c r="AX215" s="130">
        <f t="shared" si="86"/>
        <v>0.36655603362591699</v>
      </c>
      <c r="AY215" s="130">
        <f t="shared" si="87"/>
        <v>0</v>
      </c>
      <c r="AZ215" s="130">
        <f t="shared" si="88"/>
        <v>0</v>
      </c>
      <c r="BA215" s="130">
        <f t="shared" si="89"/>
        <v>1.7908756505471524E-2</v>
      </c>
      <c r="BB215" s="130">
        <f t="shared" si="90"/>
        <v>0</v>
      </c>
      <c r="BC215" s="130">
        <f t="shared" si="91"/>
        <v>0</v>
      </c>
      <c r="BD215" s="130">
        <f t="shared" si="92"/>
        <v>0</v>
      </c>
      <c r="BE215" s="130">
        <f t="shared" si="93"/>
        <v>0</v>
      </c>
      <c r="BF215" s="130">
        <f t="shared" si="94"/>
        <v>0</v>
      </c>
      <c r="BG215" s="130">
        <f t="shared" si="95"/>
        <v>0</v>
      </c>
      <c r="BH215" s="130">
        <f t="shared" si="96"/>
        <v>0</v>
      </c>
      <c r="BI215" s="130">
        <f t="shared" si="97"/>
        <v>0</v>
      </c>
      <c r="BJ215" s="130">
        <f t="shared" si="98"/>
        <v>0</v>
      </c>
      <c r="BK215" s="130">
        <f t="shared" si="99"/>
        <v>-130.21999024067256</v>
      </c>
      <c r="BL215" s="130">
        <f>IF($K215=$L215,$BK215,IF(OR($K215="graphite",$K215="vitreous carbon"),$BK$406+($BM$389+$I215)*$BJ$406,IF($K215="Pyrolytic Boron Nitride","PBN",IF(COUNTIF($BH$396:$BH$416,$K215)&gt;0,VLOOKUP($K215,$BH$396:$BK$416,4,FALSE)+($BM$389+$I215)*VLOOKUP($K215,$BH$396:$BK$416,3,FALSE),IF(COUNTIF($L$2:$L214,$K215)&gt;0,VLOOKUP($K215,$L$2:$BK214,52,FALSE),"idk")))))</f>
        <v>-60.821750226979574</v>
      </c>
      <c r="BM215" s="129">
        <v>32</v>
      </c>
      <c r="BN215" s="129">
        <v>13</v>
      </c>
      <c r="BO215" s="129">
        <v>1.5</v>
      </c>
      <c r="BP215" s="129" t="s">
        <v>245</v>
      </c>
      <c r="BQ215" s="129" t="s">
        <v>351</v>
      </c>
      <c r="BR215" s="129" t="s">
        <v>230</v>
      </c>
      <c r="BS215" s="129"/>
      <c r="BT215" s="129">
        <v>0</v>
      </c>
      <c r="BV215" s="129"/>
      <c r="BZ215" s="130"/>
      <c r="CA215" s="130"/>
      <c r="CB215" s="130"/>
      <c r="CI215" s="151"/>
      <c r="CJ215" s="151"/>
      <c r="CK215" s="151"/>
      <c r="CL215" s="151"/>
      <c r="CM215" s="151"/>
      <c r="CN215" s="151"/>
      <c r="CO215" s="151"/>
      <c r="CP215" s="151"/>
      <c r="CQ215" s="151"/>
      <c r="CR215" s="151"/>
      <c r="CS215" s="151"/>
      <c r="CT215" s="151"/>
      <c r="CU215" s="151"/>
      <c r="CV215" s="151"/>
      <c r="CW215" s="151"/>
      <c r="CX215" s="151"/>
      <c r="CY215" s="151"/>
      <c r="CZ215" s="151"/>
      <c r="DA215" s="151"/>
      <c r="DB215" s="151"/>
      <c r="DC215" s="151"/>
      <c r="DD215" s="151"/>
      <c r="DE215" s="151"/>
      <c r="DF215" s="151"/>
      <c r="DG215" s="151"/>
      <c r="DH215" s="151"/>
      <c r="DI215" s="151"/>
      <c r="DJ215" s="129">
        <v>0</v>
      </c>
      <c r="DK215" s="129">
        <v>0</v>
      </c>
      <c r="DL215" s="129"/>
      <c r="DO215" s="129">
        <v>-28.6</v>
      </c>
      <c r="DS215" s="129"/>
      <c r="DU215" s="129"/>
      <c r="DW215" s="129">
        <f>SUM(_2025_01_07T12_47_export3[[#This Row],[Ni_wt]:[H_wt]])</f>
        <v>99.73</v>
      </c>
      <c r="DY215" s="130">
        <f>SUM($AM215:BJ215)</f>
        <v>100.00000000000001</v>
      </c>
    </row>
    <row r="216" spans="1:129" ht="16.5" thickBot="1" x14ac:dyDescent="0.3">
      <c r="A216" s="136" t="s">
        <v>446</v>
      </c>
      <c r="B216" s="136">
        <v>224</v>
      </c>
      <c r="C216" s="136" t="s">
        <v>223</v>
      </c>
      <c r="D216" s="136">
        <v>2011</v>
      </c>
      <c r="E216" s="136" t="s">
        <v>363</v>
      </c>
      <c r="F216" s="136" t="s">
        <v>443</v>
      </c>
      <c r="G216" s="136" t="s">
        <v>226</v>
      </c>
      <c r="H216" s="136">
        <v>0</v>
      </c>
      <c r="I216" s="136">
        <v>850</v>
      </c>
      <c r="J216" s="136">
        <v>500</v>
      </c>
      <c r="K216" s="136" t="s">
        <v>233</v>
      </c>
      <c r="L216" s="136" t="s">
        <v>447</v>
      </c>
      <c r="M216" s="136" t="s">
        <v>48</v>
      </c>
      <c r="N216" s="136">
        <v>7940000</v>
      </c>
      <c r="O216" s="137">
        <v>31.59</v>
      </c>
      <c r="P216" s="137">
        <v>20.420000000000002</v>
      </c>
      <c r="Q216" s="137"/>
      <c r="R216" s="137">
        <v>45.26</v>
      </c>
      <c r="S216" s="137"/>
      <c r="T216" s="137"/>
      <c r="U216" s="137">
        <v>0.76</v>
      </c>
      <c r="V216" s="137">
        <v>0.5</v>
      </c>
      <c r="W216" s="137">
        <v>0.56999999999999995</v>
      </c>
      <c r="X216" s="137">
        <v>0.13</v>
      </c>
      <c r="Y216" s="137">
        <v>7.0000000000000007E-2</v>
      </c>
      <c r="Z216" s="137">
        <v>0.42</v>
      </c>
      <c r="AA216" s="137"/>
      <c r="AB216" s="137"/>
      <c r="AC216" s="137">
        <v>0.01</v>
      </c>
      <c r="AD216" s="137"/>
      <c r="AE216" s="137"/>
      <c r="AF216" s="137"/>
      <c r="AG216" s="137"/>
      <c r="AH216" s="137"/>
      <c r="AI216" s="137"/>
      <c r="AJ216" s="137"/>
      <c r="AK216" s="137"/>
      <c r="AL216" s="137"/>
      <c r="AM216" s="137">
        <f t="shared" si="75"/>
        <v>29.853286811557286</v>
      </c>
      <c r="AN216" s="137">
        <f t="shared" si="76"/>
        <v>21.780057959342944</v>
      </c>
      <c r="AO216" s="137">
        <f t="shared" si="77"/>
        <v>0</v>
      </c>
      <c r="AP216" s="137">
        <f t="shared" si="78"/>
        <v>44.946720488780194</v>
      </c>
      <c r="AQ216" s="137">
        <f t="shared" si="79"/>
        <v>0</v>
      </c>
      <c r="AR216" s="137">
        <f t="shared" si="80"/>
        <v>0</v>
      </c>
      <c r="AS216" s="137">
        <f t="shared" si="81"/>
        <v>0.76724059632432517</v>
      </c>
      <c r="AT216" s="137">
        <f t="shared" si="82"/>
        <v>1.0278617290112175</v>
      </c>
      <c r="AU216" s="137">
        <f t="shared" si="83"/>
        <v>0.66041672804561968</v>
      </c>
      <c r="AV216" s="137">
        <f t="shared" si="84"/>
        <v>0.25668367592267316</v>
      </c>
      <c r="AW216" s="137">
        <f t="shared" si="85"/>
        <v>0.32326722088436061</v>
      </c>
      <c r="AX216" s="137">
        <f t="shared" si="86"/>
        <v>0.36655603362591699</v>
      </c>
      <c r="AY216" s="137">
        <f t="shared" si="87"/>
        <v>0</v>
      </c>
      <c r="AZ216" s="137">
        <f t="shared" si="88"/>
        <v>0</v>
      </c>
      <c r="BA216" s="137">
        <f t="shared" si="89"/>
        <v>1.7908756505471524E-2</v>
      </c>
      <c r="BB216" s="137">
        <f t="shared" si="90"/>
        <v>0</v>
      </c>
      <c r="BC216" s="137">
        <f t="shared" si="91"/>
        <v>0</v>
      </c>
      <c r="BD216" s="137">
        <f t="shared" si="92"/>
        <v>0</v>
      </c>
      <c r="BE216" s="137">
        <f t="shared" si="93"/>
        <v>0</v>
      </c>
      <c r="BF216" s="137">
        <f t="shared" si="94"/>
        <v>0</v>
      </c>
      <c r="BG216" s="137">
        <f t="shared" si="95"/>
        <v>0</v>
      </c>
      <c r="BH216" s="137">
        <f t="shared" si="96"/>
        <v>0</v>
      </c>
      <c r="BI216" s="137">
        <f t="shared" si="97"/>
        <v>0</v>
      </c>
      <c r="BJ216" s="137">
        <f t="shared" si="98"/>
        <v>0</v>
      </c>
      <c r="BK216" s="137">
        <f t="shared" si="99"/>
        <v>-130.21999024067256</v>
      </c>
      <c r="BL216" s="137">
        <f>IF($K216=$L216,$BK216,IF(OR($K216="graphite",$K216="vitreous carbon"),$BK$406+($BM$389+$I216)*$BJ$406,IF($K216="Pyrolytic Boron Nitride","PBN",IF(COUNTIF($BH$396:$BH$416,$K216)&gt;0,VLOOKUP($K216,$BH$396:$BK$416,4,FALSE)+($BM$389+$I216)*VLOOKUP($K216,$BH$396:$BK$416,3,FALSE),IF(COUNTIF($L$2:$L215,$K216)&gt;0,VLOOKUP($K216,$L$2:$BK215,52,FALSE),"idk")))))</f>
        <v>-60.821750226979574</v>
      </c>
      <c r="BM216" s="136">
        <v>32</v>
      </c>
      <c r="BN216" s="136">
        <v>13</v>
      </c>
      <c r="BO216" s="136">
        <v>1.5</v>
      </c>
      <c r="BP216" s="136" t="s">
        <v>245</v>
      </c>
      <c r="BQ216" s="136" t="s">
        <v>351</v>
      </c>
      <c r="BR216" s="136" t="s">
        <v>230</v>
      </c>
      <c r="BS216" s="136"/>
      <c r="BT216" s="136">
        <v>0</v>
      </c>
      <c r="BU216" s="136"/>
      <c r="BV216" s="136"/>
      <c r="BW216" s="136"/>
      <c r="BX216" s="136"/>
      <c r="BY216" s="136"/>
      <c r="BZ216" s="137"/>
      <c r="CA216" s="137"/>
      <c r="CB216" s="137"/>
      <c r="CC216" s="136"/>
      <c r="CD216" s="136"/>
      <c r="CE216" s="136"/>
      <c r="CF216" s="136"/>
      <c r="CG216" s="136"/>
      <c r="CH216" s="136"/>
      <c r="CI216" s="152"/>
      <c r="CJ216" s="152"/>
      <c r="CK216" s="152"/>
      <c r="CL216" s="152"/>
      <c r="CM216" s="152"/>
      <c r="CN216" s="152"/>
      <c r="CO216" s="152"/>
      <c r="CP216" s="152"/>
      <c r="CQ216" s="152"/>
      <c r="CR216" s="152"/>
      <c r="CS216" s="152"/>
      <c r="CT216" s="152"/>
      <c r="CU216" s="152"/>
      <c r="CV216" s="152"/>
      <c r="CW216" s="152"/>
      <c r="CX216" s="152"/>
      <c r="CY216" s="152"/>
      <c r="CZ216" s="152"/>
      <c r="DA216" s="152"/>
      <c r="DB216" s="152"/>
      <c r="DC216" s="152"/>
      <c r="DD216" s="152"/>
      <c r="DE216" s="152"/>
      <c r="DF216" s="152"/>
      <c r="DG216" s="152"/>
      <c r="DH216" s="152"/>
      <c r="DI216" s="152"/>
      <c r="DJ216" s="136">
        <v>0</v>
      </c>
      <c r="DK216" s="136">
        <v>0</v>
      </c>
      <c r="DL216" s="136"/>
      <c r="DM216" s="136"/>
      <c r="DN216" s="136"/>
      <c r="DO216" s="136">
        <v>-1.7</v>
      </c>
      <c r="DP216" s="136"/>
      <c r="DQ216" s="136"/>
      <c r="DR216" s="136"/>
      <c r="DS216" s="136"/>
      <c r="DT216" s="136"/>
      <c r="DU216" s="136"/>
      <c r="DW216" s="129">
        <f>SUM(_2025_01_07T12_47_export3[[#This Row],[Ni_wt]:[H_wt]])</f>
        <v>99.73</v>
      </c>
      <c r="DY216" s="130">
        <f>SUM($AM216:BJ216)</f>
        <v>100.00000000000001</v>
      </c>
    </row>
    <row r="217" spans="1:129" x14ac:dyDescent="0.25">
      <c r="A217" s="129" t="s">
        <v>448</v>
      </c>
      <c r="B217" s="129">
        <v>225</v>
      </c>
      <c r="C217" s="129" t="s">
        <v>449</v>
      </c>
      <c r="D217" s="129">
        <v>2023</v>
      </c>
      <c r="E217" s="129" t="s">
        <v>450</v>
      </c>
      <c r="F217" s="129" t="s">
        <v>451</v>
      </c>
      <c r="G217" s="129" t="s">
        <v>226</v>
      </c>
      <c r="H217" s="129">
        <v>0</v>
      </c>
      <c r="I217" s="129">
        <v>600</v>
      </c>
      <c r="J217" s="129">
        <v>48</v>
      </c>
      <c r="K217" s="129" t="s">
        <v>48</v>
      </c>
      <c r="L217" s="129" t="s">
        <v>409</v>
      </c>
      <c r="N217" s="129">
        <v>7930000</v>
      </c>
      <c r="O217" s="130">
        <v>8</v>
      </c>
      <c r="P217" s="130">
        <v>18</v>
      </c>
      <c r="Q217" s="130"/>
      <c r="R217" s="130">
        <f>100-SUM(_2025_01_07T12_47_export3[[#This Row],[Ni_wt]:[Mo_wt]],_2025_01_07T12_47_export3[[#This Row],[W_wt]:[H_wt]])</f>
        <v>70.844999999999999</v>
      </c>
      <c r="S217" s="130"/>
      <c r="T217" s="130"/>
      <c r="U217" s="130">
        <v>2</v>
      </c>
      <c r="V217" s="130"/>
      <c r="W217" s="130"/>
      <c r="X217" s="130">
        <v>1</v>
      </c>
      <c r="Y217" s="130">
        <v>0.08</v>
      </c>
      <c r="Z217" s="130"/>
      <c r="AA217" s="130"/>
      <c r="AB217" s="130"/>
      <c r="AC217" s="130">
        <v>4.4999999999999998E-2</v>
      </c>
      <c r="AD217" s="130">
        <v>0.03</v>
      </c>
      <c r="AE217" s="130"/>
      <c r="AF217" s="130"/>
      <c r="AG217" s="130"/>
      <c r="AH217" s="130"/>
      <c r="AI217" s="130"/>
      <c r="AJ217" s="130"/>
      <c r="AK217" s="130"/>
      <c r="AL217" s="130"/>
      <c r="AM217" s="130">
        <f t="shared" si="75"/>
        <v>7.4404581350516272</v>
      </c>
      <c r="AN217" s="130">
        <f t="shared" si="76"/>
        <v>18.894828805363559</v>
      </c>
      <c r="AO217" s="130">
        <f t="shared" si="77"/>
        <v>0</v>
      </c>
      <c r="AP217" s="130">
        <f t="shared" si="78"/>
        <v>69.240441290391942</v>
      </c>
      <c r="AQ217" s="130">
        <f t="shared" si="79"/>
        <v>0</v>
      </c>
      <c r="AR217" s="130">
        <f t="shared" si="80"/>
        <v>0</v>
      </c>
      <c r="AS217" s="130">
        <f t="shared" si="81"/>
        <v>1.9870790314260103</v>
      </c>
      <c r="AT217" s="130">
        <f t="shared" si="82"/>
        <v>0</v>
      </c>
      <c r="AU217" s="130">
        <f t="shared" si="83"/>
        <v>0</v>
      </c>
      <c r="AV217" s="130">
        <f t="shared" si="84"/>
        <v>1.9432203984789072</v>
      </c>
      <c r="AW217" s="130">
        <f t="shared" si="85"/>
        <v>0.36359740878116575</v>
      </c>
      <c r="AX217" s="130">
        <f t="shared" si="86"/>
        <v>0</v>
      </c>
      <c r="AY217" s="130">
        <f t="shared" si="87"/>
        <v>0</v>
      </c>
      <c r="AZ217" s="130">
        <f t="shared" si="88"/>
        <v>0</v>
      </c>
      <c r="BA217" s="130">
        <f t="shared" si="89"/>
        <v>7.9313133506530908E-2</v>
      </c>
      <c r="BB217" s="130">
        <f t="shared" si="90"/>
        <v>5.1061797000254913E-2</v>
      </c>
      <c r="BC217" s="130">
        <f t="shared" si="91"/>
        <v>0</v>
      </c>
      <c r="BD217" s="130">
        <f t="shared" si="92"/>
        <v>0</v>
      </c>
      <c r="BE217" s="130">
        <f t="shared" si="93"/>
        <v>0</v>
      </c>
      <c r="BF217" s="130">
        <f t="shared" si="94"/>
        <v>0</v>
      </c>
      <c r="BG217" s="130">
        <f t="shared" si="95"/>
        <v>0</v>
      </c>
      <c r="BH217" s="130">
        <f t="shared" si="96"/>
        <v>0</v>
      </c>
      <c r="BI217" s="130">
        <f t="shared" si="97"/>
        <v>0</v>
      </c>
      <c r="BJ217" s="130">
        <f t="shared" si="98"/>
        <v>0</v>
      </c>
      <c r="BK217" s="130">
        <f t="shared" si="99"/>
        <v>-141.56327052462905</v>
      </c>
      <c r="BL217" s="130">
        <f>IF($K217=$L217,$BK217,IF(OR($K217="graphite",$K217="vitreous carbon"),$BK$406+($BM$389+$I217)*$BJ$406,IF($K217="Pyrolytic Boron Nitride","PBN",IF(COUNTIF($BH$396:$BH$416,$K217)&gt;0,VLOOKUP($K217,$BH$396:$BK$416,4,FALSE)+($BM$389+$I217)*VLOOKUP($K217,$BH$396:$BK$416,3,FALSE),IF(COUNTIF($L$2:$L216,$K217)&gt;0,VLOOKUP($K217,$L$2:$BK216,52,FALSE),"idk")))))</f>
        <v>-125.32307267842094</v>
      </c>
      <c r="BM217" s="129">
        <v>10</v>
      </c>
      <c r="BN217" s="129">
        <v>5</v>
      </c>
      <c r="BO217" s="129">
        <v>2</v>
      </c>
      <c r="BP217" s="129" t="s">
        <v>245</v>
      </c>
      <c r="BQ217" s="129" t="s">
        <v>246</v>
      </c>
      <c r="BR217" s="129" t="s">
        <v>247</v>
      </c>
      <c r="BS217" s="129"/>
      <c r="BT217" s="129">
        <v>0</v>
      </c>
      <c r="BV217" s="129"/>
      <c r="BZ217" s="130"/>
      <c r="CA217" s="130"/>
      <c r="CB217" s="130"/>
      <c r="CI217" s="151"/>
      <c r="CJ217" s="151"/>
      <c r="CK217" s="151"/>
      <c r="CL217" s="151"/>
      <c r="CM217" s="151"/>
      <c r="CN217" s="151">
        <v>0</v>
      </c>
      <c r="CO217" s="151"/>
      <c r="CP217" s="151"/>
      <c r="CQ217" s="151"/>
      <c r="CR217" s="151"/>
      <c r="CS217" s="151"/>
      <c r="CT217" s="151"/>
      <c r="CU217" s="151"/>
      <c r="CV217" s="151"/>
      <c r="CW217" s="151"/>
      <c r="CX217" s="151"/>
      <c r="CY217" s="151"/>
      <c r="CZ217" s="151"/>
      <c r="DA217" s="151"/>
      <c r="DB217" s="151"/>
      <c r="DC217" s="151"/>
      <c r="DD217" s="151"/>
      <c r="DE217" s="151"/>
      <c r="DF217" s="151"/>
      <c r="DG217" s="151"/>
      <c r="DH217" s="151"/>
      <c r="DI217" s="151"/>
      <c r="DJ217" s="129">
        <v>0</v>
      </c>
      <c r="DK217" s="129">
        <v>0</v>
      </c>
      <c r="DL217" s="129"/>
      <c r="DM217" s="129">
        <v>-70.900000000000006</v>
      </c>
      <c r="DS217" s="129"/>
      <c r="DT217" s="132" t="s">
        <v>453</v>
      </c>
      <c r="DU217" s="129" t="s">
        <v>452</v>
      </c>
      <c r="DW217" s="129">
        <f>SUM(_2025_01_07T12_47_export3[[#This Row],[Ni_wt]:[H_wt]])</f>
        <v>100</v>
      </c>
      <c r="DY217" s="130">
        <f>SUM($AM217:BJ217)</f>
        <v>100</v>
      </c>
    </row>
    <row r="218" spans="1:129" x14ac:dyDescent="0.25">
      <c r="A218" s="129" t="s">
        <v>448</v>
      </c>
      <c r="B218" s="129">
        <v>226</v>
      </c>
      <c r="C218" s="129" t="s">
        <v>449</v>
      </c>
      <c r="D218" s="129">
        <v>2023</v>
      </c>
      <c r="E218" s="129" t="s">
        <v>450</v>
      </c>
      <c r="F218" s="129" t="s">
        <v>451</v>
      </c>
      <c r="G218" s="129" t="s">
        <v>226</v>
      </c>
      <c r="H218" s="129">
        <v>0</v>
      </c>
      <c r="I218" s="129">
        <v>600</v>
      </c>
      <c r="J218" s="129">
        <v>48</v>
      </c>
      <c r="K218" s="129" t="s">
        <v>48</v>
      </c>
      <c r="L218" s="129" t="s">
        <v>409</v>
      </c>
      <c r="N218" s="129">
        <v>7930000</v>
      </c>
      <c r="O218" s="130">
        <v>8</v>
      </c>
      <c r="P218" s="130">
        <v>18</v>
      </c>
      <c r="Q218" s="130"/>
      <c r="R218" s="130">
        <f>100-SUM(_2025_01_07T12_47_export3[[#This Row],[Ni_wt]:[Mo_wt]],_2025_01_07T12_47_export3[[#This Row],[W_wt]:[H_wt]])</f>
        <v>70.844999999999999</v>
      </c>
      <c r="S218" s="130"/>
      <c r="T218" s="130"/>
      <c r="U218" s="130">
        <v>2</v>
      </c>
      <c r="V218" s="130"/>
      <c r="W218" s="130"/>
      <c r="X218" s="130">
        <v>1</v>
      </c>
      <c r="Y218" s="130">
        <v>0.08</v>
      </c>
      <c r="Z218" s="130"/>
      <c r="AA218" s="130"/>
      <c r="AB218" s="130"/>
      <c r="AC218" s="130">
        <v>4.4999999999999998E-2</v>
      </c>
      <c r="AD218" s="130">
        <v>0.03</v>
      </c>
      <c r="AE218" s="130"/>
      <c r="AF218" s="130"/>
      <c r="AG218" s="130"/>
      <c r="AH218" s="130"/>
      <c r="AI218" s="130"/>
      <c r="AJ218" s="130"/>
      <c r="AK218" s="130"/>
      <c r="AL218" s="130"/>
      <c r="AM218" s="130">
        <f t="shared" si="75"/>
        <v>7.4404581350516272</v>
      </c>
      <c r="AN218" s="130">
        <f t="shared" si="76"/>
        <v>18.894828805363559</v>
      </c>
      <c r="AO218" s="130">
        <f t="shared" si="77"/>
        <v>0</v>
      </c>
      <c r="AP218" s="130">
        <f t="shared" si="78"/>
        <v>69.240441290391942</v>
      </c>
      <c r="AQ218" s="130">
        <f t="shared" si="79"/>
        <v>0</v>
      </c>
      <c r="AR218" s="130">
        <f t="shared" si="80"/>
        <v>0</v>
      </c>
      <c r="AS218" s="130">
        <f t="shared" si="81"/>
        <v>1.9870790314260103</v>
      </c>
      <c r="AT218" s="130">
        <f t="shared" si="82"/>
        <v>0</v>
      </c>
      <c r="AU218" s="130">
        <f t="shared" si="83"/>
        <v>0</v>
      </c>
      <c r="AV218" s="130">
        <f t="shared" si="84"/>
        <v>1.9432203984789072</v>
      </c>
      <c r="AW218" s="130">
        <f t="shared" si="85"/>
        <v>0.36359740878116575</v>
      </c>
      <c r="AX218" s="130">
        <f t="shared" si="86"/>
        <v>0</v>
      </c>
      <c r="AY218" s="130">
        <f t="shared" si="87"/>
        <v>0</v>
      </c>
      <c r="AZ218" s="130">
        <f t="shared" si="88"/>
        <v>0</v>
      </c>
      <c r="BA218" s="130">
        <f t="shared" si="89"/>
        <v>7.9313133506530908E-2</v>
      </c>
      <c r="BB218" s="130">
        <f t="shared" si="90"/>
        <v>5.1061797000254913E-2</v>
      </c>
      <c r="BC218" s="130">
        <f t="shared" si="91"/>
        <v>0</v>
      </c>
      <c r="BD218" s="130">
        <f t="shared" si="92"/>
        <v>0</v>
      </c>
      <c r="BE218" s="130">
        <f t="shared" si="93"/>
        <v>0</v>
      </c>
      <c r="BF218" s="130">
        <f t="shared" si="94"/>
        <v>0</v>
      </c>
      <c r="BG218" s="130">
        <f t="shared" si="95"/>
        <v>0</v>
      </c>
      <c r="BH218" s="130">
        <f t="shared" si="96"/>
        <v>0</v>
      </c>
      <c r="BI218" s="130">
        <f t="shared" si="97"/>
        <v>0</v>
      </c>
      <c r="BJ218" s="130">
        <f t="shared" si="98"/>
        <v>0</v>
      </c>
      <c r="BK218" s="130">
        <f t="shared" si="99"/>
        <v>-141.56327052462905</v>
      </c>
      <c r="BL218" s="130">
        <f>IF($K218=$L218,$BK218,IF(OR($K218="graphite",$K218="vitreous carbon"),$BK$406+($BM$389+$I218)*$BJ$406,IF($K218="Pyrolytic Boron Nitride","PBN",IF(COUNTIF($BH$396:$BH$416,$K218)&gt;0,VLOOKUP($K218,$BH$396:$BK$416,4,FALSE)+($BM$389+$I218)*VLOOKUP($K218,$BH$396:$BK$416,3,FALSE),IF(COUNTIF($L$2:$L217,$K218)&gt;0,VLOOKUP($K218,$L$2:$BK217,52,FALSE),"idk")))))</f>
        <v>-125.32307267842094</v>
      </c>
      <c r="BM218" s="129">
        <v>10</v>
      </c>
      <c r="BN218" s="129">
        <v>5</v>
      </c>
      <c r="BO218" s="129">
        <v>2</v>
      </c>
      <c r="BP218" s="129" t="s">
        <v>245</v>
      </c>
      <c r="BQ218" s="129" t="s">
        <v>246</v>
      </c>
      <c r="BR218" s="129" t="s">
        <v>247</v>
      </c>
      <c r="BS218" s="129"/>
      <c r="BT218" s="129">
        <v>0</v>
      </c>
      <c r="BV218" s="129"/>
      <c r="BZ218" s="130"/>
      <c r="CA218" s="130"/>
      <c r="CB218" s="130"/>
      <c r="CI218" s="151"/>
      <c r="CJ218" s="151"/>
      <c r="CK218" s="151"/>
      <c r="CL218" s="151"/>
      <c r="CM218" s="151"/>
      <c r="CN218" s="151">
        <v>1000</v>
      </c>
      <c r="CO218" s="151"/>
      <c r="CP218" s="151"/>
      <c r="CQ218" s="151"/>
      <c r="CR218" s="151"/>
      <c r="CS218" s="151"/>
      <c r="CT218" s="151"/>
      <c r="CU218" s="151"/>
      <c r="CV218" s="151"/>
      <c r="CW218" s="151"/>
      <c r="CX218" s="151"/>
      <c r="CY218" s="151"/>
      <c r="CZ218" s="151"/>
      <c r="DA218" s="151"/>
      <c r="DB218" s="151"/>
      <c r="DC218" s="151"/>
      <c r="DD218" s="151"/>
      <c r="DE218" s="151"/>
      <c r="DF218" s="151"/>
      <c r="DG218" s="151"/>
      <c r="DH218" s="151"/>
      <c r="DI218" s="151"/>
      <c r="DJ218" s="129">
        <v>0</v>
      </c>
      <c r="DK218" s="129">
        <v>0</v>
      </c>
      <c r="DL218" s="129"/>
      <c r="DM218" s="129">
        <v>-189.7</v>
      </c>
      <c r="DS218" s="129"/>
      <c r="DU218" s="129" t="s">
        <v>452</v>
      </c>
      <c r="DW218" s="129">
        <f>SUM(_2025_01_07T12_47_export3[[#This Row],[Ni_wt]:[H_wt]])</f>
        <v>100</v>
      </c>
      <c r="DY218" s="130">
        <f>SUM($AM218:BJ218)</f>
        <v>100</v>
      </c>
    </row>
    <row r="219" spans="1:129" x14ac:dyDescent="0.25">
      <c r="A219" s="129" t="s">
        <v>448</v>
      </c>
      <c r="B219" s="129">
        <v>227</v>
      </c>
      <c r="C219" s="129" t="s">
        <v>449</v>
      </c>
      <c r="D219" s="129">
        <v>2023</v>
      </c>
      <c r="E219" s="129" t="s">
        <v>450</v>
      </c>
      <c r="F219" s="129" t="s">
        <v>451</v>
      </c>
      <c r="G219" s="129" t="s">
        <v>226</v>
      </c>
      <c r="H219" s="129">
        <v>0</v>
      </c>
      <c r="I219" s="129">
        <v>600</v>
      </c>
      <c r="J219" s="129">
        <v>48</v>
      </c>
      <c r="K219" s="129" t="s">
        <v>48</v>
      </c>
      <c r="L219" s="129" t="s">
        <v>409</v>
      </c>
      <c r="N219" s="129">
        <v>7930000</v>
      </c>
      <c r="O219" s="130">
        <v>8</v>
      </c>
      <c r="P219" s="130">
        <v>18</v>
      </c>
      <c r="Q219" s="130"/>
      <c r="R219" s="130">
        <f>100-SUM(_2025_01_07T12_47_export3[[#This Row],[Ni_wt]:[Mo_wt]],_2025_01_07T12_47_export3[[#This Row],[W_wt]:[H_wt]])</f>
        <v>70.844999999999999</v>
      </c>
      <c r="S219" s="130"/>
      <c r="T219" s="130"/>
      <c r="U219" s="130">
        <v>2</v>
      </c>
      <c r="V219" s="130"/>
      <c r="W219" s="130"/>
      <c r="X219" s="130">
        <v>1</v>
      </c>
      <c r="Y219" s="130">
        <v>0.08</v>
      </c>
      <c r="Z219" s="130"/>
      <c r="AA219" s="130"/>
      <c r="AB219" s="130"/>
      <c r="AC219" s="130">
        <v>4.4999999999999998E-2</v>
      </c>
      <c r="AD219" s="130">
        <v>0.03</v>
      </c>
      <c r="AE219" s="130"/>
      <c r="AF219" s="130"/>
      <c r="AG219" s="130"/>
      <c r="AH219" s="130"/>
      <c r="AI219" s="130"/>
      <c r="AJ219" s="130"/>
      <c r="AK219" s="130"/>
      <c r="AL219" s="130"/>
      <c r="AM219" s="130">
        <f t="shared" si="75"/>
        <v>7.4404581350516272</v>
      </c>
      <c r="AN219" s="130">
        <f t="shared" si="76"/>
        <v>18.894828805363559</v>
      </c>
      <c r="AO219" s="130">
        <f t="shared" si="77"/>
        <v>0</v>
      </c>
      <c r="AP219" s="130">
        <f t="shared" si="78"/>
        <v>69.240441290391942</v>
      </c>
      <c r="AQ219" s="130">
        <f t="shared" si="79"/>
        <v>0</v>
      </c>
      <c r="AR219" s="130">
        <f t="shared" si="80"/>
        <v>0</v>
      </c>
      <c r="AS219" s="130">
        <f t="shared" si="81"/>
        <v>1.9870790314260103</v>
      </c>
      <c r="AT219" s="130">
        <f t="shared" si="82"/>
        <v>0</v>
      </c>
      <c r="AU219" s="130">
        <f t="shared" si="83"/>
        <v>0</v>
      </c>
      <c r="AV219" s="130">
        <f t="shared" si="84"/>
        <v>1.9432203984789072</v>
      </c>
      <c r="AW219" s="130">
        <f t="shared" si="85"/>
        <v>0.36359740878116575</v>
      </c>
      <c r="AX219" s="130">
        <f t="shared" si="86"/>
        <v>0</v>
      </c>
      <c r="AY219" s="130">
        <f t="shared" si="87"/>
        <v>0</v>
      </c>
      <c r="AZ219" s="130">
        <f t="shared" si="88"/>
        <v>0</v>
      </c>
      <c r="BA219" s="130">
        <f t="shared" si="89"/>
        <v>7.9313133506530908E-2</v>
      </c>
      <c r="BB219" s="130">
        <f t="shared" si="90"/>
        <v>5.1061797000254913E-2</v>
      </c>
      <c r="BC219" s="130">
        <f t="shared" si="91"/>
        <v>0</v>
      </c>
      <c r="BD219" s="130">
        <f t="shared" si="92"/>
        <v>0</v>
      </c>
      <c r="BE219" s="130">
        <f t="shared" si="93"/>
        <v>0</v>
      </c>
      <c r="BF219" s="130">
        <f t="shared" si="94"/>
        <v>0</v>
      </c>
      <c r="BG219" s="130">
        <f t="shared" si="95"/>
        <v>0</v>
      </c>
      <c r="BH219" s="130">
        <f t="shared" si="96"/>
        <v>0</v>
      </c>
      <c r="BI219" s="130">
        <f t="shared" si="97"/>
        <v>0</v>
      </c>
      <c r="BJ219" s="130">
        <f t="shared" si="98"/>
        <v>0</v>
      </c>
      <c r="BK219" s="130">
        <f t="shared" si="99"/>
        <v>-141.56327052462905</v>
      </c>
      <c r="BL219" s="130">
        <f>IF($K219=$L219,$BK219,IF(OR($K219="graphite",$K219="vitreous carbon"),$BK$406+($BM$389+$I219)*$BJ$406,IF($K219="Pyrolytic Boron Nitride","PBN",IF(COUNTIF($BH$396:$BH$416,$K219)&gt;0,VLOOKUP($K219,$BH$396:$BK$416,4,FALSE)+($BM$389+$I219)*VLOOKUP($K219,$BH$396:$BK$416,3,FALSE),IF(COUNTIF($L$2:$L218,$K219)&gt;0,VLOOKUP($K219,$L$2:$BK218,52,FALSE),"idk")))))</f>
        <v>-125.32307267842094</v>
      </c>
      <c r="BM219" s="129">
        <v>10</v>
      </c>
      <c r="BN219" s="129">
        <v>5</v>
      </c>
      <c r="BO219" s="129">
        <v>2</v>
      </c>
      <c r="BP219" s="129" t="s">
        <v>245</v>
      </c>
      <c r="BQ219" s="129" t="s">
        <v>246</v>
      </c>
      <c r="BR219" s="129" t="s">
        <v>247</v>
      </c>
      <c r="BS219" s="129"/>
      <c r="BT219" s="129">
        <v>0</v>
      </c>
      <c r="BV219" s="129"/>
      <c r="BZ219" s="130"/>
      <c r="CA219" s="130"/>
      <c r="CB219" s="130"/>
      <c r="CI219" s="151"/>
      <c r="CJ219" s="151"/>
      <c r="CK219" s="151"/>
      <c r="CL219" s="151"/>
      <c r="CM219" s="151"/>
      <c r="CN219" s="151">
        <v>5000</v>
      </c>
      <c r="CO219" s="151"/>
      <c r="CP219" s="151"/>
      <c r="CQ219" s="151"/>
      <c r="CR219" s="151"/>
      <c r="CS219" s="151"/>
      <c r="CT219" s="151"/>
      <c r="CU219" s="151"/>
      <c r="CV219" s="151"/>
      <c r="CW219" s="151"/>
      <c r="CX219" s="151"/>
      <c r="CY219" s="151"/>
      <c r="CZ219" s="151"/>
      <c r="DA219" s="151"/>
      <c r="DB219" s="151"/>
      <c r="DC219" s="151"/>
      <c r="DD219" s="151"/>
      <c r="DE219" s="151"/>
      <c r="DF219" s="151"/>
      <c r="DG219" s="151"/>
      <c r="DH219" s="151"/>
      <c r="DI219" s="151"/>
      <c r="DJ219" s="129">
        <v>0</v>
      </c>
      <c r="DK219" s="129">
        <v>0</v>
      </c>
      <c r="DL219" s="129"/>
      <c r="DM219" s="129">
        <v>-89.4</v>
      </c>
      <c r="DS219" s="129"/>
      <c r="DU219" s="129" t="s">
        <v>452</v>
      </c>
      <c r="DW219" s="129">
        <f>SUM(_2025_01_07T12_47_export3[[#This Row],[Ni_wt]:[H_wt]])</f>
        <v>100</v>
      </c>
      <c r="DY219" s="130">
        <f>SUM($AM219:BJ219)</f>
        <v>100</v>
      </c>
    </row>
    <row r="220" spans="1:129" ht="16.5" thickBot="1" x14ac:dyDescent="0.3">
      <c r="A220" s="136" t="s">
        <v>448</v>
      </c>
      <c r="B220" s="136">
        <v>228</v>
      </c>
      <c r="C220" s="136" t="s">
        <v>449</v>
      </c>
      <c r="D220" s="136">
        <v>2023</v>
      </c>
      <c r="E220" s="136" t="s">
        <v>450</v>
      </c>
      <c r="F220" s="136" t="s">
        <v>451</v>
      </c>
      <c r="G220" s="136" t="s">
        <v>226</v>
      </c>
      <c r="H220" s="136">
        <v>0</v>
      </c>
      <c r="I220" s="136">
        <v>600</v>
      </c>
      <c r="J220" s="136">
        <v>48</v>
      </c>
      <c r="K220" s="136" t="s">
        <v>48</v>
      </c>
      <c r="L220" s="136" t="s">
        <v>409</v>
      </c>
      <c r="M220" s="136"/>
      <c r="N220" s="136">
        <v>7930000</v>
      </c>
      <c r="O220" s="137">
        <v>8</v>
      </c>
      <c r="P220" s="137">
        <v>18</v>
      </c>
      <c r="Q220" s="137"/>
      <c r="R220" s="137">
        <f>100-SUM(_2025_01_07T12_47_export3[[#This Row],[Ni_wt]:[Mo_wt]],_2025_01_07T12_47_export3[[#This Row],[W_wt]:[H_wt]])</f>
        <v>70.844999999999999</v>
      </c>
      <c r="S220" s="137"/>
      <c r="T220" s="137"/>
      <c r="U220" s="137">
        <v>2</v>
      </c>
      <c r="V220" s="137"/>
      <c r="W220" s="137"/>
      <c r="X220" s="137">
        <v>1</v>
      </c>
      <c r="Y220" s="137">
        <v>0.08</v>
      </c>
      <c r="Z220" s="137"/>
      <c r="AA220" s="137"/>
      <c r="AB220" s="137"/>
      <c r="AC220" s="137">
        <v>4.4999999999999998E-2</v>
      </c>
      <c r="AD220" s="137">
        <v>0.03</v>
      </c>
      <c r="AE220" s="137"/>
      <c r="AF220" s="137"/>
      <c r="AG220" s="137"/>
      <c r="AH220" s="137"/>
      <c r="AI220" s="137"/>
      <c r="AJ220" s="137"/>
      <c r="AK220" s="137"/>
      <c r="AL220" s="137"/>
      <c r="AM220" s="137">
        <f t="shared" si="75"/>
        <v>7.4404581350516272</v>
      </c>
      <c r="AN220" s="137">
        <f t="shared" si="76"/>
        <v>18.894828805363559</v>
      </c>
      <c r="AO220" s="137">
        <f t="shared" si="77"/>
        <v>0</v>
      </c>
      <c r="AP220" s="137">
        <f t="shared" si="78"/>
        <v>69.240441290391942</v>
      </c>
      <c r="AQ220" s="137">
        <f t="shared" si="79"/>
        <v>0</v>
      </c>
      <c r="AR220" s="137">
        <f t="shared" si="80"/>
        <v>0</v>
      </c>
      <c r="AS220" s="137">
        <f t="shared" si="81"/>
        <v>1.9870790314260103</v>
      </c>
      <c r="AT220" s="137">
        <f t="shared" si="82"/>
        <v>0</v>
      </c>
      <c r="AU220" s="137">
        <f t="shared" si="83"/>
        <v>0</v>
      </c>
      <c r="AV220" s="137">
        <f t="shared" si="84"/>
        <v>1.9432203984789072</v>
      </c>
      <c r="AW220" s="137">
        <f t="shared" si="85"/>
        <v>0.36359740878116575</v>
      </c>
      <c r="AX220" s="137">
        <f t="shared" si="86"/>
        <v>0</v>
      </c>
      <c r="AY220" s="137">
        <f t="shared" si="87"/>
        <v>0</v>
      </c>
      <c r="AZ220" s="137">
        <f t="shared" si="88"/>
        <v>0</v>
      </c>
      <c r="BA220" s="137">
        <f t="shared" si="89"/>
        <v>7.9313133506530908E-2</v>
      </c>
      <c r="BB220" s="137">
        <f t="shared" si="90"/>
        <v>5.1061797000254913E-2</v>
      </c>
      <c r="BC220" s="137">
        <f t="shared" si="91"/>
        <v>0</v>
      </c>
      <c r="BD220" s="137">
        <f t="shared" si="92"/>
        <v>0</v>
      </c>
      <c r="BE220" s="137">
        <f t="shared" si="93"/>
        <v>0</v>
      </c>
      <c r="BF220" s="137">
        <f t="shared" si="94"/>
        <v>0</v>
      </c>
      <c r="BG220" s="137">
        <f t="shared" si="95"/>
        <v>0</v>
      </c>
      <c r="BH220" s="137">
        <f t="shared" si="96"/>
        <v>0</v>
      </c>
      <c r="BI220" s="137">
        <f t="shared" si="97"/>
        <v>0</v>
      </c>
      <c r="BJ220" s="137">
        <f t="shared" si="98"/>
        <v>0</v>
      </c>
      <c r="BK220" s="137">
        <f t="shared" si="99"/>
        <v>-141.56327052462905</v>
      </c>
      <c r="BL220" s="137">
        <f>IF($K220=$L220,$BK220,IF(OR($K220="graphite",$K220="vitreous carbon"),$BK$406+($BM$389+$I220)*$BJ$406,IF($K220="Pyrolytic Boron Nitride","PBN",IF(COUNTIF($BH$396:$BH$416,$K220)&gt;0,VLOOKUP($K220,$BH$396:$BK$416,4,FALSE)+($BM$389+$I220)*VLOOKUP($K220,$BH$396:$BK$416,3,FALSE),IF(COUNTIF($L$2:$L219,$K220)&gt;0,VLOOKUP($K220,$L$2:$BK219,52,FALSE),"idk")))))</f>
        <v>-125.32307267842094</v>
      </c>
      <c r="BM220" s="136">
        <v>10</v>
      </c>
      <c r="BN220" s="136">
        <v>5</v>
      </c>
      <c r="BO220" s="136">
        <v>2</v>
      </c>
      <c r="BP220" s="136" t="s">
        <v>245</v>
      </c>
      <c r="BQ220" s="136" t="s">
        <v>246</v>
      </c>
      <c r="BR220" s="136" t="s">
        <v>247</v>
      </c>
      <c r="BS220" s="136"/>
      <c r="BT220" s="136">
        <v>0</v>
      </c>
      <c r="BU220" s="136"/>
      <c r="BV220" s="136"/>
      <c r="BW220" s="136"/>
      <c r="BX220" s="136"/>
      <c r="BY220" s="136"/>
      <c r="BZ220" s="137"/>
      <c r="CA220" s="137"/>
      <c r="CB220" s="137"/>
      <c r="CC220" s="136"/>
      <c r="CD220" s="136"/>
      <c r="CE220" s="136"/>
      <c r="CF220" s="136"/>
      <c r="CG220" s="136"/>
      <c r="CH220" s="136"/>
      <c r="CI220" s="152"/>
      <c r="CJ220" s="152"/>
      <c r="CK220" s="152"/>
      <c r="CL220" s="152"/>
      <c r="CM220" s="152"/>
      <c r="CN220" s="152">
        <v>10000</v>
      </c>
      <c r="CO220" s="152"/>
      <c r="CP220" s="152"/>
      <c r="CQ220" s="152"/>
      <c r="CR220" s="152"/>
      <c r="CS220" s="152"/>
      <c r="CT220" s="152"/>
      <c r="CU220" s="152"/>
      <c r="CV220" s="152"/>
      <c r="CW220" s="152"/>
      <c r="CX220" s="152"/>
      <c r="CY220" s="152"/>
      <c r="CZ220" s="152"/>
      <c r="DA220" s="152"/>
      <c r="DB220" s="152"/>
      <c r="DC220" s="152"/>
      <c r="DD220" s="152"/>
      <c r="DE220" s="152"/>
      <c r="DF220" s="152"/>
      <c r="DG220" s="152"/>
      <c r="DH220" s="152"/>
      <c r="DI220" s="152"/>
      <c r="DJ220" s="136">
        <v>0</v>
      </c>
      <c r="DK220" s="136">
        <v>0</v>
      </c>
      <c r="DL220" s="136"/>
      <c r="DM220" s="136">
        <v>-32</v>
      </c>
      <c r="DN220" s="136"/>
      <c r="DO220" s="136"/>
      <c r="DP220" s="136"/>
      <c r="DQ220" s="136"/>
      <c r="DR220" s="136"/>
      <c r="DS220" s="136"/>
      <c r="DT220" s="136"/>
      <c r="DU220" s="136" t="s">
        <v>452</v>
      </c>
      <c r="DW220" s="129">
        <f>SUM(_2025_01_07T12_47_export3[[#This Row],[Ni_wt]:[H_wt]])</f>
        <v>100</v>
      </c>
      <c r="DY220" s="130">
        <f>SUM($AM220:BJ220)</f>
        <v>100</v>
      </c>
    </row>
    <row r="221" spans="1:129" x14ac:dyDescent="0.25">
      <c r="A221" s="129" t="s">
        <v>454</v>
      </c>
      <c r="B221" s="129">
        <v>229</v>
      </c>
      <c r="C221" s="129" t="s">
        <v>455</v>
      </c>
      <c r="D221" s="129">
        <v>2021</v>
      </c>
      <c r="E221" s="129" t="s">
        <v>456</v>
      </c>
      <c r="F221" s="129" t="s">
        <v>457</v>
      </c>
      <c r="G221" s="129" t="s">
        <v>226</v>
      </c>
      <c r="H221" s="129">
        <v>0</v>
      </c>
      <c r="I221" s="129">
        <v>750</v>
      </c>
      <c r="J221" s="129">
        <v>300</v>
      </c>
      <c r="K221" s="129" t="s">
        <v>269</v>
      </c>
      <c r="L221" s="129" t="s">
        <v>458</v>
      </c>
      <c r="N221" s="129">
        <v>8300000</v>
      </c>
      <c r="O221" s="130">
        <f>100-SUM(_2025_01_07T12_47_export3[[#This Row],[Cr_wt]:[H_wt]])</f>
        <v>77.55</v>
      </c>
      <c r="P221" s="130">
        <v>20</v>
      </c>
      <c r="Q221" s="130"/>
      <c r="R221" s="130">
        <v>1</v>
      </c>
      <c r="S221" s="130"/>
      <c r="T221" s="130"/>
      <c r="U221" s="130"/>
      <c r="V221" s="130">
        <v>0.3</v>
      </c>
      <c r="W221" s="130">
        <v>0.5</v>
      </c>
      <c r="X221" s="130"/>
      <c r="Y221" s="130">
        <v>0.05</v>
      </c>
      <c r="Z221" s="130"/>
      <c r="AA221" s="130"/>
      <c r="AB221" s="130"/>
      <c r="AC221" s="130"/>
      <c r="AD221" s="130"/>
      <c r="AE221" s="130"/>
      <c r="AF221" s="130"/>
      <c r="AG221" s="130"/>
      <c r="AH221" s="130"/>
      <c r="AI221" s="130"/>
      <c r="AJ221" s="130"/>
      <c r="AK221" s="130">
        <v>0.6</v>
      </c>
      <c r="AL221" s="130"/>
      <c r="AM221" s="130">
        <f t="shared" si="75"/>
        <v>75.232874245137765</v>
      </c>
      <c r="AN221" s="130">
        <f t="shared" si="76"/>
        <v>21.898613249254257</v>
      </c>
      <c r="AO221" s="130">
        <f t="shared" si="77"/>
        <v>0</v>
      </c>
      <c r="AP221" s="130">
        <f t="shared" si="78"/>
        <v>1.0194520044415587</v>
      </c>
      <c r="AQ221" s="130">
        <f t="shared" si="79"/>
        <v>0</v>
      </c>
      <c r="AR221" s="130">
        <f t="shared" si="80"/>
        <v>0</v>
      </c>
      <c r="AS221" s="130">
        <f t="shared" si="81"/>
        <v>0</v>
      </c>
      <c r="AT221" s="130">
        <f t="shared" si="82"/>
        <v>0.63309556465597905</v>
      </c>
      <c r="AU221" s="130">
        <f t="shared" si="83"/>
        <v>0.59469808280824166</v>
      </c>
      <c r="AV221" s="130">
        <f t="shared" si="84"/>
        <v>0</v>
      </c>
      <c r="AW221" s="130">
        <f t="shared" si="85"/>
        <v>0.23703744566220261</v>
      </c>
      <c r="AX221" s="130">
        <f t="shared" si="86"/>
        <v>0</v>
      </c>
      <c r="AY221" s="130">
        <f t="shared" si="87"/>
        <v>0</v>
      </c>
      <c r="AZ221" s="130">
        <f t="shared" si="88"/>
        <v>0</v>
      </c>
      <c r="BA221" s="130">
        <f t="shared" si="89"/>
        <v>0</v>
      </c>
      <c r="BB221" s="130">
        <f t="shared" si="90"/>
        <v>0</v>
      </c>
      <c r="BC221" s="130">
        <f t="shared" si="91"/>
        <v>0</v>
      </c>
      <c r="BD221" s="130">
        <f t="shared" si="92"/>
        <v>0</v>
      </c>
      <c r="BE221" s="130">
        <f t="shared" si="93"/>
        <v>0</v>
      </c>
      <c r="BF221" s="130">
        <f t="shared" si="94"/>
        <v>0</v>
      </c>
      <c r="BG221" s="130">
        <f t="shared" si="95"/>
        <v>0</v>
      </c>
      <c r="BH221" s="130">
        <f t="shared" si="96"/>
        <v>0</v>
      </c>
      <c r="BI221" s="130">
        <f t="shared" si="97"/>
        <v>0.38422940804000261</v>
      </c>
      <c r="BJ221" s="130">
        <f t="shared" si="98"/>
        <v>0</v>
      </c>
      <c r="BK221" s="130">
        <f t="shared" si="99"/>
        <v>-127.14831531311583</v>
      </c>
      <c r="BL221" s="130">
        <f>IF($K221=$L221,$BK221,IF(OR($K221="graphite",$K221="vitreous carbon"),$BK$406+($BM$389+$I221)*$BJ$406,IF($K221="Pyrolytic Boron Nitride","PBN",IF(COUNTIF($BH$396:$BH$416,$K221)&gt;0,VLOOKUP($K221,$BH$396:$BK$416,4,FALSE)+($BM$389+$I221)*VLOOKUP($K221,$BH$396:$BK$416,3,FALSE),IF(COUNTIF($L$2:$L220,$K221)&gt;0,VLOOKUP($K221,$L$2:$BK220,52,FALSE),"idk")))))</f>
        <v>-62.627031133800095</v>
      </c>
      <c r="BM221" s="129">
        <v>10</v>
      </c>
      <c r="BN221" s="129">
        <v>10</v>
      </c>
      <c r="BO221" s="129">
        <v>1</v>
      </c>
      <c r="BP221" s="129" t="s">
        <v>245</v>
      </c>
      <c r="BQ221" s="129" t="s">
        <v>299</v>
      </c>
      <c r="BR221" s="129" t="s">
        <v>247</v>
      </c>
      <c r="BS221" s="129"/>
      <c r="BT221" s="129">
        <v>0</v>
      </c>
      <c r="BU221" s="129">
        <v>21.1</v>
      </c>
      <c r="BV221" s="129"/>
      <c r="BX221" s="129">
        <v>152</v>
      </c>
      <c r="BY221" s="129">
        <v>61.4</v>
      </c>
      <c r="BZ221" s="130">
        <v>32.200000000000003</v>
      </c>
      <c r="CA221" s="130">
        <v>5.88</v>
      </c>
      <c r="CB221" s="130">
        <v>2.96</v>
      </c>
      <c r="CC221" s="129">
        <v>4.42</v>
      </c>
      <c r="CD221" s="129">
        <v>3.2</v>
      </c>
      <c r="CE221" s="129">
        <v>4.42</v>
      </c>
      <c r="CF221" s="129">
        <v>5.88</v>
      </c>
      <c r="CI221" s="151"/>
      <c r="CJ221" s="151"/>
      <c r="CK221" s="151">
        <v>17.600000000000001</v>
      </c>
      <c r="CL221" s="151"/>
      <c r="CM221" s="151"/>
      <c r="CN221" s="151"/>
      <c r="CO221" s="151"/>
      <c r="CP221" s="151"/>
      <c r="CQ221" s="151"/>
      <c r="CR221" s="151"/>
      <c r="CS221" s="151"/>
      <c r="CT221" s="151"/>
      <c r="CU221" s="151"/>
      <c r="CV221" s="151"/>
      <c r="CW221" s="151"/>
      <c r="CX221" s="151"/>
      <c r="CY221" s="151"/>
      <c r="CZ221" s="151"/>
      <c r="DA221" s="151"/>
      <c r="DB221" s="151"/>
      <c r="DC221" s="151"/>
      <c r="DD221" s="151"/>
      <c r="DE221" s="151"/>
      <c r="DF221" s="151"/>
      <c r="DG221" s="151"/>
      <c r="DH221" s="151"/>
      <c r="DI221" s="151"/>
      <c r="DJ221" s="129">
        <v>0</v>
      </c>
      <c r="DK221" s="129">
        <v>0</v>
      </c>
      <c r="DL221" s="129"/>
      <c r="DO221" s="129">
        <v>-4.8</v>
      </c>
      <c r="DS221" s="129"/>
      <c r="DT221" s="132" t="s">
        <v>460</v>
      </c>
      <c r="DU221" s="129" t="s">
        <v>459</v>
      </c>
      <c r="DW221" s="129">
        <f>SUM(_2025_01_07T12_47_export3[[#This Row],[Ni_wt]:[H_wt]])</f>
        <v>99.999999999999986</v>
      </c>
      <c r="DY221" s="130">
        <f>SUM($AM221:BJ221)</f>
        <v>99.999999999999986</v>
      </c>
    </row>
    <row r="222" spans="1:129" x14ac:dyDescent="0.25">
      <c r="A222" s="129" t="s">
        <v>461</v>
      </c>
      <c r="B222" s="129">
        <v>230</v>
      </c>
      <c r="C222" s="129" t="s">
        <v>455</v>
      </c>
      <c r="D222" s="129">
        <v>2021</v>
      </c>
      <c r="E222" s="129" t="s">
        <v>456</v>
      </c>
      <c r="F222" s="129" t="s">
        <v>457</v>
      </c>
      <c r="G222" s="129" t="s">
        <v>226</v>
      </c>
      <c r="H222" s="129">
        <v>0</v>
      </c>
      <c r="I222" s="129">
        <v>750</v>
      </c>
      <c r="J222" s="129">
        <v>300</v>
      </c>
      <c r="K222" s="129" t="s">
        <v>269</v>
      </c>
      <c r="L222" s="129" t="s">
        <v>298</v>
      </c>
      <c r="N222" s="129">
        <v>8860000</v>
      </c>
      <c r="O222" s="130">
        <f>100-SUM(_2025_01_07T12_47_export3[[#This Row],[Cr_wt]:[H_wt]])</f>
        <v>69.27</v>
      </c>
      <c r="P222" s="130">
        <v>7</v>
      </c>
      <c r="Q222" s="130">
        <v>16</v>
      </c>
      <c r="R222" s="130">
        <v>4</v>
      </c>
      <c r="S222" s="130">
        <v>0.5</v>
      </c>
      <c r="T222" s="130">
        <v>0.02</v>
      </c>
      <c r="U222" s="130">
        <v>0.8</v>
      </c>
      <c r="V222" s="130">
        <v>0.25</v>
      </c>
      <c r="W222" s="130">
        <v>0.25</v>
      </c>
      <c r="X222" s="130">
        <v>1</v>
      </c>
      <c r="Y222" s="130">
        <v>0.06</v>
      </c>
      <c r="Z222" s="130">
        <v>0.35</v>
      </c>
      <c r="AA222" s="130"/>
      <c r="AB222" s="130">
        <v>0.5</v>
      </c>
      <c r="AC222" s="130"/>
      <c r="AD222" s="130"/>
      <c r="AE222" s="130"/>
      <c r="AF222" s="130"/>
      <c r="AG222" s="130"/>
      <c r="AH222" s="130"/>
      <c r="AI222" s="130"/>
      <c r="AJ222" s="130"/>
      <c r="AK222" s="130"/>
      <c r="AL222" s="130"/>
      <c r="AM222" s="130">
        <f t="shared" si="75"/>
        <v>71.911970583722621</v>
      </c>
      <c r="AN222" s="130">
        <f t="shared" si="76"/>
        <v>8.2019063849681739</v>
      </c>
      <c r="AO222" s="130">
        <f t="shared" si="77"/>
        <v>10.158974144425537</v>
      </c>
      <c r="AP222" s="130">
        <f t="shared" si="78"/>
        <v>4.3637204964148362</v>
      </c>
      <c r="AQ222" s="130">
        <f t="shared" si="79"/>
        <v>0.16574659257669244</v>
      </c>
      <c r="AR222" s="130">
        <f t="shared" si="80"/>
        <v>2.0678244504052999E-2</v>
      </c>
      <c r="AS222" s="130">
        <f t="shared" si="81"/>
        <v>0.88719981698132011</v>
      </c>
      <c r="AT222" s="130">
        <f t="shared" si="82"/>
        <v>0.5645704913935522</v>
      </c>
      <c r="AU222" s="130">
        <f t="shared" si="83"/>
        <v>0.31819744846037262</v>
      </c>
      <c r="AV222" s="130">
        <f t="shared" si="84"/>
        <v>2.1690440523742311</v>
      </c>
      <c r="AW222" s="130">
        <f t="shared" si="85"/>
        <v>0.30438858000595581</v>
      </c>
      <c r="AX222" s="130">
        <f t="shared" si="86"/>
        <v>0.33556186626148315</v>
      </c>
      <c r="AY222" s="130">
        <f t="shared" si="87"/>
        <v>0</v>
      </c>
      <c r="AZ222" s="130">
        <f t="shared" si="88"/>
        <v>0.59804129791119121</v>
      </c>
      <c r="BA222" s="130">
        <f t="shared" si="89"/>
        <v>0</v>
      </c>
      <c r="BB222" s="130">
        <f t="shared" si="90"/>
        <v>0</v>
      </c>
      <c r="BC222" s="130">
        <f t="shared" si="91"/>
        <v>0</v>
      </c>
      <c r="BD222" s="130">
        <f t="shared" si="92"/>
        <v>0</v>
      </c>
      <c r="BE222" s="130">
        <f t="shared" si="93"/>
        <v>0</v>
      </c>
      <c r="BF222" s="130">
        <f t="shared" si="94"/>
        <v>0</v>
      </c>
      <c r="BG222" s="130">
        <f t="shared" si="95"/>
        <v>0</v>
      </c>
      <c r="BH222" s="130">
        <f t="shared" si="96"/>
        <v>0</v>
      </c>
      <c r="BI222" s="130">
        <f t="shared" si="97"/>
        <v>0</v>
      </c>
      <c r="BJ222" s="130">
        <f t="shared" si="98"/>
        <v>0</v>
      </c>
      <c r="BK222" s="130">
        <f t="shared" si="99"/>
        <v>-124.04680995429123</v>
      </c>
      <c r="BL222" s="130">
        <f>IF($K222=$L222,$BK222,IF(OR($K222="graphite",$K222="vitreous carbon"),$BK$406+($BM$389+$I222)*$BJ$406,IF($K222="Pyrolytic Boron Nitride","PBN",IF(COUNTIF($BH$396:$BH$416,$K222)&gt;0,VLOOKUP($K222,$BH$396:$BK$416,4,FALSE)+($BM$389+$I222)*VLOOKUP($K222,$BH$396:$BK$416,3,FALSE),IF(COUNTIF($L$2:$L221,$K222)&gt;0,VLOOKUP($K222,$L$2:$BK221,52,FALSE),"idk")))))</f>
        <v>-62.627031133800095</v>
      </c>
      <c r="BM222" s="129">
        <v>10</v>
      </c>
      <c r="BN222" s="129">
        <v>10</v>
      </c>
      <c r="BO222" s="129">
        <v>1</v>
      </c>
      <c r="BP222" s="129" t="s">
        <v>245</v>
      </c>
      <c r="BQ222" s="129" t="s">
        <v>299</v>
      </c>
      <c r="BR222" s="129" t="s">
        <v>247</v>
      </c>
      <c r="BS222" s="129"/>
      <c r="BT222" s="129">
        <v>0</v>
      </c>
      <c r="BU222" s="129">
        <v>21.1</v>
      </c>
      <c r="BV222" s="129"/>
      <c r="BX222" s="129">
        <v>152</v>
      </c>
      <c r="BY222" s="129">
        <v>61.4</v>
      </c>
      <c r="BZ222" s="130">
        <v>32.200000000000003</v>
      </c>
      <c r="CA222" s="130">
        <v>5.88</v>
      </c>
      <c r="CB222" s="130">
        <v>2.96</v>
      </c>
      <c r="CC222" s="129">
        <v>4.42</v>
      </c>
      <c r="CD222" s="129">
        <v>3.2</v>
      </c>
      <c r="CE222" s="129">
        <v>4.42</v>
      </c>
      <c r="CF222" s="129">
        <v>5.88</v>
      </c>
      <c r="CI222" s="151"/>
      <c r="CJ222" s="151"/>
      <c r="CK222" s="151">
        <v>17.600000000000001</v>
      </c>
      <c r="CL222" s="151"/>
      <c r="CM222" s="151"/>
      <c r="CN222" s="151"/>
      <c r="CO222" s="151"/>
      <c r="CP222" s="151"/>
      <c r="CQ222" s="151"/>
      <c r="CR222" s="151"/>
      <c r="CS222" s="151"/>
      <c r="CT222" s="151"/>
      <c r="CU222" s="151"/>
      <c r="CV222" s="151"/>
      <c r="CW222" s="151"/>
      <c r="CX222" s="151"/>
      <c r="CY222" s="151"/>
      <c r="CZ222" s="151"/>
      <c r="DA222" s="151"/>
      <c r="DB222" s="151"/>
      <c r="DC222" s="151"/>
      <c r="DD222" s="151"/>
      <c r="DE222" s="151"/>
      <c r="DF222" s="151"/>
      <c r="DG222" s="151"/>
      <c r="DH222" s="151"/>
      <c r="DI222" s="151"/>
      <c r="DJ222" s="129">
        <v>0</v>
      </c>
      <c r="DK222" s="129">
        <v>0</v>
      </c>
      <c r="DL222" s="129"/>
      <c r="DO222" s="129">
        <v>-2.5499999999999998</v>
      </c>
      <c r="DS222" s="129"/>
      <c r="DU222" s="129" t="s">
        <v>459</v>
      </c>
      <c r="DW222" s="129">
        <f>SUM(_2025_01_07T12_47_export3[[#This Row],[Ni_wt]:[H_wt]])</f>
        <v>99.999999999999986</v>
      </c>
      <c r="DY222" s="130">
        <f>SUM($AM222:BJ222)</f>
        <v>100.00000000000004</v>
      </c>
    </row>
    <row r="223" spans="1:129" ht="16.5" thickBot="1" x14ac:dyDescent="0.3">
      <c r="A223" s="136" t="s">
        <v>462</v>
      </c>
      <c r="B223" s="136">
        <v>231</v>
      </c>
      <c r="C223" s="136" t="s">
        <v>455</v>
      </c>
      <c r="D223" s="136">
        <v>2021</v>
      </c>
      <c r="E223" s="136" t="s">
        <v>456</v>
      </c>
      <c r="F223" s="136" t="s">
        <v>457</v>
      </c>
      <c r="G223" s="136" t="s">
        <v>226</v>
      </c>
      <c r="H223" s="136">
        <v>0</v>
      </c>
      <c r="I223" s="136">
        <v>750</v>
      </c>
      <c r="J223" s="136">
        <v>300</v>
      </c>
      <c r="K223" s="136" t="s">
        <v>269</v>
      </c>
      <c r="L223" s="136" t="s">
        <v>239</v>
      </c>
      <c r="M223" s="136"/>
      <c r="N223" s="136">
        <v>8860000</v>
      </c>
      <c r="O223" s="137">
        <f>100-SUM(_2025_01_07T12_47_export3[[#This Row],[Cr_wt]:[H_wt]])</f>
        <v>68.87</v>
      </c>
      <c r="P223" s="137">
        <v>7.4</v>
      </c>
      <c r="Q223" s="137">
        <v>16.5</v>
      </c>
      <c r="R223" s="137">
        <v>3.5</v>
      </c>
      <c r="S223" s="137">
        <v>0.5</v>
      </c>
      <c r="T223" s="137">
        <v>0.02</v>
      </c>
      <c r="U223" s="137">
        <v>0.8</v>
      </c>
      <c r="V223" s="137">
        <v>0.25</v>
      </c>
      <c r="W223" s="137">
        <v>0.25</v>
      </c>
      <c r="X223" s="137">
        <v>1</v>
      </c>
      <c r="Y223" s="137">
        <v>0.06</v>
      </c>
      <c r="Z223" s="137">
        <v>0.35</v>
      </c>
      <c r="AA223" s="137"/>
      <c r="AB223" s="137">
        <v>0.5</v>
      </c>
      <c r="AC223" s="137"/>
      <c r="AD223" s="137"/>
      <c r="AE223" s="137"/>
      <c r="AF223" s="137"/>
      <c r="AG223" s="137"/>
      <c r="AH223" s="137"/>
      <c r="AI223" s="137"/>
      <c r="AJ223" s="137"/>
      <c r="AK223" s="137"/>
      <c r="AL223" s="137"/>
      <c r="AM223" s="137">
        <f t="shared" si="75"/>
        <v>71.621746619157307</v>
      </c>
      <c r="AN223" s="137">
        <f t="shared" si="76"/>
        <v>8.6857497088102793</v>
      </c>
      <c r="AO223" s="137">
        <f t="shared" si="77"/>
        <v>10.494763091264408</v>
      </c>
      <c r="AP223" s="137">
        <f t="shared" si="78"/>
        <v>3.8249327276330694</v>
      </c>
      <c r="AQ223" s="137">
        <f t="shared" si="79"/>
        <v>0.16603644709957008</v>
      </c>
      <c r="AR223" s="137">
        <f t="shared" si="80"/>
        <v>2.0714406229018149E-2</v>
      </c>
      <c r="AS223" s="137">
        <f t="shared" si="81"/>
        <v>0.88875133533020712</v>
      </c>
      <c r="AT223" s="137">
        <f t="shared" si="82"/>
        <v>0.565557801647535</v>
      </c>
      <c r="AU223" s="137">
        <f t="shared" si="83"/>
        <v>0.31875390617193422</v>
      </c>
      <c r="AV223" s="137">
        <f t="shared" si="84"/>
        <v>2.1728372358064068</v>
      </c>
      <c r="AW223" s="137">
        <f t="shared" si="85"/>
        <v>0.30492088902815306</v>
      </c>
      <c r="AX223" s="137">
        <f t="shared" si="86"/>
        <v>0.33614869054021546</v>
      </c>
      <c r="AY223" s="137">
        <f t="shared" si="87"/>
        <v>0</v>
      </c>
      <c r="AZ223" s="137">
        <f t="shared" si="88"/>
        <v>0.59908714128191976</v>
      </c>
      <c r="BA223" s="137">
        <f t="shared" si="89"/>
        <v>0</v>
      </c>
      <c r="BB223" s="137">
        <f t="shared" si="90"/>
        <v>0</v>
      </c>
      <c r="BC223" s="137">
        <f t="shared" si="91"/>
        <v>0</v>
      </c>
      <c r="BD223" s="137">
        <f t="shared" si="92"/>
        <v>0</v>
      </c>
      <c r="BE223" s="137">
        <f t="shared" si="93"/>
        <v>0</v>
      </c>
      <c r="BF223" s="137">
        <f t="shared" si="94"/>
        <v>0</v>
      </c>
      <c r="BG223" s="137">
        <f t="shared" si="95"/>
        <v>0</v>
      </c>
      <c r="BH223" s="137">
        <f t="shared" si="96"/>
        <v>0</v>
      </c>
      <c r="BI223" s="137">
        <f t="shared" si="97"/>
        <v>0</v>
      </c>
      <c r="BJ223" s="137">
        <f t="shared" si="98"/>
        <v>0</v>
      </c>
      <c r="BK223" s="137">
        <f t="shared" si="99"/>
        <v>-124.08766842921236</v>
      </c>
      <c r="BL223" s="137">
        <f>IF($K223=$L223,$BK223,IF(OR($K223="graphite",$K223="vitreous carbon"),$BK$406+($BM$389+$I223)*$BJ$406,IF($K223="Pyrolytic Boron Nitride","PBN",IF(COUNTIF($BH$396:$BH$416,$K223)&gt;0,VLOOKUP($K223,$BH$396:$BK$416,4,FALSE)+($BM$389+$I223)*VLOOKUP($K223,$BH$396:$BK$416,3,FALSE),IF(COUNTIF($L$2:$L222,$K223)&gt;0,VLOOKUP($K223,$L$2:$BK222,52,FALSE),"idk")))))</f>
        <v>-62.627031133800095</v>
      </c>
      <c r="BM223" s="136">
        <v>10</v>
      </c>
      <c r="BN223" s="136">
        <v>10</v>
      </c>
      <c r="BO223" s="136">
        <v>1</v>
      </c>
      <c r="BP223" s="136" t="s">
        <v>245</v>
      </c>
      <c r="BQ223" s="136" t="s">
        <v>299</v>
      </c>
      <c r="BR223" s="136" t="s">
        <v>247</v>
      </c>
      <c r="BS223" s="136"/>
      <c r="BT223" s="136">
        <v>0</v>
      </c>
      <c r="BU223" s="136">
        <v>21.1</v>
      </c>
      <c r="BV223" s="136"/>
      <c r="BW223" s="136"/>
      <c r="BX223" s="136">
        <v>152</v>
      </c>
      <c r="BY223" s="136">
        <v>61.4</v>
      </c>
      <c r="BZ223" s="137">
        <v>32.200000000000003</v>
      </c>
      <c r="CA223" s="137">
        <v>5.88</v>
      </c>
      <c r="CB223" s="137">
        <v>2.96</v>
      </c>
      <c r="CC223" s="136">
        <v>4.42</v>
      </c>
      <c r="CD223" s="136">
        <v>3.2</v>
      </c>
      <c r="CE223" s="136">
        <v>4.42</v>
      </c>
      <c r="CF223" s="136">
        <v>5.88</v>
      </c>
      <c r="CG223" s="136"/>
      <c r="CH223" s="136"/>
      <c r="CI223" s="152"/>
      <c r="CJ223" s="152"/>
      <c r="CK223" s="152">
        <v>17.600000000000001</v>
      </c>
      <c r="CL223" s="152"/>
      <c r="CM223" s="152"/>
      <c r="CN223" s="152"/>
      <c r="CO223" s="152"/>
      <c r="CP223" s="152"/>
      <c r="CQ223" s="152"/>
      <c r="CR223" s="152"/>
      <c r="CS223" s="152"/>
      <c r="CT223" s="152"/>
      <c r="CU223" s="152"/>
      <c r="CV223" s="152"/>
      <c r="CW223" s="152"/>
      <c r="CX223" s="152"/>
      <c r="CY223" s="152"/>
      <c r="CZ223" s="152"/>
      <c r="DA223" s="152"/>
      <c r="DB223" s="152"/>
      <c r="DC223" s="152"/>
      <c r="DD223" s="152"/>
      <c r="DE223" s="152"/>
      <c r="DF223" s="152"/>
      <c r="DG223" s="152"/>
      <c r="DH223" s="152"/>
      <c r="DI223" s="152"/>
      <c r="DJ223" s="136">
        <v>0</v>
      </c>
      <c r="DK223" s="136">
        <v>0</v>
      </c>
      <c r="DL223" s="136"/>
      <c r="DM223" s="136"/>
      <c r="DN223" s="136"/>
      <c r="DO223" s="136">
        <v>-2.81</v>
      </c>
      <c r="DP223" s="136"/>
      <c r="DQ223" s="136"/>
      <c r="DR223" s="136"/>
      <c r="DS223" s="136"/>
      <c r="DT223" s="136"/>
      <c r="DU223" s="136" t="s">
        <v>459</v>
      </c>
      <c r="DW223" s="129">
        <f>SUM(_2025_01_07T12_47_export3[[#This Row],[Ni_wt]:[H_wt]])</f>
        <v>100</v>
      </c>
      <c r="DY223" s="130">
        <f>SUM($AM223:BJ223)</f>
        <v>100.00000000000001</v>
      </c>
    </row>
    <row r="224" spans="1:129" x14ac:dyDescent="0.25">
      <c r="A224" s="129" t="s">
        <v>463</v>
      </c>
      <c r="B224" s="129">
        <v>232</v>
      </c>
      <c r="C224" s="129" t="s">
        <v>229</v>
      </c>
      <c r="D224" s="129">
        <v>2021</v>
      </c>
      <c r="E224" s="129" t="s">
        <v>253</v>
      </c>
      <c r="F224" s="129" t="s">
        <v>464</v>
      </c>
      <c r="G224" s="129" t="s">
        <v>226</v>
      </c>
      <c r="H224" s="129">
        <v>0</v>
      </c>
      <c r="I224" s="129">
        <v>550</v>
      </c>
      <c r="J224" s="129">
        <v>1000</v>
      </c>
      <c r="K224" s="129" t="s">
        <v>264</v>
      </c>
      <c r="L224" s="129" t="s">
        <v>264</v>
      </c>
      <c r="N224" s="129">
        <v>7980000</v>
      </c>
      <c r="O224" s="130">
        <v>13.3</v>
      </c>
      <c r="P224" s="130">
        <v>17.2</v>
      </c>
      <c r="Q224" s="130">
        <v>2.2999999999999998</v>
      </c>
      <c r="R224" s="130">
        <v>64.5</v>
      </c>
      <c r="S224" s="130"/>
      <c r="T224" s="130"/>
      <c r="U224" s="130">
        <v>1.9</v>
      </c>
      <c r="V224" s="130"/>
      <c r="W224" s="130"/>
      <c r="X224" s="130">
        <v>0.54</v>
      </c>
      <c r="Y224" s="130">
        <v>0.03</v>
      </c>
      <c r="Z224" s="130"/>
      <c r="AA224" s="130"/>
      <c r="AB224" s="130"/>
      <c r="AC224" s="130"/>
      <c r="AD224" s="130"/>
      <c r="AE224" s="130"/>
      <c r="AF224" s="130"/>
      <c r="AG224" s="130"/>
      <c r="AH224" s="130"/>
      <c r="AI224" s="130"/>
      <c r="AJ224" s="130"/>
      <c r="AK224" s="130"/>
      <c r="AL224" s="130"/>
      <c r="AM224" s="130">
        <f t="shared" si="75"/>
        <v>12.642111420380591</v>
      </c>
      <c r="AN224" s="130">
        <f t="shared" si="76"/>
        <v>18.452583764182695</v>
      </c>
      <c r="AO224" s="130">
        <f t="shared" si="77"/>
        <v>1.3371178265872956</v>
      </c>
      <c r="AP224" s="130">
        <f t="shared" si="78"/>
        <v>64.42710535390556</v>
      </c>
      <c r="AQ224" s="130">
        <f t="shared" si="79"/>
        <v>0</v>
      </c>
      <c r="AR224" s="130">
        <f t="shared" si="80"/>
        <v>0</v>
      </c>
      <c r="AS224" s="130">
        <f t="shared" si="81"/>
        <v>1.9292878445632553</v>
      </c>
      <c r="AT224" s="130">
        <f t="shared" si="82"/>
        <v>0</v>
      </c>
      <c r="AU224" s="130">
        <f t="shared" si="83"/>
        <v>0</v>
      </c>
      <c r="AV224" s="130">
        <f t="shared" si="84"/>
        <v>1.0724427134092454</v>
      </c>
      <c r="AW224" s="130">
        <f t="shared" si="85"/>
        <v>0.13935107697134658</v>
      </c>
      <c r="AX224" s="130">
        <f t="shared" si="86"/>
        <v>0</v>
      </c>
      <c r="AY224" s="130">
        <f t="shared" si="87"/>
        <v>0</v>
      </c>
      <c r="AZ224" s="130">
        <f t="shared" si="88"/>
        <v>0</v>
      </c>
      <c r="BA224" s="130">
        <f t="shared" si="89"/>
        <v>0</v>
      </c>
      <c r="BB224" s="130">
        <f t="shared" si="90"/>
        <v>0</v>
      </c>
      <c r="BC224" s="130">
        <f t="shared" si="91"/>
        <v>0</v>
      </c>
      <c r="BD224" s="130">
        <f t="shared" si="92"/>
        <v>0</v>
      </c>
      <c r="BE224" s="130">
        <f t="shared" si="93"/>
        <v>0</v>
      </c>
      <c r="BF224" s="130">
        <f t="shared" si="94"/>
        <v>0</v>
      </c>
      <c r="BG224" s="130">
        <f t="shared" si="95"/>
        <v>0</v>
      </c>
      <c r="BH224" s="130">
        <f t="shared" si="96"/>
        <v>0</v>
      </c>
      <c r="BI224" s="130">
        <f t="shared" si="97"/>
        <v>0</v>
      </c>
      <c r="BJ224" s="130">
        <f t="shared" si="98"/>
        <v>0</v>
      </c>
      <c r="BK224" s="130">
        <f t="shared" si="99"/>
        <v>-142.02465787336922</v>
      </c>
      <c r="BL224" s="130">
        <f>IF($K224=$L224,$BK224,IF(OR($K224="graphite",$K224="vitreous carbon"),$BK$406+($BM$389+$I224)*$BJ$406,IF($K224="Pyrolytic Boron Nitride","PBN",IF(COUNTIF($BH$396:$BH$416,$K224)&gt;0,VLOOKUP($K224,$BH$396:$BK$416,4,FALSE)+($BM$389+$I224)*VLOOKUP($K224,$BH$396:$BK$416,3,FALSE),IF(COUNTIF($L$2:$L223,$K224)&gt;0,VLOOKUP($K224,$L$2:$BK223,52,FALSE),"idk")))))</f>
        <v>-142.02465787336922</v>
      </c>
      <c r="BM224" s="129">
        <v>12</v>
      </c>
      <c r="BN224" s="129">
        <v>6</v>
      </c>
      <c r="BO224" s="129">
        <v>1.5</v>
      </c>
      <c r="BP224" s="129" t="s">
        <v>228</v>
      </c>
      <c r="BQ224" s="129" t="s">
        <v>465</v>
      </c>
      <c r="BR224" s="129" t="s">
        <v>230</v>
      </c>
      <c r="BS224" s="129"/>
      <c r="BT224" s="129">
        <v>0</v>
      </c>
      <c r="BV224" s="129"/>
      <c r="BZ224" s="130"/>
      <c r="CA224" s="130"/>
      <c r="CB224" s="130"/>
      <c r="CI224" s="151"/>
      <c r="CJ224" s="151"/>
      <c r="CK224" s="151"/>
      <c r="CL224" s="151"/>
      <c r="CM224" s="151"/>
      <c r="CN224" s="151"/>
      <c r="CO224" s="151"/>
      <c r="CP224" s="151"/>
      <c r="CQ224" s="151"/>
      <c r="CR224" s="151"/>
      <c r="CS224" s="151"/>
      <c r="CT224" s="151"/>
      <c r="CU224" s="151"/>
      <c r="CV224" s="151"/>
      <c r="CW224" s="151"/>
      <c r="CX224" s="151"/>
      <c r="CY224" s="151"/>
      <c r="CZ224" s="151"/>
      <c r="DA224" s="151"/>
      <c r="DB224" s="151"/>
      <c r="DC224" s="151"/>
      <c r="DD224" s="151"/>
      <c r="DE224" s="151"/>
      <c r="DF224" s="151"/>
      <c r="DG224" s="151"/>
      <c r="DH224" s="151"/>
      <c r="DI224" s="151"/>
      <c r="DJ224" s="129">
        <v>0</v>
      </c>
      <c r="DK224" s="129">
        <v>0</v>
      </c>
      <c r="DL224" s="129"/>
      <c r="DO224" s="129">
        <v>-0.38</v>
      </c>
      <c r="DS224" s="129"/>
      <c r="DT224" s="135" t="s">
        <v>466</v>
      </c>
      <c r="DU224" s="129"/>
      <c r="DW224" s="129">
        <f>SUM(_2025_01_07T12_47_export3[[#This Row],[Ni_wt]:[H_wt]])</f>
        <v>99.77000000000001</v>
      </c>
      <c r="DY224" s="130">
        <f>SUM($AM224:BJ224)</f>
        <v>100</v>
      </c>
    </row>
    <row r="225" spans="1:129" ht="16.5" thickBot="1" x14ac:dyDescent="0.3">
      <c r="A225" s="136" t="s">
        <v>463</v>
      </c>
      <c r="B225" s="136">
        <v>233</v>
      </c>
      <c r="C225" s="136" t="s">
        <v>229</v>
      </c>
      <c r="D225" s="136">
        <v>2021</v>
      </c>
      <c r="E225" s="136" t="s">
        <v>253</v>
      </c>
      <c r="F225" s="136" t="s">
        <v>464</v>
      </c>
      <c r="G225" s="136" t="s">
        <v>226</v>
      </c>
      <c r="H225" s="136">
        <v>0</v>
      </c>
      <c r="I225" s="136">
        <v>650</v>
      </c>
      <c r="J225" s="136">
        <v>1000</v>
      </c>
      <c r="K225" s="136" t="s">
        <v>264</v>
      </c>
      <c r="L225" s="136" t="s">
        <v>264</v>
      </c>
      <c r="M225" s="136"/>
      <c r="N225" s="136">
        <v>7980000</v>
      </c>
      <c r="O225" s="137">
        <v>13.3</v>
      </c>
      <c r="P225" s="137">
        <v>17.2</v>
      </c>
      <c r="Q225" s="137">
        <v>2.2999999999999998</v>
      </c>
      <c r="R225" s="137">
        <v>64.5</v>
      </c>
      <c r="S225" s="137"/>
      <c r="T225" s="137"/>
      <c r="U225" s="137">
        <v>1.9</v>
      </c>
      <c r="V225" s="137"/>
      <c r="W225" s="137"/>
      <c r="X225" s="137">
        <v>0.54</v>
      </c>
      <c r="Y225" s="137">
        <v>0.03</v>
      </c>
      <c r="Z225" s="137"/>
      <c r="AA225" s="137"/>
      <c r="AB225" s="137"/>
      <c r="AC225" s="137"/>
      <c r="AD225" s="137"/>
      <c r="AE225" s="137"/>
      <c r="AF225" s="137"/>
      <c r="AG225" s="137"/>
      <c r="AH225" s="137"/>
      <c r="AI225" s="137"/>
      <c r="AJ225" s="137"/>
      <c r="AK225" s="137"/>
      <c r="AL225" s="137"/>
      <c r="AM225" s="137">
        <f t="shared" si="75"/>
        <v>12.642111420380591</v>
      </c>
      <c r="AN225" s="137">
        <f t="shared" si="76"/>
        <v>18.452583764182695</v>
      </c>
      <c r="AO225" s="137">
        <f t="shared" si="77"/>
        <v>1.3371178265872956</v>
      </c>
      <c r="AP225" s="137">
        <f t="shared" si="78"/>
        <v>64.42710535390556</v>
      </c>
      <c r="AQ225" s="137">
        <f t="shared" si="79"/>
        <v>0</v>
      </c>
      <c r="AR225" s="137">
        <f t="shared" si="80"/>
        <v>0</v>
      </c>
      <c r="AS225" s="137">
        <f t="shared" si="81"/>
        <v>1.9292878445632553</v>
      </c>
      <c r="AT225" s="137">
        <f t="shared" si="82"/>
        <v>0</v>
      </c>
      <c r="AU225" s="137">
        <f t="shared" si="83"/>
        <v>0</v>
      </c>
      <c r="AV225" s="137">
        <f t="shared" si="84"/>
        <v>1.0724427134092454</v>
      </c>
      <c r="AW225" s="137">
        <f t="shared" si="85"/>
        <v>0.13935107697134658</v>
      </c>
      <c r="AX225" s="137">
        <f t="shared" si="86"/>
        <v>0</v>
      </c>
      <c r="AY225" s="137">
        <f t="shared" si="87"/>
        <v>0</v>
      </c>
      <c r="AZ225" s="137">
        <f t="shared" si="88"/>
        <v>0</v>
      </c>
      <c r="BA225" s="137">
        <f t="shared" si="89"/>
        <v>0</v>
      </c>
      <c r="BB225" s="137">
        <f t="shared" si="90"/>
        <v>0</v>
      </c>
      <c r="BC225" s="137">
        <f t="shared" si="91"/>
        <v>0</v>
      </c>
      <c r="BD225" s="137">
        <f t="shared" si="92"/>
        <v>0</v>
      </c>
      <c r="BE225" s="137">
        <f t="shared" si="93"/>
        <v>0</v>
      </c>
      <c r="BF225" s="137">
        <f t="shared" si="94"/>
        <v>0</v>
      </c>
      <c r="BG225" s="137">
        <f t="shared" si="95"/>
        <v>0</v>
      </c>
      <c r="BH225" s="137">
        <f t="shared" si="96"/>
        <v>0</v>
      </c>
      <c r="BI225" s="137">
        <f t="shared" si="97"/>
        <v>0</v>
      </c>
      <c r="BJ225" s="137">
        <f t="shared" si="98"/>
        <v>0</v>
      </c>
      <c r="BK225" s="137">
        <f t="shared" si="99"/>
        <v>-138.77321751842982</v>
      </c>
      <c r="BL225" s="137">
        <f>IF($K225=$L225,$BK225,IF(OR($K225="graphite",$K225="vitreous carbon"),$BK$406+($BM$389+$I225)*$BJ$406,IF($K225="Pyrolytic Boron Nitride","PBN",IF(COUNTIF($BH$396:$BH$416,$K225)&gt;0,VLOOKUP($K225,$BH$396:$BK$416,4,FALSE)+($BM$389+$I225)*VLOOKUP($K225,$BH$396:$BK$416,3,FALSE),IF(COUNTIF($L$2:$L224,$K225)&gt;0,VLOOKUP($K225,$L$2:$BK224,52,FALSE),"idk")))))</f>
        <v>-138.77321751842982</v>
      </c>
      <c r="BM225" s="136">
        <v>12</v>
      </c>
      <c r="BN225" s="136">
        <v>6</v>
      </c>
      <c r="BO225" s="136">
        <v>1.5</v>
      </c>
      <c r="BP225" s="136" t="s">
        <v>228</v>
      </c>
      <c r="BQ225" s="136" t="s">
        <v>465</v>
      </c>
      <c r="BR225" s="136" t="s">
        <v>230</v>
      </c>
      <c r="BS225" s="136"/>
      <c r="BT225" s="136">
        <v>0</v>
      </c>
      <c r="BU225" s="136"/>
      <c r="BV225" s="136"/>
      <c r="BW225" s="136"/>
      <c r="BX225" s="136"/>
      <c r="BY225" s="136"/>
      <c r="BZ225" s="137"/>
      <c r="CA225" s="137"/>
      <c r="CB225" s="137"/>
      <c r="CC225" s="136"/>
      <c r="CD225" s="136"/>
      <c r="CE225" s="136"/>
      <c r="CF225" s="136"/>
      <c r="CG225" s="136"/>
      <c r="CH225" s="136"/>
      <c r="CI225" s="152"/>
      <c r="CJ225" s="152"/>
      <c r="CK225" s="152"/>
      <c r="CL225" s="152"/>
      <c r="CM225" s="152"/>
      <c r="CN225" s="152"/>
      <c r="CO225" s="152"/>
      <c r="CP225" s="152"/>
      <c r="CQ225" s="152"/>
      <c r="CR225" s="152"/>
      <c r="CS225" s="152"/>
      <c r="CT225" s="152"/>
      <c r="CU225" s="152"/>
      <c r="CV225" s="152"/>
      <c r="CW225" s="152"/>
      <c r="CX225" s="152"/>
      <c r="CY225" s="152"/>
      <c r="CZ225" s="152"/>
      <c r="DA225" s="152"/>
      <c r="DB225" s="152"/>
      <c r="DC225" s="152"/>
      <c r="DD225" s="152"/>
      <c r="DE225" s="152"/>
      <c r="DF225" s="152"/>
      <c r="DG225" s="152"/>
      <c r="DH225" s="152"/>
      <c r="DI225" s="152"/>
      <c r="DJ225" s="136">
        <v>0</v>
      </c>
      <c r="DK225" s="136">
        <v>0</v>
      </c>
      <c r="DL225" s="136"/>
      <c r="DM225" s="136"/>
      <c r="DN225" s="136"/>
      <c r="DO225" s="136">
        <v>-0.28999999999999998</v>
      </c>
      <c r="DP225" s="136"/>
      <c r="DQ225" s="136"/>
      <c r="DR225" s="136"/>
      <c r="DS225" s="136"/>
      <c r="DT225" s="138" t="s">
        <v>467</v>
      </c>
      <c r="DU225" s="136"/>
      <c r="DW225" s="129">
        <f>SUM(_2025_01_07T12_47_export3[[#This Row],[Ni_wt]:[H_wt]])</f>
        <v>99.77000000000001</v>
      </c>
      <c r="DY225" s="130">
        <f>SUM($AM225:BJ225)</f>
        <v>100</v>
      </c>
    </row>
    <row r="226" spans="1:129" ht="16.5" thickBot="1" x14ac:dyDescent="0.3">
      <c r="A226" s="142" t="s">
        <v>468</v>
      </c>
      <c r="B226" s="142">
        <v>234</v>
      </c>
      <c r="C226" s="156" t="s">
        <v>316</v>
      </c>
      <c r="D226" s="142">
        <v>2016</v>
      </c>
      <c r="E226" s="142" t="s">
        <v>469</v>
      </c>
      <c r="F226" s="142" t="s">
        <v>470</v>
      </c>
      <c r="G226" s="142" t="s">
        <v>226</v>
      </c>
      <c r="H226" s="142">
        <v>0</v>
      </c>
      <c r="I226" s="142">
        <v>850</v>
      </c>
      <c r="J226" s="142">
        <v>400</v>
      </c>
      <c r="K226" s="142" t="s">
        <v>233</v>
      </c>
      <c r="L226" s="142" t="s">
        <v>239</v>
      </c>
      <c r="M226" s="142"/>
      <c r="N226" s="142">
        <v>8860000</v>
      </c>
      <c r="O226" s="144">
        <f>100-SUM(_2025_01_07T12_47_export3[[#This Row],[Cr_wt]:[H_wt]])</f>
        <v>70.61</v>
      </c>
      <c r="P226" s="144">
        <v>7.01</v>
      </c>
      <c r="Q226" s="144">
        <v>16.8</v>
      </c>
      <c r="R226" s="144">
        <v>4.16</v>
      </c>
      <c r="S226" s="144">
        <v>0.2</v>
      </c>
      <c r="T226" s="144"/>
      <c r="U226" s="144">
        <v>0.52</v>
      </c>
      <c r="V226" s="144">
        <v>0.28000000000000003</v>
      </c>
      <c r="W226" s="144"/>
      <c r="X226" s="144">
        <v>0.36</v>
      </c>
      <c r="Y226" s="144">
        <v>0.06</v>
      </c>
      <c r="Z226" s="144"/>
      <c r="AA226" s="144"/>
      <c r="AB226" s="144"/>
      <c r="AC226" s="144"/>
      <c r="AD226" s="144"/>
      <c r="AE226" s="144"/>
      <c r="AF226" s="144"/>
      <c r="AG226" s="144"/>
      <c r="AH226" s="144"/>
      <c r="AI226" s="144"/>
      <c r="AJ226" s="144"/>
      <c r="AK226" s="144"/>
      <c r="AL226" s="144"/>
      <c r="AM226" s="144">
        <f t="shared" si="75"/>
        <v>73.981909876303831</v>
      </c>
      <c r="AN226" s="144">
        <f t="shared" si="76"/>
        <v>8.2896865821436005</v>
      </c>
      <c r="AO226" s="144">
        <f t="shared" si="77"/>
        <v>10.765705096691875</v>
      </c>
      <c r="AP226" s="144">
        <f t="shared" si="78"/>
        <v>4.5802964723608914</v>
      </c>
      <c r="AQ226" s="144">
        <f t="shared" si="79"/>
        <v>6.6912603054468639E-2</v>
      </c>
      <c r="AR226" s="144">
        <f t="shared" si="80"/>
        <v>0</v>
      </c>
      <c r="AS226" s="144">
        <f t="shared" si="81"/>
        <v>0.5820202902742897</v>
      </c>
      <c r="AT226" s="144">
        <f t="shared" si="82"/>
        <v>0.63817461148909826</v>
      </c>
      <c r="AU226" s="144">
        <f t="shared" si="83"/>
        <v>0</v>
      </c>
      <c r="AV226" s="144">
        <f t="shared" si="84"/>
        <v>0.78808706281738694</v>
      </c>
      <c r="AW226" s="144">
        <f t="shared" si="85"/>
        <v>0.30720740486456288</v>
      </c>
      <c r="AX226" s="144">
        <f t="shared" si="86"/>
        <v>0</v>
      </c>
      <c r="AY226" s="144">
        <f t="shared" si="87"/>
        <v>0</v>
      </c>
      <c r="AZ226" s="144">
        <f t="shared" si="88"/>
        <v>0</v>
      </c>
      <c r="BA226" s="144">
        <f t="shared" si="89"/>
        <v>0</v>
      </c>
      <c r="BB226" s="144">
        <f t="shared" si="90"/>
        <v>0</v>
      </c>
      <c r="BC226" s="144">
        <f t="shared" si="91"/>
        <v>0</v>
      </c>
      <c r="BD226" s="144">
        <f t="shared" si="92"/>
        <v>0</v>
      </c>
      <c r="BE226" s="144">
        <f t="shared" si="93"/>
        <v>0</v>
      </c>
      <c r="BF226" s="144">
        <f t="shared" si="94"/>
        <v>0</v>
      </c>
      <c r="BG226" s="144">
        <f t="shared" si="95"/>
        <v>0</v>
      </c>
      <c r="BH226" s="144">
        <f t="shared" si="96"/>
        <v>0</v>
      </c>
      <c r="BI226" s="144">
        <f t="shared" si="97"/>
        <v>0</v>
      </c>
      <c r="BJ226" s="144">
        <f t="shared" si="98"/>
        <v>0</v>
      </c>
      <c r="BK226" s="144">
        <f t="shared" si="99"/>
        <v>-119.73616810721417</v>
      </c>
      <c r="BL226" s="144">
        <f>IF($K226=$L226,$BK226,IF(OR($K226="graphite",$K226="vitreous carbon"),$BK$406+($BM$389+$I226)*$BJ$406,IF($K226="Pyrolytic Boron Nitride","PBN",IF(COUNTIF($BH$396:$BH$416,$K226)&gt;0,VLOOKUP($K226,$BH$396:$BK$416,4,FALSE)+($BM$389+$I226)*VLOOKUP($K226,$BH$396:$BK$416,3,FALSE),IF(COUNTIF($L$2:$L225,$K226)&gt;0,VLOOKUP($K226,$L$2:$BK225,52,FALSE),"idk")))))</f>
        <v>-60.821750226979574</v>
      </c>
      <c r="BM226" s="142">
        <v>15</v>
      </c>
      <c r="BN226" s="142">
        <v>10</v>
      </c>
      <c r="BO226" s="142">
        <v>2</v>
      </c>
      <c r="BP226" s="142" t="s">
        <v>245</v>
      </c>
      <c r="BQ226" s="142"/>
      <c r="BR226" s="142" t="s">
        <v>230</v>
      </c>
      <c r="BS226" s="142"/>
      <c r="BT226" s="142">
        <v>0</v>
      </c>
      <c r="BU226" s="142">
        <v>149.5</v>
      </c>
      <c r="BV226" s="142"/>
      <c r="BW226" s="142"/>
      <c r="BX226" s="142"/>
      <c r="BY226" s="142"/>
      <c r="BZ226" s="144">
        <v>60.8</v>
      </c>
      <c r="CA226" s="144">
        <v>26.3</v>
      </c>
      <c r="CB226" s="144"/>
      <c r="CC226" s="142">
        <v>21.4</v>
      </c>
      <c r="CD226" s="142"/>
      <c r="CE226" s="142">
        <v>12.9</v>
      </c>
      <c r="CF226" s="142"/>
      <c r="CG226" s="142"/>
      <c r="CH226" s="142"/>
      <c r="CI226" s="153"/>
      <c r="CJ226" s="153"/>
      <c r="CK226" s="153"/>
      <c r="CL226" s="153"/>
      <c r="CM226" s="153"/>
      <c r="CN226" s="153"/>
      <c r="CO226" s="153"/>
      <c r="CP226" s="153">
        <v>29.7</v>
      </c>
      <c r="CQ226" s="153"/>
      <c r="CR226" s="153"/>
      <c r="CS226" s="153"/>
      <c r="CT226" s="153"/>
      <c r="CU226" s="153">
        <v>91.5</v>
      </c>
      <c r="CV226" s="153">
        <v>37.5</v>
      </c>
      <c r="CW226" s="153"/>
      <c r="CX226" s="153">
        <v>32.5</v>
      </c>
      <c r="CY226" s="153"/>
      <c r="CZ226" s="153">
        <v>6.4</v>
      </c>
      <c r="DA226" s="153"/>
      <c r="DB226" s="153"/>
      <c r="DC226" s="153"/>
      <c r="DD226" s="153"/>
      <c r="DE226" s="153"/>
      <c r="DF226" s="153"/>
      <c r="DG226" s="153"/>
      <c r="DH226" s="153"/>
      <c r="DI226" s="153"/>
      <c r="DJ226" s="142">
        <v>0</v>
      </c>
      <c r="DK226" s="142">
        <v>0</v>
      </c>
      <c r="DL226" s="142"/>
      <c r="DM226" s="142">
        <v>-26.7</v>
      </c>
      <c r="DN226" s="142"/>
      <c r="DO226" s="142">
        <v>-0.75</v>
      </c>
      <c r="DP226" s="142"/>
      <c r="DQ226" s="142"/>
      <c r="DR226" s="142"/>
      <c r="DS226" s="142"/>
      <c r="DT226" s="145" t="s">
        <v>471</v>
      </c>
      <c r="DU226" s="142"/>
      <c r="DW226" s="129">
        <f>SUM(_2025_01_07T12_47_export3[[#This Row],[Ni_wt]:[H_wt]])</f>
        <v>100</v>
      </c>
      <c r="DY226" s="130">
        <f>SUM($AM226:BJ226)</f>
        <v>99.999999999999972</v>
      </c>
    </row>
    <row r="227" spans="1:129" ht="16.5" thickBot="1" x14ac:dyDescent="0.3">
      <c r="A227" s="142" t="s">
        <v>472</v>
      </c>
      <c r="B227" s="142">
        <v>235</v>
      </c>
      <c r="C227" s="157" t="s">
        <v>473</v>
      </c>
      <c r="D227" s="142">
        <v>2018</v>
      </c>
      <c r="E227" s="142" t="s">
        <v>426</v>
      </c>
      <c r="F227" s="142" t="s">
        <v>474</v>
      </c>
      <c r="G227" s="142" t="s">
        <v>226</v>
      </c>
      <c r="H227" s="142">
        <v>0</v>
      </c>
      <c r="I227" s="142">
        <v>700</v>
      </c>
      <c r="J227" s="142">
        <v>100</v>
      </c>
      <c r="K227" s="142" t="s">
        <v>233</v>
      </c>
      <c r="L227" s="142" t="s">
        <v>298</v>
      </c>
      <c r="M227" s="142"/>
      <c r="N227" s="142">
        <v>8860000</v>
      </c>
      <c r="O227" s="144">
        <f>100-SUM(_2025_01_07T12_47_export3[[#This Row],[Cr_wt]:[H_wt]])</f>
        <v>70.590999999999994</v>
      </c>
      <c r="P227" s="144">
        <v>7.01</v>
      </c>
      <c r="Q227" s="144">
        <v>17.34</v>
      </c>
      <c r="R227" s="144">
        <v>3.92</v>
      </c>
      <c r="S227" s="144"/>
      <c r="T227" s="144">
        <v>4.0000000000000001E-3</v>
      </c>
      <c r="U227" s="144">
        <v>0.6</v>
      </c>
      <c r="V227" s="144">
        <v>2.1000000000000001E-2</v>
      </c>
      <c r="W227" s="144">
        <v>2E-3</v>
      </c>
      <c r="X227" s="144">
        <v>0.45</v>
      </c>
      <c r="Y227" s="144">
        <v>5.5E-2</v>
      </c>
      <c r="Z227" s="144">
        <v>7.0000000000000001E-3</v>
      </c>
      <c r="AA227" s="144"/>
      <c r="AB227" s="144"/>
      <c r="AC227" s="144"/>
      <c r="AD227" s="144"/>
      <c r="AE227" s="144"/>
      <c r="AF227" s="144"/>
      <c r="AG227" s="144"/>
      <c r="AH227" s="144"/>
      <c r="AI227" s="144"/>
      <c r="AJ227" s="144"/>
      <c r="AK227" s="144"/>
      <c r="AL227" s="144"/>
      <c r="AM227" s="144">
        <f t="shared" si="75"/>
        <v>74.200080615187872</v>
      </c>
      <c r="AN227" s="144">
        <f t="shared" si="76"/>
        <v>8.3163704532095206</v>
      </c>
      <c r="AO227" s="144">
        <f t="shared" si="77"/>
        <v>11.147513482272929</v>
      </c>
      <c r="AP227" s="144">
        <f t="shared" si="78"/>
        <v>4.3299416313623551</v>
      </c>
      <c r="AQ227" s="144">
        <f t="shared" si="79"/>
        <v>0</v>
      </c>
      <c r="AR227" s="144">
        <f t="shared" si="80"/>
        <v>4.1873831649377772E-3</v>
      </c>
      <c r="AS227" s="144">
        <f t="shared" si="81"/>
        <v>0.67372358002307031</v>
      </c>
      <c r="AT227" s="144">
        <f t="shared" si="82"/>
        <v>4.8017163529516745E-2</v>
      </c>
      <c r="AU227" s="144">
        <f t="shared" si="83"/>
        <v>2.5774231241882523E-3</v>
      </c>
      <c r="AV227" s="144">
        <f t="shared" si="84"/>
        <v>0.98827981896940587</v>
      </c>
      <c r="AW227" s="144">
        <f t="shared" si="85"/>
        <v>0.28251325863942706</v>
      </c>
      <c r="AX227" s="144">
        <f t="shared" si="86"/>
        <v>6.7951905167918285E-3</v>
      </c>
      <c r="AY227" s="144">
        <f t="shared" si="87"/>
        <v>0</v>
      </c>
      <c r="AZ227" s="144">
        <f t="shared" si="88"/>
        <v>0</v>
      </c>
      <c r="BA227" s="144">
        <f t="shared" si="89"/>
        <v>0</v>
      </c>
      <c r="BB227" s="144">
        <f t="shared" si="90"/>
        <v>0</v>
      </c>
      <c r="BC227" s="144">
        <f t="shared" si="91"/>
        <v>0</v>
      </c>
      <c r="BD227" s="144">
        <f t="shared" si="92"/>
        <v>0</v>
      </c>
      <c r="BE227" s="144">
        <f t="shared" si="93"/>
        <v>0</v>
      </c>
      <c r="BF227" s="144">
        <f t="shared" si="94"/>
        <v>0</v>
      </c>
      <c r="BG227" s="144">
        <f t="shared" si="95"/>
        <v>0</v>
      </c>
      <c r="BH227" s="144">
        <f t="shared" si="96"/>
        <v>0</v>
      </c>
      <c r="BI227" s="144">
        <f t="shared" si="97"/>
        <v>0</v>
      </c>
      <c r="BJ227" s="144">
        <f t="shared" si="98"/>
        <v>0</v>
      </c>
      <c r="BK227" s="144">
        <f t="shared" si="99"/>
        <v>-124.51095135457241</v>
      </c>
      <c r="BL227" s="144">
        <f>IF($K227=$L227,$BK227,IF(OR($K227="graphite",$K227="vitreous carbon"),$BK$406+($BM$389+$I227)*$BJ$406,IF($K227="Pyrolytic Boron Nitride","PBN",IF(COUNTIF($BH$396:$BH$416,$K227)&gt;0,VLOOKUP($K227,$BH$396:$BK$416,4,FALSE)+($BM$389+$I227)*VLOOKUP($K227,$BH$396:$BK$416,3,FALSE),IF(COUNTIF($L$2:$L226,$K227)&gt;0,VLOOKUP($K227,$L$2:$BK226,52,FALSE),"idk")))))</f>
        <v>-63.529671587210359</v>
      </c>
      <c r="BM227" s="142">
        <v>30</v>
      </c>
      <c r="BN227" s="142">
        <v>10</v>
      </c>
      <c r="BO227" s="142">
        <v>2</v>
      </c>
      <c r="BP227" s="142" t="s">
        <v>245</v>
      </c>
      <c r="BQ227" s="158" t="s">
        <v>475</v>
      </c>
      <c r="BR227" s="142" t="s">
        <v>230</v>
      </c>
      <c r="BS227" s="142"/>
      <c r="BT227" s="142">
        <v>0</v>
      </c>
      <c r="BU227" s="142">
        <v>6.06</v>
      </c>
      <c r="BV227" s="142"/>
      <c r="BW227" s="142"/>
      <c r="BX227" s="142"/>
      <c r="BY227" s="142"/>
      <c r="BZ227" s="144">
        <v>9.5399999999999991</v>
      </c>
      <c r="CA227" s="144">
        <v>1.72</v>
      </c>
      <c r="CB227" s="144"/>
      <c r="CC227" s="142">
        <v>0.12</v>
      </c>
      <c r="CD227" s="142"/>
      <c r="CE227" s="142">
        <v>0.27</v>
      </c>
      <c r="CF227" s="142"/>
      <c r="CG227" s="142"/>
      <c r="CH227" s="142"/>
      <c r="CI227" s="153"/>
      <c r="CJ227" s="153"/>
      <c r="CK227" s="153"/>
      <c r="CL227" s="153"/>
      <c r="CM227" s="153"/>
      <c r="CN227" s="153"/>
      <c r="CO227" s="153"/>
      <c r="CP227" s="153"/>
      <c r="CQ227" s="153"/>
      <c r="CR227" s="153"/>
      <c r="CS227" s="153"/>
      <c r="CT227" s="153"/>
      <c r="CU227" s="153"/>
      <c r="CV227" s="153"/>
      <c r="CW227" s="153"/>
      <c r="CX227" s="153"/>
      <c r="CY227" s="153"/>
      <c r="CZ227" s="153"/>
      <c r="DA227" s="153"/>
      <c r="DB227" s="153"/>
      <c r="DC227" s="153"/>
      <c r="DD227" s="153"/>
      <c r="DE227" s="153"/>
      <c r="DF227" s="153"/>
      <c r="DG227" s="153"/>
      <c r="DH227" s="153"/>
      <c r="DI227" s="153"/>
      <c r="DJ227" s="142">
        <v>0</v>
      </c>
      <c r="DK227" s="142">
        <v>0</v>
      </c>
      <c r="DL227" s="142"/>
      <c r="DM227" s="142">
        <v>-20</v>
      </c>
      <c r="DN227" s="142"/>
      <c r="DO227" s="142">
        <v>-0.41</v>
      </c>
      <c r="DP227" s="142"/>
      <c r="DQ227" s="142"/>
      <c r="DR227" s="142"/>
      <c r="DS227" s="142"/>
      <c r="DT227" s="145" t="s">
        <v>477</v>
      </c>
      <c r="DU227" s="142" t="s">
        <v>476</v>
      </c>
      <c r="DW227" s="129">
        <f>SUM(_2025_01_07T12_47_export3[[#This Row],[Ni_wt]:[H_wt]])</f>
        <v>100.00000000000001</v>
      </c>
      <c r="DY227" s="130">
        <f>SUM($AM227:BJ227)</f>
        <v>100.00000000000001</v>
      </c>
    </row>
    <row r="228" spans="1:129" x14ac:dyDescent="0.25">
      <c r="A228" s="129" t="s">
        <v>478</v>
      </c>
      <c r="B228" s="129">
        <v>236</v>
      </c>
      <c r="C228" s="129" t="s">
        <v>479</v>
      </c>
      <c r="D228" s="129">
        <v>2019</v>
      </c>
      <c r="E228" s="129" t="s">
        <v>426</v>
      </c>
      <c r="F228" s="129" t="s">
        <v>480</v>
      </c>
      <c r="G228" s="129" t="s">
        <v>226</v>
      </c>
      <c r="H228" s="129">
        <v>0</v>
      </c>
      <c r="I228" s="129">
        <v>800</v>
      </c>
      <c r="J228" s="129">
        <v>400</v>
      </c>
      <c r="K228" s="129" t="s">
        <v>233</v>
      </c>
      <c r="L228" s="129" t="s">
        <v>298</v>
      </c>
      <c r="N228" s="129">
        <v>8860000</v>
      </c>
      <c r="O228" s="130">
        <f>100-SUM(_2025_01_07T12_47_export3[[#This Row],[Cr_wt]:[H_wt]])</f>
        <v>71.222999999999999</v>
      </c>
      <c r="P228" s="130">
        <v>7.01</v>
      </c>
      <c r="Q228" s="130">
        <v>17.34</v>
      </c>
      <c r="R228" s="130">
        <v>3.92</v>
      </c>
      <c r="S228" s="130"/>
      <c r="T228" s="130"/>
      <c r="U228" s="130"/>
      <c r="V228" s="130"/>
      <c r="W228" s="130">
        <v>2E-3</v>
      </c>
      <c r="X228" s="130">
        <v>0.45</v>
      </c>
      <c r="Y228" s="130">
        <v>5.5E-2</v>
      </c>
      <c r="Z228" s="130"/>
      <c r="AA228" s="130"/>
      <c r="AB228" s="130"/>
      <c r="AC228" s="130"/>
      <c r="AD228" s="130"/>
      <c r="AE228" s="130"/>
      <c r="AF228" s="130"/>
      <c r="AG228" s="130"/>
      <c r="AH228" s="130"/>
      <c r="AI228" s="130"/>
      <c r="AJ228" s="130"/>
      <c r="AK228" s="130"/>
      <c r="AL228" s="130"/>
      <c r="AM228" s="130">
        <f t="shared" si="75"/>
        <v>74.915643402739775</v>
      </c>
      <c r="AN228" s="130">
        <f t="shared" si="76"/>
        <v>8.322063683582293</v>
      </c>
      <c r="AO228" s="130">
        <f t="shared" si="77"/>
        <v>11.155144859770511</v>
      </c>
      <c r="AP228" s="130">
        <f t="shared" si="78"/>
        <v>4.3329058277442627</v>
      </c>
      <c r="AQ228" s="130">
        <f t="shared" si="79"/>
        <v>0</v>
      </c>
      <c r="AR228" s="130">
        <f t="shared" si="80"/>
        <v>0</v>
      </c>
      <c r="AS228" s="130">
        <f t="shared" si="81"/>
        <v>0</v>
      </c>
      <c r="AT228" s="130">
        <f t="shared" si="82"/>
        <v>0</v>
      </c>
      <c r="AU228" s="130">
        <f t="shared" si="83"/>
        <v>2.5791875794511192E-3</v>
      </c>
      <c r="AV228" s="130">
        <f t="shared" si="84"/>
        <v>0.98895637669537684</v>
      </c>
      <c r="AW228" s="130">
        <f t="shared" si="85"/>
        <v>0.28270666188833793</v>
      </c>
      <c r="AX228" s="130">
        <f t="shared" si="86"/>
        <v>0</v>
      </c>
      <c r="AY228" s="130">
        <f t="shared" si="87"/>
        <v>0</v>
      </c>
      <c r="AZ228" s="130">
        <f t="shared" si="88"/>
        <v>0</v>
      </c>
      <c r="BA228" s="130">
        <f t="shared" si="89"/>
        <v>0</v>
      </c>
      <c r="BB228" s="130">
        <f t="shared" si="90"/>
        <v>0</v>
      </c>
      <c r="BC228" s="130">
        <f t="shared" si="91"/>
        <v>0</v>
      </c>
      <c r="BD228" s="130">
        <f t="shared" si="92"/>
        <v>0</v>
      </c>
      <c r="BE228" s="130">
        <f t="shared" si="93"/>
        <v>0</v>
      </c>
      <c r="BF228" s="130">
        <f t="shared" si="94"/>
        <v>0</v>
      </c>
      <c r="BG228" s="130">
        <f t="shared" si="95"/>
        <v>0</v>
      </c>
      <c r="BH228" s="130">
        <f t="shared" si="96"/>
        <v>0</v>
      </c>
      <c r="BI228" s="130">
        <f t="shared" si="97"/>
        <v>0</v>
      </c>
      <c r="BJ228" s="130">
        <f t="shared" si="98"/>
        <v>0</v>
      </c>
      <c r="BK228" s="130">
        <f t="shared" si="99"/>
        <v>-120.90042630664524</v>
      </c>
      <c r="BL228" s="130">
        <f>IF($K228=$L228,$BK228,IF(OR($K228="graphite",$K228="vitreous carbon"),$BK$406+($BM$389+$I228)*$BJ$406,IF($K228="Pyrolytic Boron Nitride","PBN",IF(COUNTIF($BH$396:$BH$416,$K228)&gt;0,VLOOKUP($K228,$BH$396:$BK$416,4,FALSE)+($BM$389+$I228)*VLOOKUP($K228,$BH$396:$BK$416,3,FALSE),IF(COUNTIF($L$2:$L227,$K228)&gt;0,VLOOKUP($K228,$L$2:$BK227,52,FALSE),"idk")))))</f>
        <v>-61.724390680389831</v>
      </c>
      <c r="BM228" s="129">
        <v>15</v>
      </c>
      <c r="BN228" s="129">
        <v>10</v>
      </c>
      <c r="BO228" s="129">
        <v>2</v>
      </c>
      <c r="BP228" s="129" t="s">
        <v>245</v>
      </c>
      <c r="BQ228" s="129"/>
      <c r="BR228" s="129" t="s">
        <v>230</v>
      </c>
      <c r="BS228" s="129"/>
      <c r="BT228" s="129">
        <v>0</v>
      </c>
      <c r="BU228" s="129">
        <v>76.459999999999994</v>
      </c>
      <c r="BV228" s="129"/>
      <c r="BZ228" s="130">
        <v>26.18</v>
      </c>
      <c r="CA228" s="130">
        <v>12.19</v>
      </c>
      <c r="CB228" s="130"/>
      <c r="CI228" s="151"/>
      <c r="CJ228" s="151"/>
      <c r="CK228" s="151"/>
      <c r="CL228" s="151"/>
      <c r="CM228" s="151"/>
      <c r="CN228" s="151"/>
      <c r="CO228" s="151"/>
      <c r="CP228" s="151">
        <v>56.99</v>
      </c>
      <c r="CQ228" s="151"/>
      <c r="CR228" s="151"/>
      <c r="CS228" s="151"/>
      <c r="CT228" s="151"/>
      <c r="CU228" s="151">
        <v>25.9</v>
      </c>
      <c r="CV228" s="151">
        <v>35.130000000000003</v>
      </c>
      <c r="CW228" s="151"/>
      <c r="CX228" s="151">
        <v>1.8</v>
      </c>
      <c r="CY228" s="151"/>
      <c r="CZ228" s="151"/>
      <c r="DA228" s="151"/>
      <c r="DB228" s="151"/>
      <c r="DC228" s="151"/>
      <c r="DD228" s="151"/>
      <c r="DE228" s="151"/>
      <c r="DF228" s="151"/>
      <c r="DG228" s="151"/>
      <c r="DH228" s="151"/>
      <c r="DI228" s="151"/>
      <c r="DJ228" s="129">
        <v>0</v>
      </c>
      <c r="DK228" s="129">
        <v>0</v>
      </c>
      <c r="DL228" s="129"/>
      <c r="DM228" s="129">
        <v>-13.5</v>
      </c>
      <c r="DO228" s="129">
        <v>0.20399999999999999</v>
      </c>
      <c r="DS228" s="129"/>
      <c r="DT228" s="4" t="s">
        <v>481</v>
      </c>
      <c r="DU228" s="129"/>
      <c r="DW228" s="129">
        <f>SUM(_2025_01_07T12_47_export3[[#This Row],[Ni_wt]:[H_wt]])</f>
        <v>100.00000000000001</v>
      </c>
      <c r="DY228" s="130">
        <f>SUM($AM228:BJ228)</f>
        <v>100.00000000000001</v>
      </c>
    </row>
    <row r="229" spans="1:129" ht="16.5" thickBot="1" x14ac:dyDescent="0.3">
      <c r="A229" s="136" t="s">
        <v>482</v>
      </c>
      <c r="B229" s="136">
        <v>237</v>
      </c>
      <c r="C229" s="136" t="s">
        <v>479</v>
      </c>
      <c r="D229" s="136">
        <v>2019</v>
      </c>
      <c r="E229" s="136" t="s">
        <v>426</v>
      </c>
      <c r="F229" s="136" t="s">
        <v>480</v>
      </c>
      <c r="G229" s="136" t="s">
        <v>226</v>
      </c>
      <c r="H229" s="136">
        <v>0</v>
      </c>
      <c r="I229" s="136">
        <v>800</v>
      </c>
      <c r="J229" s="136">
        <v>400</v>
      </c>
      <c r="K229" s="136" t="s">
        <v>233</v>
      </c>
      <c r="L229" s="136" t="s">
        <v>428</v>
      </c>
      <c r="M229" s="136"/>
      <c r="N229" s="139"/>
      <c r="O229" s="137">
        <f>100-SUM(_2025_01_07T12_47_export3[[#This Row],[Cr_wt]:[H_wt]])</f>
        <v>66.12299999999999</v>
      </c>
      <c r="P229" s="137">
        <v>5.86</v>
      </c>
      <c r="Q229" s="137">
        <v>1</v>
      </c>
      <c r="R229" s="137">
        <v>0.54</v>
      </c>
      <c r="S229" s="137">
        <v>26.1</v>
      </c>
      <c r="T229" s="137"/>
      <c r="U229" s="137"/>
      <c r="V229" s="137"/>
      <c r="W229" s="137">
        <v>0.2</v>
      </c>
      <c r="X229" s="137">
        <v>0.14000000000000001</v>
      </c>
      <c r="Y229" s="137">
        <v>3.6999999999999998E-2</v>
      </c>
      <c r="Z229" s="137"/>
      <c r="AA229" s="137"/>
      <c r="AB229" s="137"/>
      <c r="AC229" s="137"/>
      <c r="AD229" s="137"/>
      <c r="AE229" s="137"/>
      <c r="AF229" s="137"/>
      <c r="AG229" s="137"/>
      <c r="AH229" s="137"/>
      <c r="AI229" s="137"/>
      <c r="AJ229" s="137"/>
      <c r="AK229" s="137"/>
      <c r="AL229" s="137"/>
      <c r="AM229" s="137">
        <f t="shared" si="75"/>
        <v>79.696402545159643</v>
      </c>
      <c r="AN229" s="137">
        <f t="shared" si="76"/>
        <v>7.9715826016258626</v>
      </c>
      <c r="AO229" s="137">
        <f t="shared" si="77"/>
        <v>0.73715707640652472</v>
      </c>
      <c r="AP229" s="137">
        <f t="shared" si="78"/>
        <v>0.68394449862245055</v>
      </c>
      <c r="AQ229" s="137">
        <f t="shared" si="79"/>
        <v>10.044892158087158</v>
      </c>
      <c r="AR229" s="137">
        <f t="shared" si="80"/>
        <v>0</v>
      </c>
      <c r="AS229" s="137">
        <f t="shared" si="81"/>
        <v>0</v>
      </c>
      <c r="AT229" s="137">
        <f t="shared" si="82"/>
        <v>0</v>
      </c>
      <c r="AU229" s="137">
        <f t="shared" si="83"/>
        <v>0.2955403929474415</v>
      </c>
      <c r="AV229" s="137">
        <f t="shared" si="84"/>
        <v>0.35255475355200483</v>
      </c>
      <c r="AW229" s="137">
        <f t="shared" si="85"/>
        <v>0.21792597359890872</v>
      </c>
      <c r="AX229" s="137">
        <f t="shared" si="86"/>
        <v>0</v>
      </c>
      <c r="AY229" s="137">
        <f t="shared" si="87"/>
        <v>0</v>
      </c>
      <c r="AZ229" s="137">
        <f t="shared" si="88"/>
        <v>0</v>
      </c>
      <c r="BA229" s="137">
        <f t="shared" si="89"/>
        <v>0</v>
      </c>
      <c r="BB229" s="137">
        <f t="shared" si="90"/>
        <v>0</v>
      </c>
      <c r="BC229" s="137">
        <f t="shared" si="91"/>
        <v>0</v>
      </c>
      <c r="BD229" s="137">
        <f t="shared" si="92"/>
        <v>0</v>
      </c>
      <c r="BE229" s="137">
        <f t="shared" si="93"/>
        <v>0</v>
      </c>
      <c r="BF229" s="137">
        <f t="shared" si="94"/>
        <v>0</v>
      </c>
      <c r="BG229" s="137">
        <f t="shared" si="95"/>
        <v>0</v>
      </c>
      <c r="BH229" s="137">
        <f t="shared" si="96"/>
        <v>0</v>
      </c>
      <c r="BI229" s="137">
        <f t="shared" si="97"/>
        <v>0</v>
      </c>
      <c r="BJ229" s="137">
        <f t="shared" si="98"/>
        <v>0</v>
      </c>
      <c r="BK229" s="137">
        <f t="shared" si="99"/>
        <v>-120.93139750607291</v>
      </c>
      <c r="BL229" s="137">
        <f>IF($K229=$L229,$BK229,IF(OR($K229="graphite",$K229="vitreous carbon"),$BK$406+($BM$389+$I229)*$BJ$406,IF($K229="Pyrolytic Boron Nitride","PBN",IF(COUNTIF($BH$396:$BH$416,$K229)&gt;0,VLOOKUP($K229,$BH$396:$BK$416,4,FALSE)+($BM$389+$I229)*VLOOKUP($K229,$BH$396:$BK$416,3,FALSE),IF(COUNTIF($L$2:$L228,$K229)&gt;0,VLOOKUP($K229,$L$2:$BK228,52,FALSE),"idk")))))</f>
        <v>-61.724390680389831</v>
      </c>
      <c r="BM229" s="136">
        <v>15</v>
      </c>
      <c r="BN229" s="136">
        <v>10</v>
      </c>
      <c r="BO229" s="136">
        <v>2</v>
      </c>
      <c r="BP229" s="136" t="s">
        <v>245</v>
      </c>
      <c r="BQ229" s="136"/>
      <c r="BR229" s="136" t="s">
        <v>230</v>
      </c>
      <c r="BS229" s="136"/>
      <c r="BT229" s="136">
        <v>0</v>
      </c>
      <c r="BU229" s="136">
        <v>76.459999999999994</v>
      </c>
      <c r="BV229" s="136"/>
      <c r="BW229" s="136"/>
      <c r="BX229" s="136"/>
      <c r="BY229" s="136"/>
      <c r="BZ229" s="137">
        <v>26.18</v>
      </c>
      <c r="CA229" s="137">
        <v>12.19</v>
      </c>
      <c r="CB229" s="137"/>
      <c r="CC229" s="136"/>
      <c r="CD229" s="136"/>
      <c r="CE229" s="136"/>
      <c r="CF229" s="136"/>
      <c r="CG229" s="136"/>
      <c r="CH229" s="136"/>
      <c r="CI229" s="152"/>
      <c r="CJ229" s="152"/>
      <c r="CK229" s="152"/>
      <c r="CL229" s="152"/>
      <c r="CM229" s="152"/>
      <c r="CN229" s="152"/>
      <c r="CO229" s="152"/>
      <c r="CP229" s="152">
        <v>36.01</v>
      </c>
      <c r="CQ229" s="152"/>
      <c r="CR229" s="152"/>
      <c r="CS229" s="152"/>
      <c r="CT229" s="152"/>
      <c r="CU229" s="152">
        <v>24.89</v>
      </c>
      <c r="CV229" s="152">
        <v>38.479999999999997</v>
      </c>
      <c r="CW229" s="152"/>
      <c r="CX229" s="152">
        <v>0.65</v>
      </c>
      <c r="CY229" s="152"/>
      <c r="CZ229" s="152"/>
      <c r="DA229" s="152"/>
      <c r="DB229" s="152"/>
      <c r="DC229" s="152"/>
      <c r="DD229" s="152"/>
      <c r="DE229" s="152">
        <v>7.21</v>
      </c>
      <c r="DF229" s="152"/>
      <c r="DG229" s="152"/>
      <c r="DH229" s="152"/>
      <c r="DI229" s="152"/>
      <c r="DJ229" s="136">
        <v>0</v>
      </c>
      <c r="DK229" s="136">
        <v>0</v>
      </c>
      <c r="DL229" s="136"/>
      <c r="DM229" s="136">
        <v>-13</v>
      </c>
      <c r="DN229" s="136"/>
      <c r="DO229" s="136">
        <v>-0.13800000000000001</v>
      </c>
      <c r="DP229" s="136"/>
      <c r="DQ229" s="136"/>
      <c r="DR229" s="136"/>
      <c r="DS229" s="136"/>
      <c r="DT229" s="136"/>
      <c r="DU229" s="136"/>
      <c r="DW229" s="129">
        <f>SUM(_2025_01_07T12_47_export3[[#This Row],[Ni_wt]:[H_wt]])</f>
        <v>100</v>
      </c>
      <c r="DY229" s="130">
        <f>SUM($AM229:BJ229)</f>
        <v>99.999999999999986</v>
      </c>
    </row>
    <row r="230" spans="1:129" x14ac:dyDescent="0.25">
      <c r="A230" s="129" t="s">
        <v>483</v>
      </c>
      <c r="B230" s="129">
        <v>238</v>
      </c>
      <c r="C230" s="129" t="s">
        <v>484</v>
      </c>
      <c r="D230" s="129">
        <v>2024</v>
      </c>
      <c r="E230" s="129" t="s">
        <v>485</v>
      </c>
      <c r="F230" s="129" t="s">
        <v>486</v>
      </c>
      <c r="G230" s="129" t="s">
        <v>226</v>
      </c>
      <c r="H230" s="129">
        <v>0</v>
      </c>
      <c r="I230" s="129">
        <v>700</v>
      </c>
      <c r="J230" s="129">
        <v>168</v>
      </c>
      <c r="K230" s="129" t="s">
        <v>233</v>
      </c>
      <c r="L230" s="129" t="s">
        <v>487</v>
      </c>
      <c r="N230" s="129">
        <v>7850000</v>
      </c>
      <c r="O230" s="130">
        <v>24.98</v>
      </c>
      <c r="P230" s="130">
        <v>19.93</v>
      </c>
      <c r="Q230" s="130">
        <v>1.51</v>
      </c>
      <c r="R230" s="130">
        <f>100-SUM(_2025_01_07T12_47_export3[[#This Row],[Ni_wt]:[Mo_wt]],_2025_01_07T12_47_export3[[#This Row],[W_wt]:[H_wt]])</f>
        <v>51.7575</v>
      </c>
      <c r="S230" s="130"/>
      <c r="T230" s="130"/>
      <c r="U230" s="130">
        <v>0.91</v>
      </c>
      <c r="V230" s="130"/>
      <c r="W230" s="130">
        <v>0.04</v>
      </c>
      <c r="X230" s="130">
        <v>0.44</v>
      </c>
      <c r="Y230" s="130">
        <v>6.6000000000000003E-2</v>
      </c>
      <c r="Z230" s="130"/>
      <c r="AA230" s="130">
        <v>0.2</v>
      </c>
      <c r="AB230" s="130"/>
      <c r="AC230" s="130">
        <v>1.4E-2</v>
      </c>
      <c r="AD230" s="130"/>
      <c r="AE230" s="130">
        <v>4.4999999999999997E-3</v>
      </c>
      <c r="AF230" s="130"/>
      <c r="AG230" s="130"/>
      <c r="AH230" s="130"/>
      <c r="AI230" s="130"/>
      <c r="AJ230" s="130">
        <v>0.14799999999999999</v>
      </c>
      <c r="AK230" s="130"/>
      <c r="AL230" s="130"/>
      <c r="AM230" s="130">
        <f t="shared" si="75"/>
        <v>23.600038227554464</v>
      </c>
      <c r="AN230" s="130">
        <f t="shared" si="76"/>
        <v>21.251438715936718</v>
      </c>
      <c r="AO230" s="130">
        <f t="shared" si="77"/>
        <v>0.87251135956639791</v>
      </c>
      <c r="AP230" s="130">
        <f t="shared" si="78"/>
        <v>51.384779266092856</v>
      </c>
      <c r="AQ230" s="130">
        <f t="shared" si="79"/>
        <v>0</v>
      </c>
      <c r="AR230" s="130">
        <f t="shared" si="80"/>
        <v>0</v>
      </c>
      <c r="AS230" s="130">
        <f t="shared" si="81"/>
        <v>0.91841108974067198</v>
      </c>
      <c r="AT230" s="130">
        <f t="shared" si="82"/>
        <v>0</v>
      </c>
      <c r="AU230" s="130">
        <f t="shared" si="83"/>
        <v>4.6331989128388033E-2</v>
      </c>
      <c r="AV230" s="130">
        <f t="shared" si="84"/>
        <v>0.86853099022197522</v>
      </c>
      <c r="AW230" s="130">
        <f t="shared" si="85"/>
        <v>0.30470901975855896</v>
      </c>
      <c r="AX230" s="130">
        <f t="shared" si="86"/>
        <v>0</v>
      </c>
      <c r="AY230" s="130">
        <f t="shared" si="87"/>
        <v>0.11935810567086076</v>
      </c>
      <c r="AZ230" s="130">
        <f t="shared" si="88"/>
        <v>0</v>
      </c>
      <c r="BA230" s="130">
        <f t="shared" si="89"/>
        <v>2.5065202190880764E-2</v>
      </c>
      <c r="BB230" s="130">
        <f t="shared" si="90"/>
        <v>0</v>
      </c>
      <c r="BC230" s="130">
        <f t="shared" si="91"/>
        <v>2.3081881216678323E-2</v>
      </c>
      <c r="BD230" s="130">
        <f t="shared" si="92"/>
        <v>0</v>
      </c>
      <c r="BE230" s="130">
        <f t="shared" si="93"/>
        <v>0</v>
      </c>
      <c r="BF230" s="130">
        <f t="shared" si="94"/>
        <v>0</v>
      </c>
      <c r="BG230" s="130">
        <f t="shared" si="95"/>
        <v>0</v>
      </c>
      <c r="BH230" s="130">
        <f t="shared" si="96"/>
        <v>0.58574415292155302</v>
      </c>
      <c r="BI230" s="130">
        <f t="shared" si="97"/>
        <v>0</v>
      </c>
      <c r="BJ230" s="130">
        <f t="shared" si="98"/>
        <v>0</v>
      </c>
      <c r="BK230" s="130">
        <f t="shared" si="99"/>
        <v>-135.68673034387308</v>
      </c>
      <c r="BL230" s="130">
        <f>IF($K230=$L230,$BK230,IF(OR($K230="graphite",$K230="vitreous carbon"),$BK$406+($BM$389+$I230)*$BJ$406,IF($K230="Pyrolytic Boron Nitride","PBN",IF(COUNTIF($BH$396:$BH$416,$K230)&gt;0,VLOOKUP($K230,$BH$396:$BK$416,4,FALSE)+($BM$389+$I230)*VLOOKUP($K230,$BH$396:$BK$416,3,FALSE),IF(COUNTIF($L$2:$L229,$K230)&gt;0,VLOOKUP($K230,$L$2:$BK229,52,FALSE),"idk")))))</f>
        <v>-63.529671587210359</v>
      </c>
      <c r="BM230" s="129">
        <v>25.6</v>
      </c>
      <c r="BN230" s="129">
        <v>12.8</v>
      </c>
      <c r="BO230" s="129">
        <v>1.6</v>
      </c>
      <c r="BP230" s="129" t="s">
        <v>245</v>
      </c>
      <c r="BQ230" s="129" t="s">
        <v>299</v>
      </c>
      <c r="BR230" s="129" t="s">
        <v>247</v>
      </c>
      <c r="BS230" s="129"/>
      <c r="BT230" s="129">
        <v>2</v>
      </c>
      <c r="BV230" s="129"/>
      <c r="BZ230" s="129"/>
      <c r="CR230" s="130"/>
      <c r="CS230" s="130"/>
      <c r="CT230" s="130"/>
      <c r="DJ230" s="129">
        <v>0</v>
      </c>
      <c r="DK230" s="129">
        <v>0</v>
      </c>
      <c r="DL230" s="129"/>
      <c r="DM230" s="129">
        <v>-94.23</v>
      </c>
      <c r="DS230" s="129"/>
      <c r="DT230" s="4" t="s">
        <v>488</v>
      </c>
      <c r="DU230" s="129"/>
      <c r="DW230" s="129">
        <f>SUM(_2025_01_07T12_47_export3[[#This Row],[Ni_wt]:[H_wt]])</f>
        <v>99.999999999999986</v>
      </c>
      <c r="DY230" s="130">
        <f>SUM($AM230:BJ230)</f>
        <v>100</v>
      </c>
    </row>
    <row r="231" spans="1:129" ht="16.5" thickBot="1" x14ac:dyDescent="0.3">
      <c r="A231" s="136" t="s">
        <v>483</v>
      </c>
      <c r="B231" s="136">
        <v>239</v>
      </c>
      <c r="C231" s="136" t="s">
        <v>484</v>
      </c>
      <c r="D231" s="136">
        <v>2024</v>
      </c>
      <c r="E231" s="136" t="s">
        <v>485</v>
      </c>
      <c r="F231" s="136" t="s">
        <v>486</v>
      </c>
      <c r="G231" s="136" t="s">
        <v>226</v>
      </c>
      <c r="H231" s="136">
        <v>0</v>
      </c>
      <c r="I231" s="136">
        <v>700</v>
      </c>
      <c r="J231" s="136">
        <v>336</v>
      </c>
      <c r="K231" s="136" t="s">
        <v>233</v>
      </c>
      <c r="L231" s="136" t="s">
        <v>487</v>
      </c>
      <c r="M231" s="136"/>
      <c r="N231" s="136">
        <v>7850000</v>
      </c>
      <c r="O231" s="137">
        <v>24.98</v>
      </c>
      <c r="P231" s="137">
        <v>19.93</v>
      </c>
      <c r="Q231" s="137">
        <v>1.51</v>
      </c>
      <c r="R231" s="137">
        <f>100-SUM(_2025_01_07T12_47_export3[[#This Row],[Ni_wt]:[Mo_wt]],_2025_01_07T12_47_export3[[#This Row],[W_wt]:[H_wt]])</f>
        <v>51.7575</v>
      </c>
      <c r="S231" s="137"/>
      <c r="T231" s="137"/>
      <c r="U231" s="137">
        <v>0.91</v>
      </c>
      <c r="V231" s="137"/>
      <c r="W231" s="137">
        <v>0.04</v>
      </c>
      <c r="X231" s="137">
        <v>0.44</v>
      </c>
      <c r="Y231" s="137">
        <v>6.6000000000000003E-2</v>
      </c>
      <c r="Z231" s="137"/>
      <c r="AA231" s="137">
        <v>0.2</v>
      </c>
      <c r="AB231" s="137"/>
      <c r="AC231" s="137">
        <v>1.4E-2</v>
      </c>
      <c r="AD231" s="137"/>
      <c r="AE231" s="137">
        <v>4.4999999999999997E-3</v>
      </c>
      <c r="AF231" s="137"/>
      <c r="AG231" s="137"/>
      <c r="AH231" s="137"/>
      <c r="AI231" s="137"/>
      <c r="AJ231" s="137">
        <v>0.14799999999999999</v>
      </c>
      <c r="AK231" s="137"/>
      <c r="AL231" s="137"/>
      <c r="AM231" s="137">
        <f t="shared" si="75"/>
        <v>23.600038227554464</v>
      </c>
      <c r="AN231" s="137">
        <f t="shared" si="76"/>
        <v>21.251438715936718</v>
      </c>
      <c r="AO231" s="137">
        <f t="shared" si="77"/>
        <v>0.87251135956639791</v>
      </c>
      <c r="AP231" s="137">
        <f t="shared" si="78"/>
        <v>51.384779266092856</v>
      </c>
      <c r="AQ231" s="137">
        <f t="shared" si="79"/>
        <v>0</v>
      </c>
      <c r="AR231" s="137">
        <f t="shared" si="80"/>
        <v>0</v>
      </c>
      <c r="AS231" s="137">
        <f t="shared" si="81"/>
        <v>0.91841108974067198</v>
      </c>
      <c r="AT231" s="137">
        <f t="shared" si="82"/>
        <v>0</v>
      </c>
      <c r="AU231" s="137">
        <f t="shared" si="83"/>
        <v>4.6331989128388033E-2</v>
      </c>
      <c r="AV231" s="137">
        <f t="shared" si="84"/>
        <v>0.86853099022197522</v>
      </c>
      <c r="AW231" s="137">
        <f t="shared" si="85"/>
        <v>0.30470901975855896</v>
      </c>
      <c r="AX231" s="137">
        <f t="shared" si="86"/>
        <v>0</v>
      </c>
      <c r="AY231" s="137">
        <f t="shared" si="87"/>
        <v>0.11935810567086076</v>
      </c>
      <c r="AZ231" s="137">
        <f t="shared" si="88"/>
        <v>0</v>
      </c>
      <c r="BA231" s="137">
        <f t="shared" si="89"/>
        <v>2.5065202190880764E-2</v>
      </c>
      <c r="BB231" s="137">
        <f t="shared" si="90"/>
        <v>0</v>
      </c>
      <c r="BC231" s="137">
        <f t="shared" si="91"/>
        <v>2.3081881216678323E-2</v>
      </c>
      <c r="BD231" s="137">
        <f t="shared" si="92"/>
        <v>0</v>
      </c>
      <c r="BE231" s="137">
        <f t="shared" si="93"/>
        <v>0</v>
      </c>
      <c r="BF231" s="137">
        <f t="shared" si="94"/>
        <v>0</v>
      </c>
      <c r="BG231" s="137">
        <f t="shared" si="95"/>
        <v>0</v>
      </c>
      <c r="BH231" s="137">
        <f t="shared" si="96"/>
        <v>0.58574415292155302</v>
      </c>
      <c r="BI231" s="137">
        <f t="shared" si="97"/>
        <v>0</v>
      </c>
      <c r="BJ231" s="137">
        <f t="shared" si="98"/>
        <v>0</v>
      </c>
      <c r="BK231" s="137">
        <f t="shared" si="99"/>
        <v>-135.68673034387308</v>
      </c>
      <c r="BL231" s="137">
        <f>IF($K231=$L231,$BK231,IF(OR($K231="graphite",$K231="vitreous carbon"),$BK$406+($BM$389+$I231)*$BJ$406,IF($K231="Pyrolytic Boron Nitride","PBN",IF(COUNTIF($BH$396:$BH$416,$K231)&gt;0,VLOOKUP($K231,$BH$396:$BK$416,4,FALSE)+($BM$389+$I231)*VLOOKUP($K231,$BH$396:$BK$416,3,FALSE),IF(COUNTIF($L$2:$L230,$K231)&gt;0,VLOOKUP($K231,$L$2:$BK230,52,FALSE),"idk")))))</f>
        <v>-63.529671587210359</v>
      </c>
      <c r="BM231" s="136">
        <v>25.6</v>
      </c>
      <c r="BN231" s="136">
        <v>12.8</v>
      </c>
      <c r="BO231" s="136">
        <v>1.6</v>
      </c>
      <c r="BP231" s="136" t="s">
        <v>245</v>
      </c>
      <c r="BQ231" s="136" t="s">
        <v>299</v>
      </c>
      <c r="BR231" s="136" t="s">
        <v>247</v>
      </c>
      <c r="BS231" s="136"/>
      <c r="BT231" s="136">
        <v>2</v>
      </c>
      <c r="BU231" s="136"/>
      <c r="BV231" s="136"/>
      <c r="BW231" s="136"/>
      <c r="BX231" s="136"/>
      <c r="BY231" s="136"/>
      <c r="BZ231" s="136"/>
      <c r="CA231" s="136"/>
      <c r="CB231" s="136"/>
      <c r="CC231" s="136"/>
      <c r="CD231" s="136"/>
      <c r="CE231" s="136"/>
      <c r="CF231" s="136"/>
      <c r="CG231" s="136"/>
      <c r="CH231" s="136"/>
      <c r="CI231" s="136"/>
      <c r="CJ231" s="136"/>
      <c r="CK231" s="136"/>
      <c r="CL231" s="136"/>
      <c r="CM231" s="136"/>
      <c r="CN231" s="136"/>
      <c r="CO231" s="136"/>
      <c r="CP231" s="136"/>
      <c r="CQ231" s="136"/>
      <c r="CR231" s="137"/>
      <c r="CS231" s="137"/>
      <c r="CT231" s="137"/>
      <c r="CU231" s="136"/>
      <c r="CV231" s="136"/>
      <c r="CW231" s="136"/>
      <c r="CX231" s="136"/>
      <c r="CY231" s="136"/>
      <c r="CZ231" s="136"/>
      <c r="DA231" s="136"/>
      <c r="DB231" s="136"/>
      <c r="DC231" s="136"/>
      <c r="DD231" s="136"/>
      <c r="DE231" s="136"/>
      <c r="DF231" s="136"/>
      <c r="DG231" s="136"/>
      <c r="DH231" s="136"/>
      <c r="DI231" s="136"/>
      <c r="DJ231" s="136">
        <v>0</v>
      </c>
      <c r="DK231" s="136">
        <v>0</v>
      </c>
      <c r="DL231" s="136"/>
      <c r="DM231" s="136">
        <v>-97.31</v>
      </c>
      <c r="DN231" s="136"/>
      <c r="DO231" s="136"/>
      <c r="DP231" s="136"/>
      <c r="DQ231" s="136"/>
      <c r="DR231" s="136"/>
      <c r="DS231" s="136"/>
      <c r="DT231" s="136"/>
      <c r="DU231" s="136"/>
      <c r="DW231" s="129">
        <f>SUM(_2025_01_07T12_47_export3[[#This Row],[Ni_wt]:[H_wt]])</f>
        <v>99.999999999999986</v>
      </c>
      <c r="DY231" s="130">
        <f>SUM($AM231:BJ231)</f>
        <v>100</v>
      </c>
    </row>
    <row r="232" spans="1:129" x14ac:dyDescent="0.25">
      <c r="A232" s="129" t="s">
        <v>489</v>
      </c>
      <c r="B232" s="129">
        <v>240</v>
      </c>
      <c r="C232" s="129" t="s">
        <v>490</v>
      </c>
      <c r="D232" s="129">
        <v>2014</v>
      </c>
      <c r="E232" s="129" t="s">
        <v>491</v>
      </c>
      <c r="F232" s="129" t="s">
        <v>492</v>
      </c>
      <c r="G232" s="129" t="s">
        <v>226</v>
      </c>
      <c r="H232" s="129">
        <v>0</v>
      </c>
      <c r="I232" s="129">
        <v>650</v>
      </c>
      <c r="J232" s="129">
        <v>15</v>
      </c>
      <c r="K232" s="129" t="s">
        <v>233</v>
      </c>
      <c r="L232" s="129" t="s">
        <v>493</v>
      </c>
      <c r="N232" s="129">
        <v>9220000</v>
      </c>
      <c r="O232" s="130">
        <v>67.239999999999995</v>
      </c>
      <c r="P232" s="130">
        <v>1.34</v>
      </c>
      <c r="Q232" s="130">
        <v>26</v>
      </c>
      <c r="R232" s="130">
        <v>3.39</v>
      </c>
      <c r="S232" s="130"/>
      <c r="T232" s="130">
        <v>7.0000000000000007E-2</v>
      </c>
      <c r="U232" s="130">
        <v>0.94</v>
      </c>
      <c r="V232" s="130">
        <v>0.37</v>
      </c>
      <c r="W232" s="130">
        <v>0.02</v>
      </c>
      <c r="X232" s="130">
        <v>0.23</v>
      </c>
      <c r="Y232" s="130"/>
      <c r="Z232" s="130"/>
      <c r="AA232" s="130">
        <v>0.13</v>
      </c>
      <c r="AB232" s="130"/>
      <c r="AC232" s="130"/>
      <c r="AD232" s="130"/>
      <c r="AE232" s="130"/>
      <c r="AF232" s="130"/>
      <c r="AG232" s="130"/>
      <c r="AH232" s="130"/>
      <c r="AI232" s="130"/>
      <c r="AJ232" s="130"/>
      <c r="AK232" s="130"/>
      <c r="AL232" s="130"/>
      <c r="AM232" s="130">
        <f t="shared" si="75"/>
        <v>74.148777135847197</v>
      </c>
      <c r="AN232" s="130">
        <f t="shared" si="76"/>
        <v>1.6677918702059928</v>
      </c>
      <c r="AO232" s="130">
        <f t="shared" si="77"/>
        <v>17.535716129532382</v>
      </c>
      <c r="AP232" s="130">
        <f t="shared" si="78"/>
        <v>3.9284110006802928</v>
      </c>
      <c r="AQ232" s="130">
        <f t="shared" si="79"/>
        <v>0</v>
      </c>
      <c r="AR232" s="130">
        <f t="shared" si="80"/>
        <v>7.6877985866735582E-2</v>
      </c>
      <c r="AS232" s="130">
        <f t="shared" si="81"/>
        <v>1.1073364513752983</v>
      </c>
      <c r="AT232" s="130">
        <f t="shared" si="82"/>
        <v>0.8875650172809959</v>
      </c>
      <c r="AU232" s="130">
        <f t="shared" si="83"/>
        <v>2.7040017351318914E-2</v>
      </c>
      <c r="AV232" s="130">
        <f t="shared" si="84"/>
        <v>0.52992754546058451</v>
      </c>
      <c r="AW232" s="130">
        <f t="shared" si="85"/>
        <v>0</v>
      </c>
      <c r="AX232" s="130">
        <f t="shared" si="86"/>
        <v>0</v>
      </c>
      <c r="AY232" s="130">
        <f t="shared" si="87"/>
        <v>9.05568463991996E-2</v>
      </c>
      <c r="AZ232" s="130">
        <f t="shared" si="88"/>
        <v>0</v>
      </c>
      <c r="BA232" s="130">
        <f t="shared" si="89"/>
        <v>0</v>
      </c>
      <c r="BB232" s="130">
        <f t="shared" si="90"/>
        <v>0</v>
      </c>
      <c r="BC232" s="130">
        <f t="shared" si="91"/>
        <v>0</v>
      </c>
      <c r="BD232" s="130">
        <f t="shared" si="92"/>
        <v>0</v>
      </c>
      <c r="BE232" s="130">
        <f t="shared" si="93"/>
        <v>0</v>
      </c>
      <c r="BF232" s="130">
        <f t="shared" si="94"/>
        <v>0</v>
      </c>
      <c r="BG232" s="130">
        <f t="shared" si="95"/>
        <v>0</v>
      </c>
      <c r="BH232" s="130">
        <f t="shared" si="96"/>
        <v>0</v>
      </c>
      <c r="BI232" s="130">
        <f t="shared" si="97"/>
        <v>0</v>
      </c>
      <c r="BJ232" s="130">
        <f t="shared" si="98"/>
        <v>0</v>
      </c>
      <c r="BK232" s="130">
        <f t="shared" si="99"/>
        <v>-124.41412875304353</v>
      </c>
      <c r="BL232" s="130">
        <f>IF($K232=$L232,$BK232,IF(OR($K232="graphite",$K232="vitreous carbon"),$BK$406+($BM$389+$I232)*$BJ$406,IF($K232="Pyrolytic Boron Nitride","PBN",IF(COUNTIF($BH$396:$BH$416,$K232)&gt;0,VLOOKUP($K232,$BH$396:$BK$416,4,FALSE)+($BM$389+$I232)*VLOOKUP($K232,$BH$396:$BK$416,3,FALSE),IF(COUNTIF($L$2:$L231,$K232)&gt;0,VLOOKUP($K232,$L$2:$BK231,52,FALSE),"idk")))))</f>
        <v>-64.432312040620616</v>
      </c>
      <c r="BM232" s="129">
        <v>30</v>
      </c>
      <c r="BN232" s="129">
        <v>12</v>
      </c>
      <c r="BO232" s="129">
        <v>1.5</v>
      </c>
      <c r="BP232" s="129" t="s">
        <v>245</v>
      </c>
      <c r="BQ232" s="129" t="s">
        <v>494</v>
      </c>
      <c r="BR232" s="129" t="s">
        <v>247</v>
      </c>
      <c r="BS232" s="129"/>
      <c r="BT232" s="129">
        <v>0</v>
      </c>
      <c r="BV232" s="129"/>
      <c r="BZ232" s="130"/>
      <c r="CA232" s="130"/>
      <c r="CB232" s="130"/>
      <c r="CI232" s="151"/>
      <c r="CJ232" s="151"/>
      <c r="CK232" s="151"/>
      <c r="CL232" s="151"/>
      <c r="CM232" s="151"/>
      <c r="CN232" s="151"/>
      <c r="CO232" s="151"/>
      <c r="CP232" s="151"/>
      <c r="CQ232" s="151"/>
      <c r="CR232" s="151"/>
      <c r="CS232" s="151"/>
      <c r="CT232" s="151"/>
      <c r="CU232" s="151"/>
      <c r="CV232" s="151"/>
      <c r="CW232" s="151"/>
      <c r="CX232" s="151"/>
      <c r="CY232" s="151"/>
      <c r="CZ232" s="151"/>
      <c r="DA232" s="151"/>
      <c r="DB232" s="151"/>
      <c r="DC232" s="151"/>
      <c r="DD232" s="151"/>
      <c r="DE232" s="151"/>
      <c r="DF232" s="151"/>
      <c r="DG232" s="151"/>
      <c r="DH232" s="151"/>
      <c r="DI232" s="151"/>
      <c r="DJ232" s="129">
        <v>0</v>
      </c>
      <c r="DK232" s="129">
        <v>0</v>
      </c>
      <c r="DL232" s="129"/>
      <c r="DO232" s="129">
        <v>-2.7</v>
      </c>
      <c r="DS232" s="129"/>
      <c r="DT232" s="4" t="s">
        <v>495</v>
      </c>
      <c r="DU232" s="129"/>
      <c r="DW232" s="129">
        <f>SUM(_2025_01_07T12_47_export3[[#This Row],[Ni_wt]:[H_wt]])</f>
        <v>99.72999999999999</v>
      </c>
      <c r="DY232" s="130">
        <f>SUM($AM232:BJ232)</f>
        <v>99.999999999999986</v>
      </c>
    </row>
    <row r="233" spans="1:129" x14ac:dyDescent="0.25">
      <c r="A233" s="129" t="s">
        <v>489</v>
      </c>
      <c r="B233" s="129">
        <v>241</v>
      </c>
      <c r="C233" s="129" t="s">
        <v>490</v>
      </c>
      <c r="D233" s="129">
        <v>2014</v>
      </c>
      <c r="E233" s="129" t="s">
        <v>491</v>
      </c>
      <c r="F233" s="129" t="s">
        <v>492</v>
      </c>
      <c r="G233" s="129" t="s">
        <v>226</v>
      </c>
      <c r="H233" s="129">
        <v>0</v>
      </c>
      <c r="I233" s="129">
        <v>650</v>
      </c>
      <c r="J233" s="129">
        <v>35</v>
      </c>
      <c r="K233" s="129" t="s">
        <v>233</v>
      </c>
      <c r="L233" s="129" t="s">
        <v>493</v>
      </c>
      <c r="N233" s="129">
        <v>9220000</v>
      </c>
      <c r="O233" s="130">
        <v>67.239999999999995</v>
      </c>
      <c r="P233" s="130">
        <v>1.34</v>
      </c>
      <c r="Q233" s="130">
        <v>26</v>
      </c>
      <c r="R233" s="130">
        <v>3.39</v>
      </c>
      <c r="S233" s="130"/>
      <c r="T233" s="130">
        <v>7.0000000000000007E-2</v>
      </c>
      <c r="U233" s="130">
        <v>0.94</v>
      </c>
      <c r="V233" s="130">
        <v>0.37</v>
      </c>
      <c r="W233" s="130">
        <v>0.02</v>
      </c>
      <c r="X233" s="130">
        <v>0.23</v>
      </c>
      <c r="Y233" s="130"/>
      <c r="Z233" s="130"/>
      <c r="AA233" s="130">
        <v>0.13</v>
      </c>
      <c r="AB233" s="130"/>
      <c r="AC233" s="130"/>
      <c r="AD233" s="130"/>
      <c r="AE233" s="130"/>
      <c r="AF233" s="130"/>
      <c r="AG233" s="130"/>
      <c r="AH233" s="130"/>
      <c r="AI233" s="130"/>
      <c r="AJ233" s="130"/>
      <c r="AK233" s="130"/>
      <c r="AL233" s="130"/>
      <c r="AM233" s="130">
        <f t="shared" si="75"/>
        <v>74.148777135847197</v>
      </c>
      <c r="AN233" s="130">
        <f t="shared" si="76"/>
        <v>1.6677918702059928</v>
      </c>
      <c r="AO233" s="130">
        <f t="shared" si="77"/>
        <v>17.535716129532382</v>
      </c>
      <c r="AP233" s="130">
        <f t="shared" si="78"/>
        <v>3.9284110006802928</v>
      </c>
      <c r="AQ233" s="130">
        <f t="shared" si="79"/>
        <v>0</v>
      </c>
      <c r="AR233" s="130">
        <f t="shared" si="80"/>
        <v>7.6877985866735582E-2</v>
      </c>
      <c r="AS233" s="130">
        <f t="shared" si="81"/>
        <v>1.1073364513752983</v>
      </c>
      <c r="AT233" s="130">
        <f t="shared" si="82"/>
        <v>0.8875650172809959</v>
      </c>
      <c r="AU233" s="130">
        <f t="shared" si="83"/>
        <v>2.7040017351318914E-2</v>
      </c>
      <c r="AV233" s="130">
        <f t="shared" si="84"/>
        <v>0.52992754546058451</v>
      </c>
      <c r="AW233" s="130">
        <f t="shared" si="85"/>
        <v>0</v>
      </c>
      <c r="AX233" s="130">
        <f t="shared" si="86"/>
        <v>0</v>
      </c>
      <c r="AY233" s="130">
        <f t="shared" si="87"/>
        <v>9.05568463991996E-2</v>
      </c>
      <c r="AZ233" s="130">
        <f t="shared" si="88"/>
        <v>0</v>
      </c>
      <c r="BA233" s="130">
        <f t="shared" si="89"/>
        <v>0</v>
      </c>
      <c r="BB233" s="130">
        <f t="shared" si="90"/>
        <v>0</v>
      </c>
      <c r="BC233" s="130">
        <f t="shared" si="91"/>
        <v>0</v>
      </c>
      <c r="BD233" s="130">
        <f t="shared" si="92"/>
        <v>0</v>
      </c>
      <c r="BE233" s="130">
        <f t="shared" si="93"/>
        <v>0</v>
      </c>
      <c r="BF233" s="130">
        <f t="shared" si="94"/>
        <v>0</v>
      </c>
      <c r="BG233" s="130">
        <f t="shared" si="95"/>
        <v>0</v>
      </c>
      <c r="BH233" s="130">
        <f t="shared" si="96"/>
        <v>0</v>
      </c>
      <c r="BI233" s="130">
        <f t="shared" si="97"/>
        <v>0</v>
      </c>
      <c r="BJ233" s="130">
        <f t="shared" si="98"/>
        <v>0</v>
      </c>
      <c r="BK233" s="130">
        <f t="shared" si="99"/>
        <v>-124.41412875304353</v>
      </c>
      <c r="BL233" s="130">
        <f>IF($K233=$L233,$BK233,IF(OR($K233="graphite",$K233="vitreous carbon"),$BK$406+($BM$389+$I233)*$BJ$406,IF($K233="Pyrolytic Boron Nitride","PBN",IF(COUNTIF($BH$396:$BH$416,$K233)&gt;0,VLOOKUP($K233,$BH$396:$BK$416,4,FALSE)+($BM$389+$I233)*VLOOKUP($K233,$BH$396:$BK$416,3,FALSE),IF(COUNTIF($L$2:$L232,$K233)&gt;0,VLOOKUP($K233,$L$2:$BK232,52,FALSE),"idk")))))</f>
        <v>-64.432312040620616</v>
      </c>
      <c r="BM233" s="129">
        <v>30</v>
      </c>
      <c r="BN233" s="129">
        <v>12</v>
      </c>
      <c r="BO233" s="129">
        <v>1.5</v>
      </c>
      <c r="BP233" s="129" t="s">
        <v>245</v>
      </c>
      <c r="BQ233" s="129" t="s">
        <v>494</v>
      </c>
      <c r="BR233" s="129" t="s">
        <v>247</v>
      </c>
      <c r="BS233" s="129"/>
      <c r="BT233" s="129">
        <v>0</v>
      </c>
      <c r="BV233" s="129"/>
      <c r="BZ233" s="130"/>
      <c r="CA233" s="130"/>
      <c r="CB233" s="130"/>
      <c r="CI233" s="151"/>
      <c r="CJ233" s="151"/>
      <c r="CK233" s="151"/>
      <c r="CL233" s="151"/>
      <c r="CM233" s="151"/>
      <c r="CN233" s="151"/>
      <c r="CO233" s="151"/>
      <c r="CP233" s="151"/>
      <c r="CQ233" s="151"/>
      <c r="CR233" s="151"/>
      <c r="CS233" s="151"/>
      <c r="CT233" s="151"/>
      <c r="CU233" s="151"/>
      <c r="CV233" s="151"/>
      <c r="CW233" s="151"/>
      <c r="CX233" s="151"/>
      <c r="CY233" s="151"/>
      <c r="CZ233" s="151"/>
      <c r="DA233" s="151"/>
      <c r="DB233" s="151"/>
      <c r="DC233" s="151"/>
      <c r="DD233" s="151"/>
      <c r="DE233" s="151"/>
      <c r="DF233" s="151"/>
      <c r="DG233" s="151"/>
      <c r="DH233" s="151"/>
      <c r="DI233" s="151"/>
      <c r="DJ233" s="129">
        <v>0</v>
      </c>
      <c r="DK233" s="129">
        <v>0</v>
      </c>
      <c r="DL233" s="129"/>
      <c r="DO233" s="129">
        <v>-5.0599999999999996</v>
      </c>
      <c r="DS233" s="129"/>
      <c r="DU233" s="129"/>
      <c r="DW233" s="129">
        <f>SUM(_2025_01_07T12_47_export3[[#This Row],[Ni_wt]:[H_wt]])</f>
        <v>99.72999999999999</v>
      </c>
      <c r="DY233" s="130">
        <f>SUM($AM233:BJ233)</f>
        <v>99.999999999999986</v>
      </c>
    </row>
    <row r="234" spans="1:129" x14ac:dyDescent="0.25">
      <c r="A234" s="129" t="s">
        <v>489</v>
      </c>
      <c r="B234" s="129">
        <v>242</v>
      </c>
      <c r="C234" s="129" t="s">
        <v>490</v>
      </c>
      <c r="D234" s="129">
        <v>2014</v>
      </c>
      <c r="E234" s="129" t="s">
        <v>491</v>
      </c>
      <c r="F234" s="129" t="s">
        <v>492</v>
      </c>
      <c r="G234" s="129" t="s">
        <v>226</v>
      </c>
      <c r="H234" s="129">
        <v>0</v>
      </c>
      <c r="I234" s="129">
        <v>650</v>
      </c>
      <c r="J234" s="129">
        <v>60</v>
      </c>
      <c r="K234" s="129" t="s">
        <v>233</v>
      </c>
      <c r="L234" s="129" t="s">
        <v>493</v>
      </c>
      <c r="N234" s="129">
        <v>9220000</v>
      </c>
      <c r="O234" s="130">
        <v>67.239999999999995</v>
      </c>
      <c r="P234" s="130">
        <v>1.34</v>
      </c>
      <c r="Q234" s="130">
        <v>26</v>
      </c>
      <c r="R234" s="130">
        <v>3.39</v>
      </c>
      <c r="S234" s="130"/>
      <c r="T234" s="130">
        <v>7.0000000000000007E-2</v>
      </c>
      <c r="U234" s="130">
        <v>0.94</v>
      </c>
      <c r="V234" s="130">
        <v>0.37</v>
      </c>
      <c r="W234" s="130">
        <v>0.02</v>
      </c>
      <c r="X234" s="130">
        <v>0.23</v>
      </c>
      <c r="Y234" s="130"/>
      <c r="Z234" s="130"/>
      <c r="AA234" s="130">
        <v>0.13</v>
      </c>
      <c r="AB234" s="130"/>
      <c r="AC234" s="130"/>
      <c r="AD234" s="130"/>
      <c r="AE234" s="130"/>
      <c r="AF234" s="130"/>
      <c r="AG234" s="130"/>
      <c r="AH234" s="130"/>
      <c r="AI234" s="130"/>
      <c r="AJ234" s="130"/>
      <c r="AK234" s="130"/>
      <c r="AL234" s="130"/>
      <c r="AM234" s="130">
        <f t="shared" si="75"/>
        <v>74.148777135847197</v>
      </c>
      <c r="AN234" s="130">
        <f t="shared" si="76"/>
        <v>1.6677918702059928</v>
      </c>
      <c r="AO234" s="130">
        <f t="shared" si="77"/>
        <v>17.535716129532382</v>
      </c>
      <c r="AP234" s="130">
        <f t="shared" si="78"/>
        <v>3.9284110006802928</v>
      </c>
      <c r="AQ234" s="130">
        <f t="shared" si="79"/>
        <v>0</v>
      </c>
      <c r="AR234" s="130">
        <f t="shared" si="80"/>
        <v>7.6877985866735582E-2</v>
      </c>
      <c r="AS234" s="130">
        <f t="shared" si="81"/>
        <v>1.1073364513752983</v>
      </c>
      <c r="AT234" s="130">
        <f t="shared" si="82"/>
        <v>0.8875650172809959</v>
      </c>
      <c r="AU234" s="130">
        <f t="shared" si="83"/>
        <v>2.7040017351318914E-2</v>
      </c>
      <c r="AV234" s="130">
        <f t="shared" si="84"/>
        <v>0.52992754546058451</v>
      </c>
      <c r="AW234" s="130">
        <f t="shared" si="85"/>
        <v>0</v>
      </c>
      <c r="AX234" s="130">
        <f t="shared" si="86"/>
        <v>0</v>
      </c>
      <c r="AY234" s="130">
        <f t="shared" si="87"/>
        <v>9.05568463991996E-2</v>
      </c>
      <c r="AZ234" s="130">
        <f t="shared" si="88"/>
        <v>0</v>
      </c>
      <c r="BA234" s="130">
        <f t="shared" si="89"/>
        <v>0</v>
      </c>
      <c r="BB234" s="130">
        <f t="shared" si="90"/>
        <v>0</v>
      </c>
      <c r="BC234" s="130">
        <f t="shared" si="91"/>
        <v>0</v>
      </c>
      <c r="BD234" s="130">
        <f t="shared" si="92"/>
        <v>0</v>
      </c>
      <c r="BE234" s="130">
        <f t="shared" si="93"/>
        <v>0</v>
      </c>
      <c r="BF234" s="130">
        <f t="shared" si="94"/>
        <v>0</v>
      </c>
      <c r="BG234" s="130">
        <f t="shared" si="95"/>
        <v>0</v>
      </c>
      <c r="BH234" s="130">
        <f t="shared" si="96"/>
        <v>0</v>
      </c>
      <c r="BI234" s="130">
        <f t="shared" si="97"/>
        <v>0</v>
      </c>
      <c r="BJ234" s="130">
        <f t="shared" si="98"/>
        <v>0</v>
      </c>
      <c r="BK234" s="130">
        <f t="shared" si="99"/>
        <v>-124.41412875304353</v>
      </c>
      <c r="BL234" s="130">
        <f>IF($K234=$L234,$BK234,IF(OR($K234="graphite",$K234="vitreous carbon"),$BK$406+($BM$389+$I234)*$BJ$406,IF($K234="Pyrolytic Boron Nitride","PBN",IF(COUNTIF($BH$396:$BH$416,$K234)&gt;0,VLOOKUP($K234,$BH$396:$BK$416,4,FALSE)+($BM$389+$I234)*VLOOKUP($K234,$BH$396:$BK$416,3,FALSE),IF(COUNTIF($L$2:$L233,$K234)&gt;0,VLOOKUP($K234,$L$2:$BK233,52,FALSE),"idk")))))</f>
        <v>-64.432312040620616</v>
      </c>
      <c r="BM234" s="129">
        <v>30</v>
      </c>
      <c r="BN234" s="129">
        <v>12</v>
      </c>
      <c r="BO234" s="129">
        <v>1.5</v>
      </c>
      <c r="BP234" s="129" t="s">
        <v>245</v>
      </c>
      <c r="BQ234" s="129" t="s">
        <v>494</v>
      </c>
      <c r="BR234" s="129" t="s">
        <v>247</v>
      </c>
      <c r="BS234" s="129"/>
      <c r="BT234" s="129">
        <v>0</v>
      </c>
      <c r="BV234" s="129"/>
      <c r="BZ234" s="130"/>
      <c r="CA234" s="130"/>
      <c r="CB234" s="130"/>
      <c r="CI234" s="151"/>
      <c r="CJ234" s="151"/>
      <c r="CK234" s="151"/>
      <c r="CL234" s="151"/>
      <c r="CM234" s="151"/>
      <c r="CN234" s="151"/>
      <c r="CO234" s="151"/>
      <c r="CP234" s="151"/>
      <c r="CQ234" s="151"/>
      <c r="CR234" s="151"/>
      <c r="CS234" s="151"/>
      <c r="CT234" s="151"/>
      <c r="CU234" s="151"/>
      <c r="CV234" s="151"/>
      <c r="CW234" s="151"/>
      <c r="CX234" s="151"/>
      <c r="CY234" s="151"/>
      <c r="CZ234" s="151"/>
      <c r="DA234" s="151"/>
      <c r="DB234" s="151"/>
      <c r="DC234" s="151"/>
      <c r="DD234" s="151"/>
      <c r="DE234" s="151"/>
      <c r="DF234" s="151"/>
      <c r="DG234" s="151"/>
      <c r="DH234" s="151"/>
      <c r="DI234" s="151"/>
      <c r="DJ234" s="129">
        <v>0</v>
      </c>
      <c r="DK234" s="129">
        <v>0</v>
      </c>
      <c r="DL234" s="129"/>
      <c r="DM234" s="129">
        <v>-30</v>
      </c>
      <c r="DO234" s="129">
        <v>-10.94</v>
      </c>
      <c r="DS234" s="129"/>
      <c r="DU234" s="129"/>
      <c r="DW234" s="129">
        <f>SUM(_2025_01_07T12_47_export3[[#This Row],[Ni_wt]:[H_wt]])</f>
        <v>99.72999999999999</v>
      </c>
      <c r="DY234" s="130">
        <f>SUM($AM234:BJ234)</f>
        <v>99.999999999999986</v>
      </c>
    </row>
    <row r="235" spans="1:129" x14ac:dyDescent="0.25">
      <c r="A235" s="129" t="s">
        <v>489</v>
      </c>
      <c r="B235" s="129">
        <v>243</v>
      </c>
      <c r="C235" s="129" t="s">
        <v>490</v>
      </c>
      <c r="D235" s="129">
        <v>2014</v>
      </c>
      <c r="E235" s="129" t="s">
        <v>491</v>
      </c>
      <c r="F235" s="129" t="s">
        <v>492</v>
      </c>
      <c r="G235" s="129" t="s">
        <v>226</v>
      </c>
      <c r="H235" s="129">
        <v>0</v>
      </c>
      <c r="I235" s="129">
        <v>650</v>
      </c>
      <c r="J235" s="129">
        <v>84</v>
      </c>
      <c r="K235" s="129" t="s">
        <v>233</v>
      </c>
      <c r="L235" s="129" t="s">
        <v>493</v>
      </c>
      <c r="N235" s="129">
        <v>9220000</v>
      </c>
      <c r="O235" s="130">
        <v>67.239999999999995</v>
      </c>
      <c r="P235" s="130">
        <v>1.34</v>
      </c>
      <c r="Q235" s="130">
        <v>26</v>
      </c>
      <c r="R235" s="130">
        <v>3.39</v>
      </c>
      <c r="S235" s="130"/>
      <c r="T235" s="130">
        <v>7.0000000000000007E-2</v>
      </c>
      <c r="U235" s="130">
        <v>0.94</v>
      </c>
      <c r="V235" s="130">
        <v>0.37</v>
      </c>
      <c r="W235" s="130">
        <v>0.02</v>
      </c>
      <c r="X235" s="130">
        <v>0.23</v>
      </c>
      <c r="Y235" s="130"/>
      <c r="Z235" s="130"/>
      <c r="AA235" s="130">
        <v>0.13</v>
      </c>
      <c r="AB235" s="130"/>
      <c r="AC235" s="130"/>
      <c r="AD235" s="130"/>
      <c r="AE235" s="130"/>
      <c r="AF235" s="130"/>
      <c r="AG235" s="130"/>
      <c r="AH235" s="130"/>
      <c r="AI235" s="130"/>
      <c r="AJ235" s="130"/>
      <c r="AK235" s="130"/>
      <c r="AL235" s="130"/>
      <c r="AM235" s="130">
        <f t="shared" si="75"/>
        <v>74.148777135847197</v>
      </c>
      <c r="AN235" s="130">
        <f t="shared" si="76"/>
        <v>1.6677918702059928</v>
      </c>
      <c r="AO235" s="130">
        <f t="shared" si="77"/>
        <v>17.535716129532382</v>
      </c>
      <c r="AP235" s="130">
        <f t="shared" si="78"/>
        <v>3.9284110006802928</v>
      </c>
      <c r="AQ235" s="130">
        <f t="shared" si="79"/>
        <v>0</v>
      </c>
      <c r="AR235" s="130">
        <f t="shared" si="80"/>
        <v>7.6877985866735582E-2</v>
      </c>
      <c r="AS235" s="130">
        <f t="shared" si="81"/>
        <v>1.1073364513752983</v>
      </c>
      <c r="AT235" s="130">
        <f t="shared" si="82"/>
        <v>0.8875650172809959</v>
      </c>
      <c r="AU235" s="130">
        <f t="shared" si="83"/>
        <v>2.7040017351318914E-2</v>
      </c>
      <c r="AV235" s="130">
        <f t="shared" si="84"/>
        <v>0.52992754546058451</v>
      </c>
      <c r="AW235" s="130">
        <f t="shared" si="85"/>
        <v>0</v>
      </c>
      <c r="AX235" s="130">
        <f t="shared" si="86"/>
        <v>0</v>
      </c>
      <c r="AY235" s="130">
        <f t="shared" si="87"/>
        <v>9.05568463991996E-2</v>
      </c>
      <c r="AZ235" s="130">
        <f t="shared" si="88"/>
        <v>0</v>
      </c>
      <c r="BA235" s="130">
        <f t="shared" si="89"/>
        <v>0</v>
      </c>
      <c r="BB235" s="130">
        <f t="shared" si="90"/>
        <v>0</v>
      </c>
      <c r="BC235" s="130">
        <f t="shared" si="91"/>
        <v>0</v>
      </c>
      <c r="BD235" s="130">
        <f t="shared" si="92"/>
        <v>0</v>
      </c>
      <c r="BE235" s="130">
        <f t="shared" si="93"/>
        <v>0</v>
      </c>
      <c r="BF235" s="130">
        <f t="shared" si="94"/>
        <v>0</v>
      </c>
      <c r="BG235" s="130">
        <f t="shared" si="95"/>
        <v>0</v>
      </c>
      <c r="BH235" s="130">
        <f t="shared" si="96"/>
        <v>0</v>
      </c>
      <c r="BI235" s="130">
        <f t="shared" si="97"/>
        <v>0</v>
      </c>
      <c r="BJ235" s="130">
        <f t="shared" si="98"/>
        <v>0</v>
      </c>
      <c r="BK235" s="130">
        <f t="shared" si="99"/>
        <v>-124.41412875304353</v>
      </c>
      <c r="BL235" s="130">
        <f>IF($K235=$L235,$BK235,IF(OR($K235="graphite",$K235="vitreous carbon"),$BK$406+($BM$389+$I235)*$BJ$406,IF($K235="Pyrolytic Boron Nitride","PBN",IF(COUNTIF($BH$396:$BH$416,$K235)&gt;0,VLOOKUP($K235,$BH$396:$BK$416,4,FALSE)+($BM$389+$I235)*VLOOKUP($K235,$BH$396:$BK$416,3,FALSE),IF(COUNTIF($L$2:$L234,$K235)&gt;0,VLOOKUP($K235,$L$2:$BK234,52,FALSE),"idk")))))</f>
        <v>-64.432312040620616</v>
      </c>
      <c r="BM235" s="129">
        <v>30</v>
      </c>
      <c r="BN235" s="129">
        <v>12</v>
      </c>
      <c r="BO235" s="129">
        <v>1.5</v>
      </c>
      <c r="BP235" s="129" t="s">
        <v>245</v>
      </c>
      <c r="BQ235" s="129" t="s">
        <v>494</v>
      </c>
      <c r="BR235" s="129" t="s">
        <v>247</v>
      </c>
      <c r="BS235" s="129"/>
      <c r="BT235" s="129">
        <v>0</v>
      </c>
      <c r="BV235" s="129"/>
      <c r="BZ235" s="130"/>
      <c r="CA235" s="130"/>
      <c r="CB235" s="130"/>
      <c r="CI235" s="151"/>
      <c r="CJ235" s="151"/>
      <c r="CK235" s="151"/>
      <c r="CL235" s="151"/>
      <c r="CM235" s="151"/>
      <c r="CN235" s="151"/>
      <c r="CO235" s="151"/>
      <c r="CP235" s="151"/>
      <c r="CQ235" s="151"/>
      <c r="CR235" s="151"/>
      <c r="CS235" s="151"/>
      <c r="CT235" s="151"/>
      <c r="CU235" s="151"/>
      <c r="CV235" s="151"/>
      <c r="CW235" s="151"/>
      <c r="CX235" s="151"/>
      <c r="CY235" s="151"/>
      <c r="CZ235" s="151"/>
      <c r="DA235" s="151"/>
      <c r="DB235" s="151"/>
      <c r="DC235" s="151"/>
      <c r="DD235" s="151"/>
      <c r="DE235" s="151"/>
      <c r="DF235" s="151"/>
      <c r="DG235" s="151"/>
      <c r="DH235" s="151"/>
      <c r="DI235" s="151"/>
      <c r="DJ235" s="129">
        <v>0</v>
      </c>
      <c r="DK235" s="129">
        <v>0</v>
      </c>
      <c r="DL235" s="129"/>
      <c r="DO235" s="129">
        <v>-10.59</v>
      </c>
      <c r="DS235" s="129"/>
      <c r="DU235" s="129"/>
      <c r="DW235" s="129">
        <f>SUM(_2025_01_07T12_47_export3[[#This Row],[Ni_wt]:[H_wt]])</f>
        <v>99.72999999999999</v>
      </c>
      <c r="DY235" s="130">
        <f>SUM($AM235:BJ235)</f>
        <v>99.999999999999986</v>
      </c>
    </row>
    <row r="236" spans="1:129" x14ac:dyDescent="0.25">
      <c r="A236" s="129" t="s">
        <v>496</v>
      </c>
      <c r="B236" s="129">
        <v>244</v>
      </c>
      <c r="C236" s="129" t="s">
        <v>490</v>
      </c>
      <c r="D236" s="129">
        <v>2014</v>
      </c>
      <c r="E236" s="129" t="s">
        <v>491</v>
      </c>
      <c r="F236" s="129" t="s">
        <v>492</v>
      </c>
      <c r="G236" s="129" t="s">
        <v>226</v>
      </c>
      <c r="H236" s="129">
        <v>0</v>
      </c>
      <c r="I236" s="129">
        <v>650</v>
      </c>
      <c r="J236" s="129">
        <v>60</v>
      </c>
      <c r="K236" s="129" t="s">
        <v>233</v>
      </c>
      <c r="L236" s="159" t="s">
        <v>251</v>
      </c>
      <c r="N236" s="129">
        <v>8900000</v>
      </c>
      <c r="O236" s="130">
        <v>99.79</v>
      </c>
      <c r="P236" s="130"/>
      <c r="Q236" s="130"/>
      <c r="R236" s="130">
        <v>0.02</v>
      </c>
      <c r="S236" s="130"/>
      <c r="T236" s="130"/>
      <c r="U236" s="130">
        <v>0.16</v>
      </c>
      <c r="V236" s="130"/>
      <c r="W236" s="130"/>
      <c r="X236" s="130">
        <v>0.02</v>
      </c>
      <c r="Y236" s="130"/>
      <c r="Z236" s="130"/>
      <c r="AA236" s="130"/>
      <c r="AB236" s="130"/>
      <c r="AC236" s="130"/>
      <c r="AD236" s="130"/>
      <c r="AE236" s="130"/>
      <c r="AF236" s="130"/>
      <c r="AG236" s="130"/>
      <c r="AH236" s="130"/>
      <c r="AI236" s="130"/>
      <c r="AJ236" s="130"/>
      <c r="AK236" s="130"/>
      <c r="AL236" s="130"/>
      <c r="AM236" s="130">
        <f t="shared" si="75"/>
        <v>99.766330310999692</v>
      </c>
      <c r="AN236" s="130">
        <f t="shared" si="76"/>
        <v>0</v>
      </c>
      <c r="AO236" s="130">
        <f t="shared" si="77"/>
        <v>0</v>
      </c>
      <c r="AP236" s="130">
        <f t="shared" si="78"/>
        <v>2.1012024718166239E-2</v>
      </c>
      <c r="AQ236" s="130">
        <f t="shared" si="79"/>
        <v>0</v>
      </c>
      <c r="AR236" s="130">
        <f t="shared" si="80"/>
        <v>0</v>
      </c>
      <c r="AS236" s="130">
        <f t="shared" si="81"/>
        <v>0.17088046312480301</v>
      </c>
      <c r="AT236" s="130">
        <f t="shared" si="82"/>
        <v>0</v>
      </c>
      <c r="AU236" s="130">
        <f t="shared" si="83"/>
        <v>0</v>
      </c>
      <c r="AV236" s="130">
        <f t="shared" si="84"/>
        <v>4.1777201157336581E-2</v>
      </c>
      <c r="AW236" s="130">
        <f t="shared" si="85"/>
        <v>0</v>
      </c>
      <c r="AX236" s="130">
        <f t="shared" si="86"/>
        <v>0</v>
      </c>
      <c r="AY236" s="130">
        <f t="shared" si="87"/>
        <v>0</v>
      </c>
      <c r="AZ236" s="130">
        <f t="shared" si="88"/>
        <v>0</v>
      </c>
      <c r="BA236" s="130">
        <f t="shared" si="89"/>
        <v>0</v>
      </c>
      <c r="BB236" s="130">
        <f t="shared" si="90"/>
        <v>0</v>
      </c>
      <c r="BC236" s="130">
        <f t="shared" si="91"/>
        <v>0</v>
      </c>
      <c r="BD236" s="130">
        <f t="shared" si="92"/>
        <v>0</v>
      </c>
      <c r="BE236" s="130">
        <f t="shared" si="93"/>
        <v>0</v>
      </c>
      <c r="BF236" s="130">
        <f t="shared" si="94"/>
        <v>0</v>
      </c>
      <c r="BG236" s="130">
        <f t="shared" si="95"/>
        <v>0</v>
      </c>
      <c r="BH236" s="130">
        <f t="shared" si="96"/>
        <v>0</v>
      </c>
      <c r="BI236" s="130">
        <f t="shared" si="97"/>
        <v>0</v>
      </c>
      <c r="BJ236" s="130">
        <f t="shared" si="98"/>
        <v>0</v>
      </c>
      <c r="BK236" s="130">
        <f t="shared" si="99"/>
        <v>-123.61947666106582</v>
      </c>
      <c r="BL236" s="130">
        <f>IF($K236=$L236,$BK236,IF(OR($K236="graphite",$K236="vitreous carbon"),$BK$406+($BM$389+$I236)*$BJ$406,IF($K236="Pyrolytic Boron Nitride","PBN",IF(COUNTIF($BH$396:$BH$416,$K236)&gt;0,VLOOKUP($K236,$BH$396:$BK$416,4,FALSE)+($BM$389+$I236)*VLOOKUP($K236,$BH$396:$BK$416,3,FALSE),IF(COUNTIF($L$2:$L235,$K236)&gt;0,VLOOKUP($K236,$L$2:$BK235,52,FALSE),"idk")))))</f>
        <v>-64.432312040620616</v>
      </c>
      <c r="BM236" s="129">
        <v>30</v>
      </c>
      <c r="BN236" s="129">
        <v>12</v>
      </c>
      <c r="BO236" s="129">
        <v>1.5</v>
      </c>
      <c r="BP236" s="129" t="s">
        <v>245</v>
      </c>
      <c r="BQ236" s="129" t="s">
        <v>494</v>
      </c>
      <c r="BR236" s="129" t="s">
        <v>247</v>
      </c>
      <c r="BS236" s="129"/>
      <c r="BT236" s="129">
        <v>0</v>
      </c>
      <c r="BV236" s="129"/>
      <c r="BZ236" s="130"/>
      <c r="CA236" s="130"/>
      <c r="CB236" s="130"/>
      <c r="CI236" s="151"/>
      <c r="CJ236" s="151"/>
      <c r="CK236" s="151"/>
      <c r="CL236" s="151"/>
      <c r="CM236" s="151"/>
      <c r="CN236" s="151"/>
      <c r="CO236" s="151"/>
      <c r="CP236" s="151"/>
      <c r="CQ236" s="151"/>
      <c r="CR236" s="151"/>
      <c r="CS236" s="151"/>
      <c r="CT236" s="151"/>
      <c r="CU236" s="151"/>
      <c r="CV236" s="151"/>
      <c r="CW236" s="151"/>
      <c r="CX236" s="151"/>
      <c r="CY236" s="151"/>
      <c r="CZ236" s="151"/>
      <c r="DA236" s="151"/>
      <c r="DB236" s="151"/>
      <c r="DC236" s="151"/>
      <c r="DD236" s="151"/>
      <c r="DE236" s="151"/>
      <c r="DF236" s="151"/>
      <c r="DG236" s="151"/>
      <c r="DH236" s="151"/>
      <c r="DI236" s="151"/>
      <c r="DJ236" s="129">
        <v>0</v>
      </c>
      <c r="DK236" s="129">
        <v>0</v>
      </c>
      <c r="DL236" s="129"/>
      <c r="DM236" s="129">
        <v>-0.1</v>
      </c>
      <c r="DO236" s="129">
        <v>-4.92</v>
      </c>
      <c r="DS236" s="129"/>
      <c r="DU236" s="129"/>
      <c r="DW236" s="129">
        <f>SUM(_2025_01_07T12_47_export3[[#This Row],[Ni_wt]:[H_wt]])</f>
        <v>99.99</v>
      </c>
      <c r="DY236" s="130">
        <f>SUM($AM236:BJ236)</f>
        <v>99.999999999999986</v>
      </c>
    </row>
    <row r="237" spans="1:129" x14ac:dyDescent="0.25">
      <c r="A237" s="129" t="s">
        <v>497</v>
      </c>
      <c r="B237" s="129">
        <v>245</v>
      </c>
      <c r="C237" s="129" t="s">
        <v>490</v>
      </c>
      <c r="D237" s="129">
        <v>2014</v>
      </c>
      <c r="E237" s="129" t="s">
        <v>491</v>
      </c>
      <c r="F237" s="129" t="s">
        <v>492</v>
      </c>
      <c r="G237" s="129" t="s">
        <v>226</v>
      </c>
      <c r="H237" s="129">
        <v>0</v>
      </c>
      <c r="I237" s="129">
        <v>650</v>
      </c>
      <c r="J237" s="129">
        <v>60</v>
      </c>
      <c r="K237" s="129" t="s">
        <v>233</v>
      </c>
      <c r="L237" s="129" t="s">
        <v>227</v>
      </c>
      <c r="N237" s="129">
        <v>7980000</v>
      </c>
      <c r="O237" s="130">
        <v>10.25</v>
      </c>
      <c r="P237" s="130">
        <v>16.420000000000002</v>
      </c>
      <c r="Q237" s="130">
        <v>2.0099999999999998</v>
      </c>
      <c r="R237" s="130">
        <v>69.89</v>
      </c>
      <c r="S237" s="130"/>
      <c r="T237" s="130"/>
      <c r="U237" s="130">
        <v>0.8</v>
      </c>
      <c r="V237" s="130"/>
      <c r="W237" s="130"/>
      <c r="X237" s="130">
        <v>0.56999999999999995</v>
      </c>
      <c r="Y237" s="130"/>
      <c r="Z237" s="130"/>
      <c r="AA237" s="130"/>
      <c r="AB237" s="130"/>
      <c r="AC237" s="130"/>
      <c r="AD237" s="130"/>
      <c r="AE237" s="130"/>
      <c r="AF237" s="130"/>
      <c r="AG237" s="130"/>
      <c r="AH237" s="130"/>
      <c r="AI237" s="130"/>
      <c r="AJ237" s="130"/>
      <c r="AK237" s="130"/>
      <c r="AL237" s="130"/>
      <c r="AM237" s="130">
        <f t="shared" si="75"/>
        <v>9.7155192731119779</v>
      </c>
      <c r="AN237" s="130">
        <f t="shared" si="76"/>
        <v>17.566129127957652</v>
      </c>
      <c r="AO237" s="130">
        <f t="shared" si="77"/>
        <v>1.1652311334390075</v>
      </c>
      <c r="AP237" s="130">
        <f t="shared" si="78"/>
        <v>69.614246188790801</v>
      </c>
      <c r="AQ237" s="130">
        <f t="shared" si="79"/>
        <v>0</v>
      </c>
      <c r="AR237" s="130">
        <f t="shared" si="80"/>
        <v>0</v>
      </c>
      <c r="AS237" s="130">
        <f t="shared" si="81"/>
        <v>0.81004210519884867</v>
      </c>
      <c r="AT237" s="130">
        <f t="shared" si="82"/>
        <v>0</v>
      </c>
      <c r="AU237" s="130">
        <f t="shared" si="83"/>
        <v>0</v>
      </c>
      <c r="AV237" s="130">
        <f t="shared" si="84"/>
        <v>1.1288321715016956</v>
      </c>
      <c r="AW237" s="130">
        <f t="shared" si="85"/>
        <v>0</v>
      </c>
      <c r="AX237" s="130">
        <f t="shared" si="86"/>
        <v>0</v>
      </c>
      <c r="AY237" s="130">
        <f t="shared" si="87"/>
        <v>0</v>
      </c>
      <c r="AZ237" s="130">
        <f t="shared" si="88"/>
        <v>0</v>
      </c>
      <c r="BA237" s="130">
        <f t="shared" si="89"/>
        <v>0</v>
      </c>
      <c r="BB237" s="130">
        <f t="shared" si="90"/>
        <v>0</v>
      </c>
      <c r="BC237" s="130">
        <f t="shared" si="91"/>
        <v>0</v>
      </c>
      <c r="BD237" s="130">
        <f t="shared" si="92"/>
        <v>0</v>
      </c>
      <c r="BE237" s="130">
        <f t="shared" si="93"/>
        <v>0</v>
      </c>
      <c r="BF237" s="130">
        <f t="shared" si="94"/>
        <v>0</v>
      </c>
      <c r="BG237" s="130">
        <f t="shared" si="95"/>
        <v>0</v>
      </c>
      <c r="BH237" s="130">
        <f t="shared" si="96"/>
        <v>0</v>
      </c>
      <c r="BI237" s="130">
        <f t="shared" si="97"/>
        <v>0</v>
      </c>
      <c r="BJ237" s="130">
        <f t="shared" si="98"/>
        <v>0</v>
      </c>
      <c r="BK237" s="130">
        <f t="shared" si="99"/>
        <v>-138.97535869488544</v>
      </c>
      <c r="BL237" s="130">
        <f>IF($K237=$L237,$BK237,IF(OR($K237="graphite",$K237="vitreous carbon"),$BK$406+($BM$389+$I237)*$BJ$406,IF($K237="Pyrolytic Boron Nitride","PBN",IF(COUNTIF($BH$396:$BH$416,$K237)&gt;0,VLOOKUP($K237,$BH$396:$BK$416,4,FALSE)+($BM$389+$I237)*VLOOKUP($K237,$BH$396:$BK$416,3,FALSE),IF(COUNTIF($L$2:$L236,$K237)&gt;0,VLOOKUP($K237,$L$2:$BK236,52,FALSE),"idk")))))</f>
        <v>-64.432312040620616</v>
      </c>
      <c r="BM237" s="129">
        <v>30</v>
      </c>
      <c r="BN237" s="129">
        <v>12</v>
      </c>
      <c r="BO237" s="129">
        <v>1.5</v>
      </c>
      <c r="BP237" s="129" t="s">
        <v>245</v>
      </c>
      <c r="BQ237" s="129" t="s">
        <v>494</v>
      </c>
      <c r="BR237" s="129" t="s">
        <v>247</v>
      </c>
      <c r="BS237" s="129"/>
      <c r="BT237" s="129">
        <v>0</v>
      </c>
      <c r="BV237" s="129"/>
      <c r="BZ237" s="130"/>
      <c r="CA237" s="130"/>
      <c r="CB237" s="130"/>
      <c r="CI237" s="151"/>
      <c r="CJ237" s="151"/>
      <c r="CK237" s="151"/>
      <c r="CL237" s="151"/>
      <c r="CM237" s="151"/>
      <c r="CN237" s="151"/>
      <c r="CO237" s="151"/>
      <c r="CP237" s="151"/>
      <c r="CQ237" s="151"/>
      <c r="CR237" s="151"/>
      <c r="CS237" s="151"/>
      <c r="CT237" s="151"/>
      <c r="CU237" s="151"/>
      <c r="CV237" s="151"/>
      <c r="CW237" s="151"/>
      <c r="CX237" s="151"/>
      <c r="CY237" s="151"/>
      <c r="CZ237" s="151"/>
      <c r="DA237" s="151"/>
      <c r="DB237" s="151"/>
      <c r="DC237" s="151"/>
      <c r="DD237" s="151"/>
      <c r="DE237" s="151"/>
      <c r="DF237" s="151"/>
      <c r="DG237" s="151"/>
      <c r="DH237" s="151"/>
      <c r="DI237" s="151"/>
      <c r="DJ237" s="129">
        <v>0</v>
      </c>
      <c r="DK237" s="129">
        <v>0</v>
      </c>
      <c r="DL237" s="129"/>
      <c r="DM237" s="129">
        <v>-37.5</v>
      </c>
      <c r="DO237" s="129">
        <v>-107.58</v>
      </c>
      <c r="DS237" s="129"/>
      <c r="DU237" s="129"/>
      <c r="DW237" s="129">
        <f>SUM(_2025_01_07T12_47_export3[[#This Row],[Ni_wt]:[H_wt]])</f>
        <v>99.939999999999984</v>
      </c>
      <c r="DY237" s="130">
        <f>SUM($AM237:BJ237)</f>
        <v>99.999999999999986</v>
      </c>
    </row>
    <row r="238" spans="1:129" x14ac:dyDescent="0.25">
      <c r="A238" s="129" t="s">
        <v>498</v>
      </c>
      <c r="B238" s="129">
        <v>246</v>
      </c>
      <c r="C238" s="129" t="s">
        <v>490</v>
      </c>
      <c r="D238" s="129">
        <v>2014</v>
      </c>
      <c r="E238" s="129" t="s">
        <v>491</v>
      </c>
      <c r="F238" s="129" t="s">
        <v>492</v>
      </c>
      <c r="G238" s="129" t="s">
        <v>226</v>
      </c>
      <c r="H238" s="129">
        <v>0</v>
      </c>
      <c r="I238" s="129">
        <v>650</v>
      </c>
      <c r="J238" s="129">
        <v>60</v>
      </c>
      <c r="K238" s="129" t="s">
        <v>233</v>
      </c>
      <c r="L238" s="159" t="s">
        <v>499</v>
      </c>
      <c r="N238" s="129">
        <v>8000000</v>
      </c>
      <c r="O238" s="130">
        <v>13.16</v>
      </c>
      <c r="P238" s="130">
        <v>18.260000000000002</v>
      </c>
      <c r="Q238" s="130">
        <v>3.04</v>
      </c>
      <c r="R238" s="130">
        <v>63.39</v>
      </c>
      <c r="S238" s="130"/>
      <c r="T238" s="130"/>
      <c r="U238" s="130">
        <v>1.64</v>
      </c>
      <c r="V238" s="130"/>
      <c r="W238" s="130"/>
      <c r="X238" s="130">
        <v>0.39</v>
      </c>
      <c r="Y238" s="130"/>
      <c r="Z238" s="130"/>
      <c r="AA238" s="130"/>
      <c r="AB238" s="130"/>
      <c r="AC238" s="130"/>
      <c r="AD238" s="130"/>
      <c r="AE238" s="130"/>
      <c r="AF238" s="130"/>
      <c r="AG238" s="130"/>
      <c r="AH238" s="130"/>
      <c r="AI238" s="130"/>
      <c r="AJ238" s="130"/>
      <c r="AK238" s="130"/>
      <c r="AL238" s="130"/>
      <c r="AM238" s="130">
        <f t="shared" si="75"/>
        <v>12.556208076085163</v>
      </c>
      <c r="AN238" s="130">
        <f t="shared" si="76"/>
        <v>19.663650831853669</v>
      </c>
      <c r="AO238" s="130">
        <f t="shared" si="77"/>
        <v>1.773985511658648</v>
      </c>
      <c r="AP238" s="130">
        <f t="shared" si="78"/>
        <v>63.557133030230403</v>
      </c>
      <c r="AQ238" s="130">
        <f t="shared" si="79"/>
        <v>0</v>
      </c>
      <c r="AR238" s="130">
        <f t="shared" si="80"/>
        <v>0</v>
      </c>
      <c r="AS238" s="130">
        <f t="shared" si="81"/>
        <v>1.6715597967278457</v>
      </c>
      <c r="AT238" s="130">
        <f t="shared" si="82"/>
        <v>0</v>
      </c>
      <c r="AU238" s="130">
        <f t="shared" si="83"/>
        <v>0</v>
      </c>
      <c r="AV238" s="130">
        <f t="shared" si="84"/>
        <v>0.77746275344426163</v>
      </c>
      <c r="AW238" s="130">
        <f t="shared" si="85"/>
        <v>0</v>
      </c>
      <c r="AX238" s="130">
        <f t="shared" si="86"/>
        <v>0</v>
      </c>
      <c r="AY238" s="130">
        <f t="shared" si="87"/>
        <v>0</v>
      </c>
      <c r="AZ238" s="130">
        <f t="shared" si="88"/>
        <v>0</v>
      </c>
      <c r="BA238" s="130">
        <f t="shared" si="89"/>
        <v>0</v>
      </c>
      <c r="BB238" s="130">
        <f t="shared" si="90"/>
        <v>0</v>
      </c>
      <c r="BC238" s="130">
        <f t="shared" si="91"/>
        <v>0</v>
      </c>
      <c r="BD238" s="130">
        <f t="shared" si="92"/>
        <v>0</v>
      </c>
      <c r="BE238" s="130">
        <f t="shared" si="93"/>
        <v>0</v>
      </c>
      <c r="BF238" s="130">
        <f t="shared" si="94"/>
        <v>0</v>
      </c>
      <c r="BG238" s="130">
        <f t="shared" si="95"/>
        <v>0</v>
      </c>
      <c r="BH238" s="130">
        <f t="shared" si="96"/>
        <v>0</v>
      </c>
      <c r="BI238" s="130">
        <f t="shared" si="97"/>
        <v>0</v>
      </c>
      <c r="BJ238" s="130">
        <f t="shared" si="98"/>
        <v>0</v>
      </c>
      <c r="BK238" s="130">
        <f t="shared" si="99"/>
        <v>-138.80847392322406</v>
      </c>
      <c r="BL238" s="130">
        <f>IF($K238=$L238,$BK238,IF(OR($K238="graphite",$K238="vitreous carbon"),$BK$406+($BM$389+$I238)*$BJ$406,IF($K238="Pyrolytic Boron Nitride","PBN",IF(COUNTIF($BH$396:$BH$416,$K238)&gt;0,VLOOKUP($K238,$BH$396:$BK$416,4,FALSE)+($BM$389+$I238)*VLOOKUP($K238,$BH$396:$BK$416,3,FALSE),IF(COUNTIF($L$2:$L237,$K238)&gt;0,VLOOKUP($K238,$L$2:$BK237,52,FALSE),"idk")))))</f>
        <v>-64.432312040620616</v>
      </c>
      <c r="BM238" s="129">
        <v>30</v>
      </c>
      <c r="BN238" s="129">
        <v>12</v>
      </c>
      <c r="BO238" s="129">
        <v>1.5</v>
      </c>
      <c r="BP238" s="129" t="s">
        <v>245</v>
      </c>
      <c r="BQ238" s="129" t="s">
        <v>494</v>
      </c>
      <c r="BR238" s="129" t="s">
        <v>247</v>
      </c>
      <c r="BS238" s="129"/>
      <c r="BT238" s="129">
        <v>0</v>
      </c>
      <c r="BV238" s="129"/>
      <c r="BZ238" s="130"/>
      <c r="CA238" s="130"/>
      <c r="CB238" s="130"/>
      <c r="CI238" s="151"/>
      <c r="CJ238" s="151"/>
      <c r="CK238" s="151"/>
      <c r="CL238" s="151"/>
      <c r="CM238" s="151"/>
      <c r="CN238" s="151"/>
      <c r="CO238" s="151"/>
      <c r="CP238" s="151"/>
      <c r="CQ238" s="151"/>
      <c r="CR238" s="151"/>
      <c r="CS238" s="151"/>
      <c r="CT238" s="151"/>
      <c r="CU238" s="151"/>
      <c r="CV238" s="151"/>
      <c r="CW238" s="151"/>
      <c r="CX238" s="151"/>
      <c r="CY238" s="151"/>
      <c r="CZ238" s="151"/>
      <c r="DA238" s="151"/>
      <c r="DB238" s="151"/>
      <c r="DC238" s="151"/>
      <c r="DD238" s="151"/>
      <c r="DE238" s="151"/>
      <c r="DF238" s="151"/>
      <c r="DG238" s="151"/>
      <c r="DH238" s="151"/>
      <c r="DI238" s="151"/>
      <c r="DJ238" s="129">
        <v>0</v>
      </c>
      <c r="DK238" s="129">
        <v>0</v>
      </c>
      <c r="DL238" s="129"/>
      <c r="DM238" s="129">
        <v>-98.2</v>
      </c>
      <c r="DO238" s="129">
        <v>-97.67</v>
      </c>
      <c r="DS238" s="129"/>
      <c r="DU238" s="129"/>
      <c r="DW238" s="129">
        <f>SUM(_2025_01_07T12_47_export3[[#This Row],[Ni_wt]:[H_wt]])</f>
        <v>99.88</v>
      </c>
      <c r="DY238" s="130">
        <f>SUM($AM238:BJ238)</f>
        <v>100</v>
      </c>
    </row>
    <row r="239" spans="1:129" x14ac:dyDescent="0.25">
      <c r="A239" s="129" t="s">
        <v>500</v>
      </c>
      <c r="B239" s="129">
        <v>247</v>
      </c>
      <c r="C239" s="129" t="s">
        <v>490</v>
      </c>
      <c r="D239" s="129">
        <v>2014</v>
      </c>
      <c r="E239" s="129" t="s">
        <v>491</v>
      </c>
      <c r="F239" s="129" t="s">
        <v>492</v>
      </c>
      <c r="G239" s="129" t="s">
        <v>226</v>
      </c>
      <c r="H239" s="129">
        <v>0</v>
      </c>
      <c r="I239" s="129">
        <v>650</v>
      </c>
      <c r="J239" s="129">
        <v>60</v>
      </c>
      <c r="K239" s="129" t="s">
        <v>233</v>
      </c>
      <c r="L239" s="129" t="s">
        <v>250</v>
      </c>
      <c r="N239" s="129">
        <v>7940000</v>
      </c>
      <c r="O239" s="130">
        <v>30.33</v>
      </c>
      <c r="P239" s="130">
        <v>20.76</v>
      </c>
      <c r="Q239" s="130">
        <v>0.19</v>
      </c>
      <c r="R239" s="130">
        <v>46.55</v>
      </c>
      <c r="S239" s="130"/>
      <c r="T239" s="130"/>
      <c r="U239" s="130">
        <v>0.57999999999999996</v>
      </c>
      <c r="V239" s="130">
        <v>0.49</v>
      </c>
      <c r="W239" s="130">
        <v>0.56999999999999995</v>
      </c>
      <c r="X239" s="130">
        <v>0.36</v>
      </c>
      <c r="Y239" s="130"/>
      <c r="Z239" s="130"/>
      <c r="AA239" s="130"/>
      <c r="AB239" s="130"/>
      <c r="AC239" s="130"/>
      <c r="AD239" s="130"/>
      <c r="AE239" s="130"/>
      <c r="AF239" s="130"/>
      <c r="AG239" s="130"/>
      <c r="AH239" s="130"/>
      <c r="AI239" s="130"/>
      <c r="AJ239" s="130"/>
      <c r="AK239" s="130"/>
      <c r="AL239" s="130"/>
      <c r="AM239" s="130">
        <f t="shared" si="75"/>
        <v>28.631940546184431</v>
      </c>
      <c r="AN239" s="130">
        <f t="shared" si="76"/>
        <v>22.119050915575794</v>
      </c>
      <c r="AO239" s="130">
        <f t="shared" si="77"/>
        <v>0.10969980218450089</v>
      </c>
      <c r="AP239" s="130">
        <f t="shared" si="78"/>
        <v>46.178411626106566</v>
      </c>
      <c r="AQ239" s="130">
        <f t="shared" si="79"/>
        <v>0</v>
      </c>
      <c r="AR239" s="130">
        <f t="shared" si="80"/>
        <v>0</v>
      </c>
      <c r="AS239" s="130">
        <f t="shared" si="81"/>
        <v>0.58490026921448546</v>
      </c>
      <c r="AT239" s="130">
        <f t="shared" si="82"/>
        <v>1.0062285081807389</v>
      </c>
      <c r="AU239" s="130">
        <f t="shared" si="83"/>
        <v>0.65971128165602888</v>
      </c>
      <c r="AV239" s="130">
        <f t="shared" si="84"/>
        <v>0.71005705089747106</v>
      </c>
      <c r="AW239" s="130">
        <f t="shared" si="85"/>
        <v>0</v>
      </c>
      <c r="AX239" s="130">
        <f t="shared" si="86"/>
        <v>0</v>
      </c>
      <c r="AY239" s="130">
        <f t="shared" si="87"/>
        <v>0</v>
      </c>
      <c r="AZ239" s="130">
        <f t="shared" si="88"/>
        <v>0</v>
      </c>
      <c r="BA239" s="130">
        <f t="shared" si="89"/>
        <v>0</v>
      </c>
      <c r="BB239" s="130">
        <f t="shared" si="90"/>
        <v>0</v>
      </c>
      <c r="BC239" s="130">
        <f t="shared" si="91"/>
        <v>0</v>
      </c>
      <c r="BD239" s="130">
        <f t="shared" si="92"/>
        <v>0</v>
      </c>
      <c r="BE239" s="130">
        <f t="shared" si="93"/>
        <v>0</v>
      </c>
      <c r="BF239" s="130">
        <f t="shared" si="94"/>
        <v>0</v>
      </c>
      <c r="BG239" s="130">
        <f t="shared" si="95"/>
        <v>0</v>
      </c>
      <c r="BH239" s="130">
        <f t="shared" si="96"/>
        <v>0</v>
      </c>
      <c r="BI239" s="130">
        <f t="shared" si="97"/>
        <v>0</v>
      </c>
      <c r="BJ239" s="130">
        <f t="shared" si="98"/>
        <v>0</v>
      </c>
      <c r="BK239" s="130">
        <f t="shared" si="99"/>
        <v>-137.58755767812215</v>
      </c>
      <c r="BL239" s="130">
        <f>IF($K239=$L239,$BK239,IF(OR($K239="graphite",$K239="vitreous carbon"),$BK$406+($BM$389+$I239)*$BJ$406,IF($K239="Pyrolytic Boron Nitride","PBN",IF(COUNTIF($BH$396:$BH$416,$K239)&gt;0,VLOOKUP($K239,$BH$396:$BK$416,4,FALSE)+($BM$389+$I239)*VLOOKUP($K239,$BH$396:$BK$416,3,FALSE),IF(COUNTIF($L$1:$L239,$K239)&gt;0,VLOOKUP($K239,$L$1:$BK239,52,FALSE),"idk")))))</f>
        <v>-64.432312040620616</v>
      </c>
      <c r="BM239" s="129">
        <v>30</v>
      </c>
      <c r="BN239" s="129">
        <v>12</v>
      </c>
      <c r="BO239" s="129">
        <v>1.5</v>
      </c>
      <c r="BP239" s="129" t="s">
        <v>245</v>
      </c>
      <c r="BQ239" s="129" t="s">
        <v>494</v>
      </c>
      <c r="BR239" s="129" t="s">
        <v>247</v>
      </c>
      <c r="BS239" s="129"/>
      <c r="BT239" s="129">
        <v>0</v>
      </c>
      <c r="BV239" s="129"/>
      <c r="BZ239" s="130"/>
      <c r="CA239" s="130"/>
      <c r="CB239" s="130"/>
      <c r="CI239" s="151"/>
      <c r="CJ239" s="151"/>
      <c r="CK239" s="151"/>
      <c r="CL239" s="151"/>
      <c r="CM239" s="151"/>
      <c r="CN239" s="151"/>
      <c r="CO239" s="151"/>
      <c r="CP239" s="151"/>
      <c r="CQ239" s="151"/>
      <c r="CR239" s="151"/>
      <c r="CS239" s="151"/>
      <c r="CT239" s="151"/>
      <c r="CU239" s="151"/>
      <c r="CV239" s="151"/>
      <c r="CW239" s="151"/>
      <c r="CX239" s="151"/>
      <c r="CY239" s="151"/>
      <c r="CZ239" s="151"/>
      <c r="DA239" s="151"/>
      <c r="DB239" s="151"/>
      <c r="DC239" s="151"/>
      <c r="DD239" s="151"/>
      <c r="DE239" s="151"/>
      <c r="DF239" s="151"/>
      <c r="DG239" s="151"/>
      <c r="DH239" s="151"/>
      <c r="DI239" s="151"/>
      <c r="DJ239" s="129">
        <v>0</v>
      </c>
      <c r="DK239" s="129">
        <v>0</v>
      </c>
      <c r="DL239" s="129"/>
      <c r="DM239" s="129">
        <v>-53.2</v>
      </c>
      <c r="DO239" s="129">
        <v>-214.39</v>
      </c>
      <c r="DS239" s="129"/>
      <c r="DU239" s="129"/>
      <c r="DW239" s="129">
        <f>SUM(_2025_01_07T12_47_export3[[#This Row],[Ni_wt]:[H_wt]])</f>
        <v>99.829999999999984</v>
      </c>
      <c r="DY239" s="130">
        <f>SUM($AM239:BJ239)</f>
        <v>100.00000000000001</v>
      </c>
    </row>
    <row r="240" spans="1:129" ht="16.5" thickBot="1" x14ac:dyDescent="0.3">
      <c r="A240" s="136" t="s">
        <v>501</v>
      </c>
      <c r="B240" s="136">
        <v>248</v>
      </c>
      <c r="C240" s="136" t="s">
        <v>490</v>
      </c>
      <c r="D240" s="136">
        <v>2014</v>
      </c>
      <c r="E240" s="136" t="s">
        <v>491</v>
      </c>
      <c r="F240" s="136" t="s">
        <v>492</v>
      </c>
      <c r="G240" s="136" t="s">
        <v>226</v>
      </c>
      <c r="H240" s="136">
        <v>0</v>
      </c>
      <c r="I240" s="136">
        <v>650</v>
      </c>
      <c r="J240" s="136">
        <v>60</v>
      </c>
      <c r="K240" s="136" t="s">
        <v>233</v>
      </c>
      <c r="L240" s="160" t="s">
        <v>314</v>
      </c>
      <c r="M240" s="136"/>
      <c r="N240" s="136">
        <v>8440000</v>
      </c>
      <c r="O240" s="137">
        <v>60.57</v>
      </c>
      <c r="P240" s="137">
        <v>21.63</v>
      </c>
      <c r="Q240" s="137">
        <v>8.7200000000000006</v>
      </c>
      <c r="R240" s="137">
        <v>4.7699999999999996</v>
      </c>
      <c r="S240" s="137"/>
      <c r="T240" s="137">
        <v>0.12</v>
      </c>
      <c r="U240" s="137">
        <v>0.06</v>
      </c>
      <c r="V240" s="137">
        <v>0.24</v>
      </c>
      <c r="W240" s="137">
        <v>0.22</v>
      </c>
      <c r="X240" s="137">
        <v>0.18</v>
      </c>
      <c r="Y240" s="137"/>
      <c r="Z240" s="137"/>
      <c r="AA240" s="137">
        <v>3.5</v>
      </c>
      <c r="AB240" s="137"/>
      <c r="AC240" s="137"/>
      <c r="AD240" s="137"/>
      <c r="AE240" s="137"/>
      <c r="AF240" s="137"/>
      <c r="AG240" s="137"/>
      <c r="AH240" s="137"/>
      <c r="AI240" s="137"/>
      <c r="AJ240" s="137"/>
      <c r="AK240" s="137"/>
      <c r="AL240" s="137"/>
      <c r="AM240" s="137">
        <f t="shared" si="75"/>
        <v>61.249275467984226</v>
      </c>
      <c r="AN240" s="137">
        <f t="shared" si="76"/>
        <v>24.686565165283</v>
      </c>
      <c r="AO240" s="137">
        <f t="shared" si="77"/>
        <v>5.3930411888303764</v>
      </c>
      <c r="AP240" s="137">
        <f t="shared" si="78"/>
        <v>5.0687712601134605</v>
      </c>
      <c r="AQ240" s="137">
        <f t="shared" si="79"/>
        <v>0</v>
      </c>
      <c r="AR240" s="137">
        <f t="shared" si="80"/>
        <v>0.12085156992672762</v>
      </c>
      <c r="AS240" s="137">
        <f t="shared" si="81"/>
        <v>6.481418834894484E-2</v>
      </c>
      <c r="AT240" s="137">
        <f t="shared" si="82"/>
        <v>0.52793054231149428</v>
      </c>
      <c r="AU240" s="137">
        <f t="shared" si="83"/>
        <v>0.27275124703573095</v>
      </c>
      <c r="AV240" s="137">
        <f t="shared" si="84"/>
        <v>0.38030169183599449</v>
      </c>
      <c r="AW240" s="137">
        <f t="shared" si="85"/>
        <v>0</v>
      </c>
      <c r="AX240" s="137">
        <f t="shared" si="86"/>
        <v>0</v>
      </c>
      <c r="AY240" s="137">
        <f t="shared" si="87"/>
        <v>2.2356976783300326</v>
      </c>
      <c r="AZ240" s="137">
        <f t="shared" si="88"/>
        <v>0</v>
      </c>
      <c r="BA240" s="137">
        <f t="shared" si="89"/>
        <v>0</v>
      </c>
      <c r="BB240" s="137">
        <f t="shared" si="90"/>
        <v>0</v>
      </c>
      <c r="BC240" s="137">
        <f t="shared" si="91"/>
        <v>0</v>
      </c>
      <c r="BD240" s="137">
        <f t="shared" si="92"/>
        <v>0</v>
      </c>
      <c r="BE240" s="137">
        <f t="shared" si="93"/>
        <v>0</v>
      </c>
      <c r="BF240" s="137">
        <f t="shared" si="94"/>
        <v>0</v>
      </c>
      <c r="BG240" s="137">
        <f t="shared" si="95"/>
        <v>0</v>
      </c>
      <c r="BH240" s="137">
        <f t="shared" si="96"/>
        <v>0</v>
      </c>
      <c r="BI240" s="137">
        <f t="shared" si="97"/>
        <v>0</v>
      </c>
      <c r="BJ240" s="137">
        <f t="shared" si="98"/>
        <v>0</v>
      </c>
      <c r="BK240" s="137">
        <f t="shared" si="99"/>
        <v>-131.88275644330508</v>
      </c>
      <c r="BL240" s="137">
        <f>IF($K240=$L240,$BK240,IF(OR($K240="graphite",$K240="vitreous carbon"),$BK$406+($BM$389+$I240)*$BJ$406,IF($K240="Pyrolytic Boron Nitride","PBN",IF(COUNTIF($BH$396:$BH$416,$K240)&gt;0,VLOOKUP($K240,$BH$396:$BK$416,4,FALSE)+($BM$389+$I240)*VLOOKUP($K240,$BH$396:$BK$416,3,FALSE),IF(COUNTIF($L$2:$L239,$K240)&gt;0,VLOOKUP($K240,$L$2:$BK239,52,FALSE),"idk")))))</f>
        <v>-64.432312040620616</v>
      </c>
      <c r="BM240" s="136">
        <v>30</v>
      </c>
      <c r="BN240" s="136">
        <v>12</v>
      </c>
      <c r="BO240" s="136">
        <v>1.5</v>
      </c>
      <c r="BP240" s="136" t="s">
        <v>245</v>
      </c>
      <c r="BQ240" s="136" t="s">
        <v>494</v>
      </c>
      <c r="BR240" s="136" t="s">
        <v>247</v>
      </c>
      <c r="BS240" s="136"/>
      <c r="BT240" s="136">
        <v>0</v>
      </c>
      <c r="BU240" s="136"/>
      <c r="BV240" s="136"/>
      <c r="BW240" s="136"/>
      <c r="BX240" s="136"/>
      <c r="BY240" s="136"/>
      <c r="BZ240" s="137"/>
      <c r="CA240" s="137"/>
      <c r="CB240" s="137"/>
      <c r="CC240" s="136"/>
      <c r="CD240" s="136"/>
      <c r="CE240" s="136"/>
      <c r="CF240" s="136"/>
      <c r="CG240" s="136"/>
      <c r="CH240" s="136"/>
      <c r="CI240" s="152"/>
      <c r="CJ240" s="152"/>
      <c r="CK240" s="152"/>
      <c r="CL240" s="152"/>
      <c r="CM240" s="152"/>
      <c r="CN240" s="152"/>
      <c r="CO240" s="152"/>
      <c r="CP240" s="152"/>
      <c r="CQ240" s="152"/>
      <c r="CR240" s="152"/>
      <c r="CS240" s="152"/>
      <c r="CT240" s="152"/>
      <c r="CU240" s="152"/>
      <c r="CV240" s="152"/>
      <c r="CW240" s="152"/>
      <c r="CX240" s="152"/>
      <c r="CY240" s="152"/>
      <c r="CZ240" s="152"/>
      <c r="DA240" s="152"/>
      <c r="DB240" s="152"/>
      <c r="DC240" s="152"/>
      <c r="DD240" s="152"/>
      <c r="DE240" s="152"/>
      <c r="DF240" s="152"/>
      <c r="DG240" s="152"/>
      <c r="DH240" s="152"/>
      <c r="DI240" s="152"/>
      <c r="DJ240" s="136">
        <v>0</v>
      </c>
      <c r="DK240" s="136">
        <v>0</v>
      </c>
      <c r="DL240" s="136"/>
      <c r="DM240" s="136">
        <v>-49.4</v>
      </c>
      <c r="DN240" s="136"/>
      <c r="DO240" s="136">
        <v>-137</v>
      </c>
      <c r="DP240" s="136"/>
      <c r="DQ240" s="136"/>
      <c r="DR240" s="136"/>
      <c r="DS240" s="136"/>
      <c r="DT240" s="136"/>
      <c r="DU240" s="136"/>
      <c r="DW240" s="129">
        <f>SUM(_2025_01_07T12_47_export3[[#This Row],[Ni_wt]:[H_wt]])</f>
        <v>100.01</v>
      </c>
      <c r="DY240" s="130">
        <f>SUM($AM240:BJ240)</f>
        <v>99.999999999999986</v>
      </c>
    </row>
    <row r="241" spans="1:129" x14ac:dyDescent="0.25">
      <c r="A241" s="129" t="s">
        <v>502</v>
      </c>
      <c r="B241" s="129">
        <v>249</v>
      </c>
      <c r="C241" s="129" t="s">
        <v>503</v>
      </c>
      <c r="D241" s="129">
        <v>2025</v>
      </c>
      <c r="E241" s="129" t="s">
        <v>504</v>
      </c>
      <c r="F241" s="129" t="s">
        <v>505</v>
      </c>
      <c r="G241" s="129" t="s">
        <v>226</v>
      </c>
      <c r="H241" s="129">
        <v>0</v>
      </c>
      <c r="I241" s="129">
        <v>550</v>
      </c>
      <c r="J241" s="129">
        <v>720</v>
      </c>
      <c r="K241" s="129" t="s">
        <v>233</v>
      </c>
      <c r="L241" s="129" t="s">
        <v>227</v>
      </c>
      <c r="N241" s="129">
        <v>7980000</v>
      </c>
      <c r="O241" s="130">
        <v>10.27</v>
      </c>
      <c r="P241" s="130">
        <v>17.170000000000002</v>
      </c>
      <c r="Q241" s="130">
        <v>2.39</v>
      </c>
      <c r="R241" s="130">
        <v>67.599999999999994</v>
      </c>
      <c r="S241" s="130"/>
      <c r="T241" s="130"/>
      <c r="U241" s="130">
        <v>1.75</v>
      </c>
      <c r="V241" s="130"/>
      <c r="W241" s="130"/>
      <c r="X241" s="130">
        <v>0.35</v>
      </c>
      <c r="Y241" s="130"/>
      <c r="Z241" s="130">
        <v>0.28999999999999998</v>
      </c>
      <c r="AA241" s="130"/>
      <c r="AB241" s="130"/>
      <c r="AC241" s="130"/>
      <c r="AD241" s="130"/>
      <c r="AE241" s="130"/>
      <c r="AF241" s="130"/>
      <c r="AG241" s="130"/>
      <c r="AH241" s="130"/>
      <c r="AI241" s="130"/>
      <c r="AJ241" s="130"/>
      <c r="AK241" s="130"/>
      <c r="AL241" s="130"/>
      <c r="AM241" s="130">
        <f t="shared" si="75"/>
        <v>9.7793904265458007</v>
      </c>
      <c r="AN241" s="130">
        <f t="shared" si="76"/>
        <v>18.453230324283425</v>
      </c>
      <c r="AO241" s="130">
        <f t="shared" si="77"/>
        <v>1.3919162740238202</v>
      </c>
      <c r="AP241" s="130">
        <f t="shared" si="78"/>
        <v>67.643951486161157</v>
      </c>
      <c r="AQ241" s="130">
        <f t="shared" si="79"/>
        <v>0</v>
      </c>
      <c r="AR241" s="130">
        <f t="shared" si="80"/>
        <v>0</v>
      </c>
      <c r="AS241" s="130">
        <f t="shared" si="81"/>
        <v>1.7801428100097034</v>
      </c>
      <c r="AT241" s="130">
        <f t="shared" si="82"/>
        <v>0</v>
      </c>
      <c r="AU241" s="130">
        <f t="shared" si="83"/>
        <v>0</v>
      </c>
      <c r="AV241" s="130">
        <f t="shared" si="84"/>
        <v>0.69634066202871547</v>
      </c>
      <c r="AW241" s="130">
        <f t="shared" si="85"/>
        <v>0</v>
      </c>
      <c r="AX241" s="130">
        <f t="shared" si="86"/>
        <v>0.25502801694738092</v>
      </c>
      <c r="AY241" s="130">
        <f t="shared" si="87"/>
        <v>0</v>
      </c>
      <c r="AZ241" s="130">
        <f t="shared" si="88"/>
        <v>0</v>
      </c>
      <c r="BA241" s="130">
        <f t="shared" si="89"/>
        <v>0</v>
      </c>
      <c r="BB241" s="130">
        <f t="shared" si="90"/>
        <v>0</v>
      </c>
      <c r="BC241" s="130">
        <f t="shared" si="91"/>
        <v>0</v>
      </c>
      <c r="BD241" s="130">
        <f t="shared" si="92"/>
        <v>0</v>
      </c>
      <c r="BE241" s="130">
        <f t="shared" si="93"/>
        <v>0</v>
      </c>
      <c r="BF241" s="130">
        <f t="shared" si="94"/>
        <v>0</v>
      </c>
      <c r="BG241" s="130">
        <f t="shared" si="95"/>
        <v>0</v>
      </c>
      <c r="BH241" s="130">
        <f t="shared" si="96"/>
        <v>0</v>
      </c>
      <c r="BI241" s="130">
        <f t="shared" si="97"/>
        <v>0</v>
      </c>
      <c r="BJ241" s="130">
        <f t="shared" si="98"/>
        <v>0</v>
      </c>
      <c r="BK241" s="130">
        <f t="shared" si="99"/>
        <v>-142.25854075460722</v>
      </c>
      <c r="BL241" s="130">
        <f>IF($K241=$L241,$BK241,IF(OR($K241="graphite",$K241="vitreous carbon"),$BK$406+($BM$389+$I241)*$BJ$406,IF($K241="Pyrolytic Boron Nitride","PBN",IF(COUNTIF($BH$396:$BH$416,$K241)&gt;0,VLOOKUP($K241,$BH$396:$BK$416,4,FALSE)+($BM$389+$I241)*VLOOKUP($K241,$BH$396:$BK$416,3,FALSE),IF(COUNTIF($L$2:$L240,$K241)&gt;0,VLOOKUP($K241,$L$2:$BK240,52,FALSE),"idk")))))</f>
        <v>-66.237592947441144</v>
      </c>
      <c r="BM241" s="129">
        <v>30</v>
      </c>
      <c r="BN241" s="129">
        <v>15</v>
      </c>
      <c r="BO241" s="129">
        <v>1</v>
      </c>
      <c r="BP241" s="129" t="s">
        <v>506</v>
      </c>
      <c r="BQ241" s="129"/>
      <c r="BR241" s="129" t="s">
        <v>247</v>
      </c>
      <c r="BS241" s="129"/>
      <c r="BT241" s="129">
        <v>0</v>
      </c>
      <c r="BV241" s="129"/>
      <c r="BZ241" s="130"/>
      <c r="CA241" s="130"/>
      <c r="CB241" s="130"/>
      <c r="CI241" s="151"/>
      <c r="CJ241" s="151"/>
      <c r="CK241" s="151"/>
      <c r="CL241" s="151"/>
      <c r="CM241" s="151"/>
      <c r="CN241" s="151"/>
      <c r="CO241" s="151"/>
      <c r="CP241" s="151"/>
      <c r="CQ241" s="151"/>
      <c r="CR241" s="151"/>
      <c r="CS241" s="151"/>
      <c r="CT241" s="151"/>
      <c r="CU241" s="151"/>
      <c r="CV241" s="151"/>
      <c r="CW241" s="151"/>
      <c r="CX241" s="151"/>
      <c r="CY241" s="151"/>
      <c r="CZ241" s="151"/>
      <c r="DA241" s="151"/>
      <c r="DB241" s="151"/>
      <c r="DC241" s="151"/>
      <c r="DD241" s="151"/>
      <c r="DE241" s="151"/>
      <c r="DF241" s="151"/>
      <c r="DG241" s="151"/>
      <c r="DH241" s="151"/>
      <c r="DI241" s="151"/>
      <c r="DJ241" s="129">
        <v>0</v>
      </c>
      <c r="DK241" s="129">
        <v>0</v>
      </c>
      <c r="DL241" s="129"/>
      <c r="DO241" s="129">
        <v>-0.75</v>
      </c>
      <c r="DS241" s="129"/>
      <c r="DT241" s="4" t="s">
        <v>508</v>
      </c>
      <c r="DU241" s="129" t="s">
        <v>507</v>
      </c>
      <c r="DW241" s="129">
        <f>SUM(_2025_01_07T12_47_export3[[#This Row],[Ni_wt]:[H_wt]])</f>
        <v>99.82</v>
      </c>
      <c r="DY241" s="130">
        <f>SUM($AM241:BJ241)</f>
        <v>100</v>
      </c>
    </row>
    <row r="242" spans="1:129" x14ac:dyDescent="0.25">
      <c r="A242" s="129" t="s">
        <v>502</v>
      </c>
      <c r="B242" s="129">
        <v>250</v>
      </c>
      <c r="C242" s="129" t="s">
        <v>503</v>
      </c>
      <c r="D242" s="129">
        <v>2025</v>
      </c>
      <c r="E242" s="129" t="s">
        <v>504</v>
      </c>
      <c r="F242" s="129" t="s">
        <v>505</v>
      </c>
      <c r="G242" s="129" t="s">
        <v>226</v>
      </c>
      <c r="H242" s="129">
        <v>0</v>
      </c>
      <c r="I242" s="129">
        <v>700</v>
      </c>
      <c r="J242" s="129">
        <v>720</v>
      </c>
      <c r="K242" s="129" t="s">
        <v>233</v>
      </c>
      <c r="L242" s="129" t="s">
        <v>227</v>
      </c>
      <c r="N242" s="129">
        <v>7980000</v>
      </c>
      <c r="O242" s="130">
        <v>10.27</v>
      </c>
      <c r="P242" s="130">
        <v>17.170000000000002</v>
      </c>
      <c r="Q242" s="130">
        <v>2.39</v>
      </c>
      <c r="R242" s="130">
        <v>67.599999999999994</v>
      </c>
      <c r="S242" s="130"/>
      <c r="T242" s="130"/>
      <c r="U242" s="130">
        <v>1.75</v>
      </c>
      <c r="V242" s="130"/>
      <c r="W242" s="130"/>
      <c r="X242" s="130">
        <v>0.35</v>
      </c>
      <c r="Y242" s="130"/>
      <c r="Z242" s="130">
        <v>0.28999999999999998</v>
      </c>
      <c r="AA242" s="130"/>
      <c r="AB242" s="130"/>
      <c r="AC242" s="130"/>
      <c r="AD242" s="130"/>
      <c r="AE242" s="130"/>
      <c r="AF242" s="130"/>
      <c r="AG242" s="130"/>
      <c r="AH242" s="130"/>
      <c r="AI242" s="130"/>
      <c r="AJ242" s="130"/>
      <c r="AK242" s="130"/>
      <c r="AL242" s="130"/>
      <c r="AM242" s="130">
        <f t="shared" si="75"/>
        <v>9.7793904265458007</v>
      </c>
      <c r="AN242" s="130">
        <f t="shared" si="76"/>
        <v>18.453230324283425</v>
      </c>
      <c r="AO242" s="130">
        <f t="shared" si="77"/>
        <v>1.3919162740238202</v>
      </c>
      <c r="AP242" s="130">
        <f t="shared" si="78"/>
        <v>67.643951486161157</v>
      </c>
      <c r="AQ242" s="130">
        <f t="shared" si="79"/>
        <v>0</v>
      </c>
      <c r="AR242" s="130">
        <f t="shared" si="80"/>
        <v>0</v>
      </c>
      <c r="AS242" s="130">
        <f t="shared" si="81"/>
        <v>1.7801428100097034</v>
      </c>
      <c r="AT242" s="130">
        <f t="shared" si="82"/>
        <v>0</v>
      </c>
      <c r="AU242" s="130">
        <f t="shared" si="83"/>
        <v>0</v>
      </c>
      <c r="AV242" s="130">
        <f t="shared" si="84"/>
        <v>0.69634066202871547</v>
      </c>
      <c r="AW242" s="130">
        <f t="shared" si="85"/>
        <v>0</v>
      </c>
      <c r="AX242" s="130">
        <f t="shared" si="86"/>
        <v>0.25502801694738092</v>
      </c>
      <c r="AY242" s="130">
        <f t="shared" si="87"/>
        <v>0</v>
      </c>
      <c r="AZ242" s="130">
        <f t="shared" si="88"/>
        <v>0</v>
      </c>
      <c r="BA242" s="130">
        <f t="shared" si="89"/>
        <v>0</v>
      </c>
      <c r="BB242" s="130">
        <f t="shared" si="90"/>
        <v>0</v>
      </c>
      <c r="BC242" s="130">
        <f t="shared" si="91"/>
        <v>0</v>
      </c>
      <c r="BD242" s="130">
        <f t="shared" si="92"/>
        <v>0</v>
      </c>
      <c r="BE242" s="130">
        <f t="shared" si="93"/>
        <v>0</v>
      </c>
      <c r="BF242" s="130">
        <f t="shared" si="94"/>
        <v>0</v>
      </c>
      <c r="BG242" s="130">
        <f t="shared" si="95"/>
        <v>0</v>
      </c>
      <c r="BH242" s="130">
        <f t="shared" si="96"/>
        <v>0</v>
      </c>
      <c r="BI242" s="130">
        <f t="shared" si="97"/>
        <v>0</v>
      </c>
      <c r="BJ242" s="130">
        <f t="shared" si="98"/>
        <v>0</v>
      </c>
      <c r="BK242" s="130">
        <f t="shared" si="99"/>
        <v>-137.38764590231389</v>
      </c>
      <c r="BL242" s="130">
        <f>IF($K242=$L242,$BK242,IF(OR($K242="graphite",$K242="vitreous carbon"),$BK$406+($BM$389+$I242)*$BJ$406,IF($K242="Pyrolytic Boron Nitride","PBN",IF(COUNTIF($BH$396:$BH$416,$K242)&gt;0,VLOOKUP($K242,$BH$396:$BK$416,4,FALSE)+($BM$389+$I242)*VLOOKUP($K242,$BH$396:$BK$416,3,FALSE),IF(COUNTIF($L$2:$L241,$K242)&gt;0,VLOOKUP($K242,$L$2:$BK241,52,FALSE),"idk")))))</f>
        <v>-63.529671587210359</v>
      </c>
      <c r="BM242" s="129">
        <v>30</v>
      </c>
      <c r="BN242" s="129">
        <v>15</v>
      </c>
      <c r="BO242" s="129">
        <v>1</v>
      </c>
      <c r="BP242" s="129" t="s">
        <v>506</v>
      </c>
      <c r="BQ242" s="129"/>
      <c r="BR242" s="129" t="s">
        <v>247</v>
      </c>
      <c r="BS242" s="129"/>
      <c r="BT242" s="129">
        <v>0</v>
      </c>
      <c r="BV242" s="129"/>
      <c r="BZ242" s="130"/>
      <c r="CA242" s="130"/>
      <c r="CB242" s="130"/>
      <c r="CI242" s="151"/>
      <c r="CJ242" s="151"/>
      <c r="CK242" s="151"/>
      <c r="CL242" s="151"/>
      <c r="CM242" s="151"/>
      <c r="CN242" s="151"/>
      <c r="CO242" s="151"/>
      <c r="CP242" s="151"/>
      <c r="CQ242" s="151"/>
      <c r="CR242" s="151"/>
      <c r="CS242" s="151"/>
      <c r="CT242" s="151"/>
      <c r="CU242" s="151"/>
      <c r="CV242" s="151"/>
      <c r="CW242" s="151"/>
      <c r="CX242" s="151"/>
      <c r="CY242" s="151"/>
      <c r="CZ242" s="151"/>
      <c r="DA242" s="151"/>
      <c r="DB242" s="151"/>
      <c r="DC242" s="151"/>
      <c r="DD242" s="151"/>
      <c r="DE242" s="151"/>
      <c r="DF242" s="151"/>
      <c r="DG242" s="151"/>
      <c r="DH242" s="151"/>
      <c r="DI242" s="151"/>
      <c r="DJ242" s="129">
        <v>0</v>
      </c>
      <c r="DK242" s="129">
        <v>0</v>
      </c>
      <c r="DL242" s="129"/>
      <c r="DO242" s="129">
        <v>-1.1200000000000001</v>
      </c>
      <c r="DS242" s="129"/>
      <c r="DU242" s="129" t="s">
        <v>507</v>
      </c>
      <c r="DW242" s="129">
        <f>SUM(_2025_01_07T12_47_export3[[#This Row],[Ni_wt]:[H_wt]])</f>
        <v>99.82</v>
      </c>
      <c r="DY242" s="130">
        <f>SUM($AM242:BJ242)</f>
        <v>100</v>
      </c>
    </row>
    <row r="243" spans="1:129" x14ac:dyDescent="0.25">
      <c r="A243" s="129" t="s">
        <v>502</v>
      </c>
      <c r="B243" s="129">
        <v>251</v>
      </c>
      <c r="C243" s="129" t="s">
        <v>503</v>
      </c>
      <c r="D243" s="129">
        <v>2025</v>
      </c>
      <c r="E243" s="129" t="s">
        <v>504</v>
      </c>
      <c r="F243" s="129" t="s">
        <v>505</v>
      </c>
      <c r="G243" s="129" t="s">
        <v>226</v>
      </c>
      <c r="H243" s="129">
        <v>0</v>
      </c>
      <c r="I243" s="129">
        <v>550</v>
      </c>
      <c r="J243" s="129">
        <v>2160</v>
      </c>
      <c r="K243" s="129" t="s">
        <v>233</v>
      </c>
      <c r="L243" s="129" t="s">
        <v>227</v>
      </c>
      <c r="N243" s="129">
        <v>7980000</v>
      </c>
      <c r="O243" s="130">
        <v>10.27</v>
      </c>
      <c r="P243" s="130">
        <v>17.170000000000002</v>
      </c>
      <c r="Q243" s="130">
        <v>2.39</v>
      </c>
      <c r="R243" s="130">
        <v>67.599999999999994</v>
      </c>
      <c r="S243" s="130"/>
      <c r="T243" s="130"/>
      <c r="U243" s="130">
        <v>1.75</v>
      </c>
      <c r="V243" s="130"/>
      <c r="W243" s="130"/>
      <c r="X243" s="130">
        <v>0.35</v>
      </c>
      <c r="Y243" s="130"/>
      <c r="Z243" s="130">
        <v>0.28999999999999998</v>
      </c>
      <c r="AA243" s="130"/>
      <c r="AB243" s="130"/>
      <c r="AC243" s="130"/>
      <c r="AD243" s="130"/>
      <c r="AE243" s="130"/>
      <c r="AF243" s="130"/>
      <c r="AG243" s="130"/>
      <c r="AH243" s="130"/>
      <c r="AI243" s="130"/>
      <c r="AJ243" s="130"/>
      <c r="AK243" s="130"/>
      <c r="AL243" s="130"/>
      <c r="AM243" s="130">
        <f t="shared" si="75"/>
        <v>9.7793904265458007</v>
      </c>
      <c r="AN243" s="130">
        <f t="shared" si="76"/>
        <v>18.453230324283425</v>
      </c>
      <c r="AO243" s="130">
        <f t="shared" si="77"/>
        <v>1.3919162740238202</v>
      </c>
      <c r="AP243" s="130">
        <f t="shared" si="78"/>
        <v>67.643951486161157</v>
      </c>
      <c r="AQ243" s="130">
        <f t="shared" si="79"/>
        <v>0</v>
      </c>
      <c r="AR243" s="130">
        <f t="shared" si="80"/>
        <v>0</v>
      </c>
      <c r="AS243" s="130">
        <f t="shared" si="81"/>
        <v>1.7801428100097034</v>
      </c>
      <c r="AT243" s="130">
        <f t="shared" si="82"/>
        <v>0</v>
      </c>
      <c r="AU243" s="130">
        <f t="shared" si="83"/>
        <v>0</v>
      </c>
      <c r="AV243" s="130">
        <f t="shared" si="84"/>
        <v>0.69634066202871547</v>
      </c>
      <c r="AW243" s="130">
        <f t="shared" si="85"/>
        <v>0</v>
      </c>
      <c r="AX243" s="130">
        <f t="shared" si="86"/>
        <v>0.25502801694738092</v>
      </c>
      <c r="AY243" s="130">
        <f t="shared" si="87"/>
        <v>0</v>
      </c>
      <c r="AZ243" s="130">
        <f t="shared" si="88"/>
        <v>0</v>
      </c>
      <c r="BA243" s="130">
        <f t="shared" si="89"/>
        <v>0</v>
      </c>
      <c r="BB243" s="130">
        <f t="shared" si="90"/>
        <v>0</v>
      </c>
      <c r="BC243" s="130">
        <f t="shared" si="91"/>
        <v>0</v>
      </c>
      <c r="BD243" s="130">
        <f t="shared" si="92"/>
        <v>0</v>
      </c>
      <c r="BE243" s="130">
        <f t="shared" si="93"/>
        <v>0</v>
      </c>
      <c r="BF243" s="130">
        <f t="shared" si="94"/>
        <v>0</v>
      </c>
      <c r="BG243" s="130">
        <f t="shared" si="95"/>
        <v>0</v>
      </c>
      <c r="BH243" s="130">
        <f t="shared" si="96"/>
        <v>0</v>
      </c>
      <c r="BI243" s="130">
        <f t="shared" si="97"/>
        <v>0</v>
      </c>
      <c r="BJ243" s="130">
        <f t="shared" si="98"/>
        <v>0</v>
      </c>
      <c r="BK243" s="130">
        <f t="shared" si="99"/>
        <v>-142.25854075460722</v>
      </c>
      <c r="BL243" s="130">
        <f>IF($K243=$L243,$BK243,IF(OR($K243="graphite",$K243="vitreous carbon"),$BK$406+($BM$389+$I243)*$BJ$406,IF($K243="Pyrolytic Boron Nitride","PBN",IF(COUNTIF($BH$396:$BH$416,$K243)&gt;0,VLOOKUP($K243,$BH$396:$BK$416,4,FALSE)+($BM$389+$I243)*VLOOKUP($K243,$BH$396:$BK$416,3,FALSE),IF(COUNTIF($L$2:$L242,$K243)&gt;0,VLOOKUP($K243,$L$2:$BK242,52,FALSE),"idk")))))</f>
        <v>-66.237592947441144</v>
      </c>
      <c r="BM243" s="129">
        <v>30</v>
      </c>
      <c r="BN243" s="129">
        <v>15</v>
      </c>
      <c r="BO243" s="129">
        <v>1</v>
      </c>
      <c r="BP243" s="129" t="s">
        <v>506</v>
      </c>
      <c r="BQ243" s="129"/>
      <c r="BR243" s="129" t="s">
        <v>247</v>
      </c>
      <c r="BS243" s="129"/>
      <c r="BT243" s="129">
        <v>0</v>
      </c>
      <c r="BV243" s="129"/>
      <c r="BZ243" s="130"/>
      <c r="CA243" s="130"/>
      <c r="CB243" s="130"/>
      <c r="CI243" s="151"/>
      <c r="CJ243" s="151"/>
      <c r="CK243" s="151"/>
      <c r="CL243" s="151"/>
      <c r="CM243" s="151"/>
      <c r="CN243" s="151"/>
      <c r="CO243" s="151"/>
      <c r="CP243" s="151"/>
      <c r="CQ243" s="151"/>
      <c r="CR243" s="151"/>
      <c r="CS243" s="151"/>
      <c r="CT243" s="151"/>
      <c r="CU243" s="151"/>
      <c r="CV243" s="151"/>
      <c r="CW243" s="151"/>
      <c r="CX243" s="151"/>
      <c r="CY243" s="151"/>
      <c r="CZ243" s="151"/>
      <c r="DA243" s="151"/>
      <c r="DB243" s="151"/>
      <c r="DC243" s="151"/>
      <c r="DD243" s="151"/>
      <c r="DE243" s="151"/>
      <c r="DF243" s="151"/>
      <c r="DG243" s="151"/>
      <c r="DH243" s="151"/>
      <c r="DI243" s="151"/>
      <c r="DJ243" s="129">
        <v>0</v>
      </c>
      <c r="DK243" s="129">
        <v>0</v>
      </c>
      <c r="DL243" s="129"/>
      <c r="DO243" s="129">
        <v>-0.63</v>
      </c>
      <c r="DS243" s="129"/>
      <c r="DU243" s="129" t="s">
        <v>507</v>
      </c>
      <c r="DW243" s="129">
        <f>SUM(_2025_01_07T12_47_export3[[#This Row],[Ni_wt]:[H_wt]])</f>
        <v>99.82</v>
      </c>
      <c r="DY243" s="130">
        <f>SUM($AM243:BJ243)</f>
        <v>100</v>
      </c>
    </row>
    <row r="244" spans="1:129" x14ac:dyDescent="0.25">
      <c r="A244" s="238" t="s">
        <v>502</v>
      </c>
      <c r="B244" s="238">
        <v>252</v>
      </c>
      <c r="C244" s="238" t="s">
        <v>503</v>
      </c>
      <c r="D244" s="238">
        <v>2025</v>
      </c>
      <c r="E244" s="238" t="s">
        <v>504</v>
      </c>
      <c r="F244" s="238" t="s">
        <v>505</v>
      </c>
      <c r="G244" s="238" t="s">
        <v>226</v>
      </c>
      <c r="H244" s="238">
        <v>0</v>
      </c>
      <c r="I244" s="238">
        <v>700</v>
      </c>
      <c r="J244" s="238">
        <v>2160</v>
      </c>
      <c r="K244" s="238" t="s">
        <v>233</v>
      </c>
      <c r="L244" s="238" t="s">
        <v>227</v>
      </c>
      <c r="M244" s="238"/>
      <c r="N244" s="238">
        <v>7980000</v>
      </c>
      <c r="O244" s="239">
        <v>10.27</v>
      </c>
      <c r="P244" s="239">
        <v>17.170000000000002</v>
      </c>
      <c r="Q244" s="239">
        <v>2.39</v>
      </c>
      <c r="R244" s="239">
        <v>67.599999999999994</v>
      </c>
      <c r="S244" s="239"/>
      <c r="T244" s="239"/>
      <c r="U244" s="239">
        <v>1.75</v>
      </c>
      <c r="V244" s="239"/>
      <c r="W244" s="239"/>
      <c r="X244" s="239">
        <v>0.35</v>
      </c>
      <c r="Y244" s="239"/>
      <c r="Z244" s="239">
        <v>0.28999999999999998</v>
      </c>
      <c r="AA244" s="239"/>
      <c r="AB244" s="239"/>
      <c r="AC244" s="239"/>
      <c r="AD244" s="239"/>
      <c r="AE244" s="239"/>
      <c r="AF244" s="239"/>
      <c r="AG244" s="239"/>
      <c r="AH244" s="239"/>
      <c r="AI244" s="239"/>
      <c r="AJ244" s="239"/>
      <c r="AK244" s="239"/>
      <c r="AL244" s="239"/>
      <c r="AM244" s="239">
        <f t="shared" si="75"/>
        <v>9.7793904265458007</v>
      </c>
      <c r="AN244" s="239">
        <f t="shared" si="76"/>
        <v>18.453230324283425</v>
      </c>
      <c r="AO244" s="239">
        <f t="shared" si="77"/>
        <v>1.3919162740238202</v>
      </c>
      <c r="AP244" s="239">
        <f t="shared" si="78"/>
        <v>67.643951486161157</v>
      </c>
      <c r="AQ244" s="239">
        <f t="shared" si="79"/>
        <v>0</v>
      </c>
      <c r="AR244" s="239">
        <f t="shared" si="80"/>
        <v>0</v>
      </c>
      <c r="AS244" s="239">
        <f t="shared" si="81"/>
        <v>1.7801428100097034</v>
      </c>
      <c r="AT244" s="239">
        <f t="shared" si="82"/>
        <v>0</v>
      </c>
      <c r="AU244" s="239">
        <f t="shared" si="83"/>
        <v>0</v>
      </c>
      <c r="AV244" s="239">
        <f t="shared" si="84"/>
        <v>0.69634066202871547</v>
      </c>
      <c r="AW244" s="239">
        <f t="shared" si="85"/>
        <v>0</v>
      </c>
      <c r="AX244" s="239">
        <f t="shared" si="86"/>
        <v>0.25502801694738092</v>
      </c>
      <c r="AY244" s="239">
        <f t="shared" si="87"/>
        <v>0</v>
      </c>
      <c r="AZ244" s="239">
        <f t="shared" si="88"/>
        <v>0</v>
      </c>
      <c r="BA244" s="239">
        <f t="shared" si="89"/>
        <v>0</v>
      </c>
      <c r="BB244" s="239">
        <f t="shared" si="90"/>
        <v>0</v>
      </c>
      <c r="BC244" s="239">
        <f t="shared" si="91"/>
        <v>0</v>
      </c>
      <c r="BD244" s="239">
        <f t="shared" si="92"/>
        <v>0</v>
      </c>
      <c r="BE244" s="239">
        <f t="shared" si="93"/>
        <v>0</v>
      </c>
      <c r="BF244" s="239">
        <f t="shared" si="94"/>
        <v>0</v>
      </c>
      <c r="BG244" s="239">
        <f t="shared" si="95"/>
        <v>0</v>
      </c>
      <c r="BH244" s="239">
        <f t="shared" si="96"/>
        <v>0</v>
      </c>
      <c r="BI244" s="239">
        <f t="shared" si="97"/>
        <v>0</v>
      </c>
      <c r="BJ244" s="239">
        <f t="shared" si="98"/>
        <v>0</v>
      </c>
      <c r="BK244" s="239">
        <f t="shared" si="99"/>
        <v>-137.38764590231389</v>
      </c>
      <c r="BL244" s="239">
        <f>IF($K244=$L244,$BK244,IF(OR($K244="graphite",$K244="vitreous carbon"),$BK$406+($BM$389+$I244)*$BJ$406,IF($K244="Pyrolytic Boron Nitride","PBN",IF(COUNTIF($BH$396:$BH$416,$K244)&gt;0,VLOOKUP($K244,$BH$396:$BK$416,4,FALSE)+($BM$389+$I244)*VLOOKUP($K244,$BH$396:$BK$416,3,FALSE),IF(COUNTIF($L$2:$L243,$K244)&gt;0,VLOOKUP($K244,$L$2:$BK243,52,FALSE),"idk")))))</f>
        <v>-63.529671587210359</v>
      </c>
      <c r="BM244" s="238">
        <v>30</v>
      </c>
      <c r="BN244" s="238">
        <v>15</v>
      </c>
      <c r="BO244" s="238">
        <v>1</v>
      </c>
      <c r="BP244" s="238" t="s">
        <v>506</v>
      </c>
      <c r="BQ244" s="238"/>
      <c r="BR244" s="238" t="s">
        <v>247</v>
      </c>
      <c r="BS244" s="238"/>
      <c r="BT244" s="238">
        <v>0</v>
      </c>
      <c r="BU244" s="238"/>
      <c r="BV244" s="238"/>
      <c r="BW244" s="238"/>
      <c r="BX244" s="238"/>
      <c r="BY244" s="238"/>
      <c r="BZ244" s="239"/>
      <c r="CA244" s="239"/>
      <c r="CB244" s="239"/>
      <c r="CC244" s="238"/>
      <c r="CD244" s="238"/>
      <c r="CE244" s="238"/>
      <c r="CF244" s="238"/>
      <c r="CG244" s="238"/>
      <c r="CH244" s="238"/>
      <c r="CI244" s="240"/>
      <c r="CJ244" s="240"/>
      <c r="CK244" s="240"/>
      <c r="CL244" s="240"/>
      <c r="CM244" s="240"/>
      <c r="CN244" s="240"/>
      <c r="CO244" s="240"/>
      <c r="CP244" s="240"/>
      <c r="CQ244" s="240"/>
      <c r="CR244" s="240"/>
      <c r="CS244" s="240"/>
      <c r="CT244" s="240"/>
      <c r="CU244" s="240"/>
      <c r="CV244" s="240"/>
      <c r="CW244" s="240"/>
      <c r="CX244" s="240"/>
      <c r="CY244" s="240"/>
      <c r="CZ244" s="240"/>
      <c r="DA244" s="240"/>
      <c r="DB244" s="240"/>
      <c r="DC244" s="240"/>
      <c r="DD244" s="240"/>
      <c r="DE244" s="240"/>
      <c r="DF244" s="240"/>
      <c r="DG244" s="240"/>
      <c r="DH244" s="240"/>
      <c r="DI244" s="240"/>
      <c r="DJ244" s="238">
        <v>0</v>
      </c>
      <c r="DK244" s="238">
        <v>0</v>
      </c>
      <c r="DL244" s="238"/>
      <c r="DM244" s="238"/>
      <c r="DN244" s="238"/>
      <c r="DO244" s="238">
        <v>-1.9</v>
      </c>
      <c r="DP244" s="238"/>
      <c r="DQ244" s="238"/>
      <c r="DR244" s="238"/>
      <c r="DS244" s="238"/>
      <c r="DT244" s="238"/>
      <c r="DU244" s="238" t="s">
        <v>507</v>
      </c>
      <c r="DW244" s="129">
        <f>SUM(_2025_01_07T12_47_export3[[#This Row],[Ni_wt]:[H_wt]])</f>
        <v>99.82</v>
      </c>
      <c r="DY244" s="130">
        <f>SUM($AM244:BJ244)</f>
        <v>100</v>
      </c>
    </row>
    <row r="245" spans="1:129" x14ac:dyDescent="0.25">
      <c r="A245" s="129" t="s">
        <v>509</v>
      </c>
      <c r="B245" s="129">
        <v>253</v>
      </c>
      <c r="C245" s="129" t="s">
        <v>503</v>
      </c>
      <c r="D245" s="129">
        <v>2025</v>
      </c>
      <c r="E245" s="129" t="s">
        <v>504</v>
      </c>
      <c r="F245" s="129" t="s">
        <v>505</v>
      </c>
      <c r="G245" s="129" t="s">
        <v>226</v>
      </c>
      <c r="H245" s="129">
        <v>0</v>
      </c>
      <c r="I245" s="129">
        <v>550</v>
      </c>
      <c r="J245" s="129">
        <v>750</v>
      </c>
      <c r="K245" s="129" t="s">
        <v>233</v>
      </c>
      <c r="L245" s="129" t="s">
        <v>510</v>
      </c>
      <c r="N245" s="129">
        <v>7940000</v>
      </c>
      <c r="O245" s="130">
        <v>30.65</v>
      </c>
      <c r="P245" s="130">
        <v>20.12</v>
      </c>
      <c r="Q245" s="130"/>
      <c r="R245" s="130">
        <v>47.61</v>
      </c>
      <c r="S245" s="130"/>
      <c r="T245" s="130"/>
      <c r="U245" s="130">
        <v>0.74</v>
      </c>
      <c r="V245" s="130"/>
      <c r="W245" s="130">
        <v>0.42</v>
      </c>
      <c r="X245" s="130">
        <v>0.21</v>
      </c>
      <c r="Y245" s="130"/>
      <c r="Z245" s="130"/>
      <c r="AA245" s="130"/>
      <c r="AB245" s="130"/>
      <c r="AC245" s="130"/>
      <c r="AD245" s="130"/>
      <c r="AE245" s="130"/>
      <c r="AF245" s="130"/>
      <c r="AG245" s="130"/>
      <c r="AH245" s="130"/>
      <c r="AI245" s="130"/>
      <c r="AJ245" s="130"/>
      <c r="AK245" s="130"/>
      <c r="AL245" s="130"/>
      <c r="AM245" s="130">
        <f t="shared" si="75"/>
        <v>29.153350435184734</v>
      </c>
      <c r="AN245" s="130">
        <f t="shared" si="76"/>
        <v>21.599651121385847</v>
      </c>
      <c r="AO245" s="130">
        <f t="shared" si="77"/>
        <v>0</v>
      </c>
      <c r="AP245" s="130">
        <f t="shared" si="78"/>
        <v>47.587962177016109</v>
      </c>
      <c r="AQ245" s="130">
        <f t="shared" si="79"/>
        <v>0</v>
      </c>
      <c r="AR245" s="130">
        <f t="shared" si="80"/>
        <v>0</v>
      </c>
      <c r="AS245" s="130">
        <f t="shared" si="81"/>
        <v>0.75190880124325687</v>
      </c>
      <c r="AT245" s="130">
        <f t="shared" si="82"/>
        <v>0</v>
      </c>
      <c r="AU245" s="130">
        <f t="shared" si="83"/>
        <v>0.48978780387558385</v>
      </c>
      <c r="AV245" s="130">
        <f t="shared" si="84"/>
        <v>0.41733966129448552</v>
      </c>
      <c r="AW245" s="130">
        <f t="shared" si="85"/>
        <v>0</v>
      </c>
      <c r="AX245" s="130">
        <f t="shared" si="86"/>
        <v>0</v>
      </c>
      <c r="AY245" s="130">
        <f t="shared" si="87"/>
        <v>0</v>
      </c>
      <c r="AZ245" s="130">
        <f t="shared" si="88"/>
        <v>0</v>
      </c>
      <c r="BA245" s="130">
        <f t="shared" si="89"/>
        <v>0</v>
      </c>
      <c r="BB245" s="130">
        <f t="shared" si="90"/>
        <v>0</v>
      </c>
      <c r="BC245" s="130">
        <f t="shared" si="91"/>
        <v>0</v>
      </c>
      <c r="BD245" s="130">
        <f t="shared" si="92"/>
        <v>0</v>
      </c>
      <c r="BE245" s="130">
        <f t="shared" si="93"/>
        <v>0</v>
      </c>
      <c r="BF245" s="130">
        <f t="shared" si="94"/>
        <v>0</v>
      </c>
      <c r="BG245" s="130">
        <f t="shared" si="95"/>
        <v>0</v>
      </c>
      <c r="BH245" s="130">
        <f t="shared" si="96"/>
        <v>0</v>
      </c>
      <c r="BI245" s="130">
        <f t="shared" si="97"/>
        <v>0</v>
      </c>
      <c r="BJ245" s="130">
        <f t="shared" si="98"/>
        <v>0</v>
      </c>
      <c r="BK245" s="130">
        <f t="shared" si="99"/>
        <v>-140.2664586475064</v>
      </c>
      <c r="BL245" s="130">
        <f>IF($K245=$L245,$BK245,IF(OR($K245="graphite",$K245="vitreous carbon"),$BK$406+($BM$389+$I245)*$BJ$406,IF($K245="Pyrolytic Boron Nitride","PBN",IF(COUNTIF($BH$396:$BH$416,$K245)&gt;0,VLOOKUP($K245,$BH$396:$BK$416,4,FALSE)+($BM$389+$I245)*VLOOKUP($K245,$BH$396:$BK$416,3,FALSE),IF(COUNTIF($L$2:$L244,$K245)&gt;0,VLOOKUP($K245,$L$2:$BK244,52,FALSE),"idk")))))</f>
        <v>-66.237592947441144</v>
      </c>
      <c r="BM245" s="129">
        <v>30</v>
      </c>
      <c r="BN245" s="129">
        <v>15</v>
      </c>
      <c r="BO245" s="129">
        <v>1</v>
      </c>
      <c r="BP245" s="129" t="s">
        <v>506</v>
      </c>
      <c r="BQ245" s="129"/>
      <c r="BR245" s="129" t="s">
        <v>247</v>
      </c>
      <c r="BS245" s="129"/>
      <c r="BT245" s="129">
        <v>0</v>
      </c>
      <c r="BV245" s="129"/>
      <c r="BZ245" s="130"/>
      <c r="CA245" s="130"/>
      <c r="CB245" s="130"/>
      <c r="CI245" s="151"/>
      <c r="CJ245" s="151"/>
      <c r="CK245" s="151"/>
      <c r="CL245" s="151"/>
      <c r="CM245" s="151"/>
      <c r="CN245" s="151"/>
      <c r="CO245" s="151"/>
      <c r="CP245" s="151"/>
      <c r="CQ245" s="151"/>
      <c r="CR245" s="151"/>
      <c r="CS245" s="151"/>
      <c r="CT245" s="151"/>
      <c r="CU245" s="151"/>
      <c r="CV245" s="151"/>
      <c r="CW245" s="151"/>
      <c r="CX245" s="151"/>
      <c r="CY245" s="151"/>
      <c r="CZ245" s="151"/>
      <c r="DA245" s="151"/>
      <c r="DB245" s="151"/>
      <c r="DC245" s="151"/>
      <c r="DD245" s="151"/>
      <c r="DE245" s="151"/>
      <c r="DF245" s="151"/>
      <c r="DG245" s="151"/>
      <c r="DH245" s="151"/>
      <c r="DI245" s="151"/>
      <c r="DJ245" s="129">
        <v>0</v>
      </c>
      <c r="DK245" s="129">
        <v>0</v>
      </c>
      <c r="DL245" s="129"/>
      <c r="DO245" s="129">
        <v>-0.9</v>
      </c>
      <c r="DS245" s="129"/>
      <c r="DU245" s="129" t="s">
        <v>507</v>
      </c>
      <c r="DW245" s="129">
        <f>SUM(_2025_01_07T12_47_export3[[#This Row],[Ni_wt]:[H_wt]])</f>
        <v>99.749999999999986</v>
      </c>
      <c r="DY245" s="130">
        <f>SUM($AM245:BJ245)</f>
        <v>100.00000000000003</v>
      </c>
    </row>
    <row r="246" spans="1:129" x14ac:dyDescent="0.25">
      <c r="A246" s="129" t="s">
        <v>509</v>
      </c>
      <c r="B246" s="129">
        <v>254</v>
      </c>
      <c r="C246" s="129" t="s">
        <v>503</v>
      </c>
      <c r="D246" s="129">
        <v>2025</v>
      </c>
      <c r="E246" s="129" t="s">
        <v>504</v>
      </c>
      <c r="F246" s="129" t="s">
        <v>505</v>
      </c>
      <c r="G246" s="129" t="s">
        <v>226</v>
      </c>
      <c r="H246" s="129">
        <v>0</v>
      </c>
      <c r="I246" s="129">
        <v>700</v>
      </c>
      <c r="J246" s="129">
        <v>720</v>
      </c>
      <c r="K246" s="129" t="s">
        <v>233</v>
      </c>
      <c r="L246" s="129" t="s">
        <v>510</v>
      </c>
      <c r="N246" s="129">
        <v>7940000</v>
      </c>
      <c r="O246" s="130">
        <v>30.65</v>
      </c>
      <c r="P246" s="130">
        <v>20.12</v>
      </c>
      <c r="Q246" s="130"/>
      <c r="R246" s="130">
        <v>47.61</v>
      </c>
      <c r="S246" s="130"/>
      <c r="T246" s="130"/>
      <c r="U246" s="130">
        <v>0.74</v>
      </c>
      <c r="V246" s="130"/>
      <c r="W246" s="130">
        <v>0.42</v>
      </c>
      <c r="X246" s="130">
        <v>0.21</v>
      </c>
      <c r="Y246" s="130"/>
      <c r="Z246" s="130"/>
      <c r="AA246" s="130"/>
      <c r="AB246" s="130"/>
      <c r="AC246" s="130"/>
      <c r="AD246" s="130"/>
      <c r="AE246" s="130"/>
      <c r="AF246" s="130"/>
      <c r="AG246" s="130"/>
      <c r="AH246" s="130"/>
      <c r="AI246" s="130"/>
      <c r="AJ246" s="130"/>
      <c r="AK246" s="130"/>
      <c r="AL246" s="130"/>
      <c r="AM246" s="130">
        <f t="shared" si="75"/>
        <v>29.153350435184734</v>
      </c>
      <c r="AN246" s="130">
        <f t="shared" si="76"/>
        <v>21.599651121385847</v>
      </c>
      <c r="AO246" s="130">
        <f t="shared" si="77"/>
        <v>0</v>
      </c>
      <c r="AP246" s="130">
        <f t="shared" si="78"/>
        <v>47.587962177016109</v>
      </c>
      <c r="AQ246" s="130">
        <f t="shared" si="79"/>
        <v>0</v>
      </c>
      <c r="AR246" s="130">
        <f t="shared" si="80"/>
        <v>0</v>
      </c>
      <c r="AS246" s="130">
        <f t="shared" si="81"/>
        <v>0.75190880124325687</v>
      </c>
      <c r="AT246" s="130">
        <f t="shared" si="82"/>
        <v>0</v>
      </c>
      <c r="AU246" s="130">
        <f t="shared" si="83"/>
        <v>0.48978780387558385</v>
      </c>
      <c r="AV246" s="130">
        <f t="shared" si="84"/>
        <v>0.41733966129448552</v>
      </c>
      <c r="AW246" s="130">
        <f t="shared" si="85"/>
        <v>0</v>
      </c>
      <c r="AX246" s="130">
        <f t="shared" si="86"/>
        <v>0</v>
      </c>
      <c r="AY246" s="130">
        <f t="shared" si="87"/>
        <v>0</v>
      </c>
      <c r="AZ246" s="130">
        <f t="shared" si="88"/>
        <v>0</v>
      </c>
      <c r="BA246" s="130">
        <f t="shared" si="89"/>
        <v>0</v>
      </c>
      <c r="BB246" s="130">
        <f t="shared" si="90"/>
        <v>0</v>
      </c>
      <c r="BC246" s="130">
        <f t="shared" si="91"/>
        <v>0</v>
      </c>
      <c r="BD246" s="130">
        <f t="shared" si="92"/>
        <v>0</v>
      </c>
      <c r="BE246" s="130">
        <f t="shared" si="93"/>
        <v>0</v>
      </c>
      <c r="BF246" s="130">
        <f t="shared" si="94"/>
        <v>0</v>
      </c>
      <c r="BG246" s="130">
        <f t="shared" si="95"/>
        <v>0</v>
      </c>
      <c r="BH246" s="130">
        <f t="shared" si="96"/>
        <v>0</v>
      </c>
      <c r="BI246" s="130">
        <f t="shared" si="97"/>
        <v>0</v>
      </c>
      <c r="BJ246" s="130">
        <f t="shared" si="98"/>
        <v>0</v>
      </c>
      <c r="BK246" s="130">
        <f t="shared" si="99"/>
        <v>-135.25658051249096</v>
      </c>
      <c r="BL246" s="130">
        <f>IF($K246=$L246,$BK246,IF(OR($K246="graphite",$K246="vitreous carbon"),$BK$406+($BM$389+$I246)*$BJ$406,IF($K246="Pyrolytic Boron Nitride","PBN",IF(COUNTIF($BH$396:$BH$416,$K246)&gt;0,VLOOKUP($K246,$BH$396:$BK$416,4,FALSE)+($BM$389+$I246)*VLOOKUP($K246,$BH$396:$BK$416,3,FALSE),IF(COUNTIF($L$2:$L245,$K246)&gt;0,VLOOKUP($K246,$L$2:$BK245,52,FALSE),"idk")))))</f>
        <v>-63.529671587210359</v>
      </c>
      <c r="BM246" s="129">
        <v>30</v>
      </c>
      <c r="BN246" s="129">
        <v>15</v>
      </c>
      <c r="BO246" s="129">
        <v>1</v>
      </c>
      <c r="BP246" s="129" t="s">
        <v>506</v>
      </c>
      <c r="BQ246" s="129"/>
      <c r="BR246" s="129" t="s">
        <v>247</v>
      </c>
      <c r="BS246" s="129"/>
      <c r="BT246" s="129">
        <v>0</v>
      </c>
      <c r="BV246" s="129"/>
      <c r="BZ246" s="130"/>
      <c r="CA246" s="130"/>
      <c r="CB246" s="130"/>
      <c r="CI246" s="151"/>
      <c r="CJ246" s="151"/>
      <c r="CK246" s="151"/>
      <c r="CL246" s="151"/>
      <c r="CM246" s="151"/>
      <c r="CN246" s="151"/>
      <c r="CO246" s="151"/>
      <c r="CP246" s="151"/>
      <c r="CQ246" s="151"/>
      <c r="CR246" s="151"/>
      <c r="CS246" s="151"/>
      <c r="CT246" s="151"/>
      <c r="CU246" s="151"/>
      <c r="CV246" s="151"/>
      <c r="CW246" s="151"/>
      <c r="CX246" s="151"/>
      <c r="CY246" s="151"/>
      <c r="CZ246" s="151"/>
      <c r="DA246" s="151"/>
      <c r="DB246" s="151"/>
      <c r="DC246" s="151"/>
      <c r="DD246" s="151"/>
      <c r="DE246" s="151"/>
      <c r="DF246" s="151"/>
      <c r="DG246" s="151"/>
      <c r="DH246" s="151"/>
      <c r="DI246" s="151"/>
      <c r="DJ246" s="129">
        <v>0</v>
      </c>
      <c r="DK246" s="129">
        <v>0</v>
      </c>
      <c r="DL246" s="129"/>
      <c r="DO246" s="129">
        <v>-1.01</v>
      </c>
      <c r="DS246" s="129"/>
      <c r="DU246" s="129" t="s">
        <v>507</v>
      </c>
      <c r="DW246" s="129">
        <f>SUM(_2025_01_07T12_47_export3[[#This Row],[Ni_wt]:[H_wt]])</f>
        <v>99.749999999999986</v>
      </c>
      <c r="DY246" s="130">
        <f>SUM($AM246:BJ246)</f>
        <v>100.00000000000003</v>
      </c>
    </row>
    <row r="247" spans="1:129" x14ac:dyDescent="0.25">
      <c r="A247" s="129" t="s">
        <v>509</v>
      </c>
      <c r="B247" s="129">
        <v>255</v>
      </c>
      <c r="C247" s="129" t="s">
        <v>503</v>
      </c>
      <c r="D247" s="129">
        <v>2025</v>
      </c>
      <c r="E247" s="129" t="s">
        <v>504</v>
      </c>
      <c r="F247" s="129" t="s">
        <v>505</v>
      </c>
      <c r="G247" s="129" t="s">
        <v>226</v>
      </c>
      <c r="H247" s="129">
        <v>0</v>
      </c>
      <c r="I247" s="129">
        <v>550</v>
      </c>
      <c r="J247" s="129">
        <v>2160</v>
      </c>
      <c r="K247" s="129" t="s">
        <v>233</v>
      </c>
      <c r="L247" s="129" t="s">
        <v>510</v>
      </c>
      <c r="N247" s="129">
        <v>7940000</v>
      </c>
      <c r="O247" s="130">
        <v>30.65</v>
      </c>
      <c r="P247" s="130">
        <v>20.12</v>
      </c>
      <c r="Q247" s="130"/>
      <c r="R247" s="130">
        <v>47.61</v>
      </c>
      <c r="S247" s="130"/>
      <c r="T247" s="130"/>
      <c r="U247" s="130">
        <v>0.74</v>
      </c>
      <c r="V247" s="130"/>
      <c r="W247" s="130">
        <v>0.42</v>
      </c>
      <c r="X247" s="130">
        <v>0.21</v>
      </c>
      <c r="Y247" s="130"/>
      <c r="Z247" s="130"/>
      <c r="AA247" s="130"/>
      <c r="AB247" s="130"/>
      <c r="AC247" s="130"/>
      <c r="AD247" s="130"/>
      <c r="AE247" s="130"/>
      <c r="AF247" s="130"/>
      <c r="AG247" s="130"/>
      <c r="AH247" s="130"/>
      <c r="AI247" s="130"/>
      <c r="AJ247" s="130"/>
      <c r="AK247" s="130"/>
      <c r="AL247" s="130"/>
      <c r="AM247" s="130">
        <f t="shared" si="75"/>
        <v>29.153350435184734</v>
      </c>
      <c r="AN247" s="130">
        <f t="shared" si="76"/>
        <v>21.599651121385847</v>
      </c>
      <c r="AO247" s="130">
        <f t="shared" si="77"/>
        <v>0</v>
      </c>
      <c r="AP247" s="130">
        <f t="shared" si="78"/>
        <v>47.587962177016109</v>
      </c>
      <c r="AQ247" s="130">
        <f t="shared" si="79"/>
        <v>0</v>
      </c>
      <c r="AR247" s="130">
        <f t="shared" si="80"/>
        <v>0</v>
      </c>
      <c r="AS247" s="130">
        <f t="shared" si="81"/>
        <v>0.75190880124325687</v>
      </c>
      <c r="AT247" s="130">
        <f t="shared" si="82"/>
        <v>0</v>
      </c>
      <c r="AU247" s="130">
        <f t="shared" si="83"/>
        <v>0.48978780387558385</v>
      </c>
      <c r="AV247" s="130">
        <f t="shared" si="84"/>
        <v>0.41733966129448552</v>
      </c>
      <c r="AW247" s="130">
        <f t="shared" si="85"/>
        <v>0</v>
      </c>
      <c r="AX247" s="130">
        <f t="shared" si="86"/>
        <v>0</v>
      </c>
      <c r="AY247" s="130">
        <f t="shared" si="87"/>
        <v>0</v>
      </c>
      <c r="AZ247" s="130">
        <f t="shared" si="88"/>
        <v>0</v>
      </c>
      <c r="BA247" s="130">
        <f t="shared" si="89"/>
        <v>0</v>
      </c>
      <c r="BB247" s="130">
        <f t="shared" si="90"/>
        <v>0</v>
      </c>
      <c r="BC247" s="130">
        <f t="shared" si="91"/>
        <v>0</v>
      </c>
      <c r="BD247" s="130">
        <f t="shared" si="92"/>
        <v>0</v>
      </c>
      <c r="BE247" s="130">
        <f t="shared" si="93"/>
        <v>0</v>
      </c>
      <c r="BF247" s="130">
        <f t="shared" si="94"/>
        <v>0</v>
      </c>
      <c r="BG247" s="130">
        <f t="shared" si="95"/>
        <v>0</v>
      </c>
      <c r="BH247" s="130">
        <f t="shared" si="96"/>
        <v>0</v>
      </c>
      <c r="BI247" s="130">
        <f t="shared" si="97"/>
        <v>0</v>
      </c>
      <c r="BJ247" s="130">
        <f t="shared" si="98"/>
        <v>0</v>
      </c>
      <c r="BK247" s="130">
        <f t="shared" si="99"/>
        <v>-140.2664586475064</v>
      </c>
      <c r="BL247" s="130">
        <f>IF($K247=$L247,$BK247,IF(OR($K247="graphite",$K247="vitreous carbon"),$BK$406+($BM$389+$I247)*$BJ$406,IF($K247="Pyrolytic Boron Nitride","PBN",IF(COUNTIF($BH$396:$BH$416,$K247)&gt;0,VLOOKUP($K247,$BH$396:$BK$416,4,FALSE)+($BM$389+$I247)*VLOOKUP($K247,$BH$396:$BK$416,3,FALSE),IF(COUNTIF($L$2:$L246,$K247)&gt;0,VLOOKUP($K247,$L$2:$BK246,52,FALSE),"idk")))))</f>
        <v>-66.237592947441144</v>
      </c>
      <c r="BM247" s="129">
        <v>30</v>
      </c>
      <c r="BN247" s="129">
        <v>15</v>
      </c>
      <c r="BO247" s="129">
        <v>1</v>
      </c>
      <c r="BP247" s="129" t="s">
        <v>506</v>
      </c>
      <c r="BQ247" s="129"/>
      <c r="BR247" s="129" t="s">
        <v>247</v>
      </c>
      <c r="BS247" s="129"/>
      <c r="BT247" s="129">
        <v>0</v>
      </c>
      <c r="BV247" s="129"/>
      <c r="BZ247" s="130"/>
      <c r="CA247" s="130"/>
      <c r="CB247" s="130"/>
      <c r="CI247" s="151"/>
      <c r="CJ247" s="151"/>
      <c r="CK247" s="151"/>
      <c r="CL247" s="151"/>
      <c r="CM247" s="151"/>
      <c r="CN247" s="151"/>
      <c r="CO247" s="151"/>
      <c r="CP247" s="151"/>
      <c r="CQ247" s="151"/>
      <c r="CR247" s="151"/>
      <c r="CS247" s="151"/>
      <c r="CT247" s="151"/>
      <c r="CU247" s="151"/>
      <c r="CV247" s="151"/>
      <c r="CW247" s="151"/>
      <c r="CX247" s="151"/>
      <c r="CY247" s="151"/>
      <c r="CZ247" s="151"/>
      <c r="DA247" s="151"/>
      <c r="DB247" s="151"/>
      <c r="DC247" s="151"/>
      <c r="DD247" s="151"/>
      <c r="DE247" s="151"/>
      <c r="DF247" s="151"/>
      <c r="DG247" s="151"/>
      <c r="DH247" s="151"/>
      <c r="DI247" s="151"/>
      <c r="DJ247" s="129">
        <v>0</v>
      </c>
      <c r="DK247" s="129">
        <v>0</v>
      </c>
      <c r="DL247" s="129"/>
      <c r="DO247" s="129">
        <v>-0.52</v>
      </c>
      <c r="DS247" s="129"/>
      <c r="DU247" s="129" t="s">
        <v>507</v>
      </c>
      <c r="DW247" s="129">
        <f>SUM(_2025_01_07T12_47_export3[[#This Row],[Ni_wt]:[H_wt]])</f>
        <v>99.749999999999986</v>
      </c>
      <c r="DY247" s="130">
        <f>SUM($AM247:BJ247)</f>
        <v>100.00000000000003</v>
      </c>
    </row>
    <row r="248" spans="1:129" x14ac:dyDescent="0.25">
      <c r="A248" s="129" t="s">
        <v>511</v>
      </c>
      <c r="B248" s="129">
        <v>256</v>
      </c>
      <c r="C248" s="129" t="s">
        <v>503</v>
      </c>
      <c r="D248" s="129">
        <v>2025</v>
      </c>
      <c r="E248" s="129" t="s">
        <v>504</v>
      </c>
      <c r="F248" s="129" t="s">
        <v>505</v>
      </c>
      <c r="G248" s="129" t="s">
        <v>226</v>
      </c>
      <c r="H248" s="129">
        <v>0</v>
      </c>
      <c r="I248" s="129">
        <v>550</v>
      </c>
      <c r="J248" s="129">
        <v>750</v>
      </c>
      <c r="K248" s="129" t="s">
        <v>233</v>
      </c>
      <c r="L248" s="129" t="s">
        <v>512</v>
      </c>
      <c r="N248" s="131"/>
      <c r="O248" s="130">
        <v>79.72</v>
      </c>
      <c r="P248" s="130">
        <v>6.39</v>
      </c>
      <c r="Q248" s="130">
        <v>12.18</v>
      </c>
      <c r="R248" s="130">
        <v>0.19</v>
      </c>
      <c r="S248" s="130"/>
      <c r="T248" s="130"/>
      <c r="U248" s="130"/>
      <c r="V248" s="130">
        <v>0.69</v>
      </c>
      <c r="W248" s="130">
        <v>0.71</v>
      </c>
      <c r="X248" s="130"/>
      <c r="Y248" s="130"/>
      <c r="Z248" s="130"/>
      <c r="AA248" s="130"/>
      <c r="AB248" s="130"/>
      <c r="AC248" s="130"/>
      <c r="AD248" s="130"/>
      <c r="AE248" s="130"/>
      <c r="AF248" s="130"/>
      <c r="AG248" s="130"/>
      <c r="AH248" s="130"/>
      <c r="AI248" s="130"/>
      <c r="AJ248" s="130"/>
      <c r="AK248" s="130"/>
      <c r="AL248" s="130"/>
      <c r="AM248" s="130">
        <f t="shared" si="75"/>
        <v>82.225743027686903</v>
      </c>
      <c r="AN248" s="130">
        <f t="shared" si="76"/>
        <v>7.4387872950771685</v>
      </c>
      <c r="AO248" s="130">
        <f t="shared" si="77"/>
        <v>7.683545636859118</v>
      </c>
      <c r="AP248" s="130">
        <f t="shared" si="78"/>
        <v>0.20593731665934611</v>
      </c>
      <c r="AQ248" s="130">
        <f t="shared" si="79"/>
        <v>0</v>
      </c>
      <c r="AR248" s="130">
        <f t="shared" si="80"/>
        <v>0</v>
      </c>
      <c r="AS248" s="130">
        <f t="shared" si="81"/>
        <v>0</v>
      </c>
      <c r="AT248" s="130">
        <f t="shared" si="82"/>
        <v>1.5481454885573893</v>
      </c>
      <c r="AU248" s="130">
        <f t="shared" si="83"/>
        <v>0.89784123516006953</v>
      </c>
      <c r="AV248" s="130">
        <f t="shared" si="84"/>
        <v>0</v>
      </c>
      <c r="AW248" s="130">
        <f t="shared" si="85"/>
        <v>0</v>
      </c>
      <c r="AX248" s="130">
        <f t="shared" si="86"/>
        <v>0</v>
      </c>
      <c r="AY248" s="130">
        <f t="shared" si="87"/>
        <v>0</v>
      </c>
      <c r="AZ248" s="130">
        <f t="shared" si="88"/>
        <v>0</v>
      </c>
      <c r="BA248" s="130">
        <f t="shared" si="89"/>
        <v>0</v>
      </c>
      <c r="BB248" s="130">
        <f t="shared" si="90"/>
        <v>0</v>
      </c>
      <c r="BC248" s="130">
        <f t="shared" si="91"/>
        <v>0</v>
      </c>
      <c r="BD248" s="130">
        <f t="shared" si="92"/>
        <v>0</v>
      </c>
      <c r="BE248" s="130">
        <f t="shared" si="93"/>
        <v>0</v>
      </c>
      <c r="BF248" s="130">
        <f t="shared" si="94"/>
        <v>0</v>
      </c>
      <c r="BG248" s="130">
        <f t="shared" si="95"/>
        <v>0</v>
      </c>
      <c r="BH248" s="130">
        <f t="shared" si="96"/>
        <v>0</v>
      </c>
      <c r="BI248" s="130">
        <f t="shared" si="97"/>
        <v>0</v>
      </c>
      <c r="BJ248" s="130">
        <f t="shared" si="98"/>
        <v>0</v>
      </c>
      <c r="BK248" s="130">
        <f t="shared" si="99"/>
        <v>-129.72769063767282</v>
      </c>
      <c r="BL248" s="130">
        <f>IF($K248=$L248,$BK248,IF(OR($K248="graphite",$K248="vitreous carbon"),$BK$406+($BM$389+$I248)*$BJ$406,IF($K248="Pyrolytic Boron Nitride","PBN",IF(COUNTIF($BH$396:$BH$416,$K248)&gt;0,VLOOKUP($K248,$BH$396:$BK$416,4,FALSE)+($BM$389+$I248)*VLOOKUP($K248,$BH$396:$BK$416,3,FALSE),IF(COUNTIF($L$2:$L247,$K248)&gt;0,VLOOKUP($K248,$L$2:$BK247,52,FALSE),"idk")))))</f>
        <v>-66.237592947441144</v>
      </c>
      <c r="BM248" s="129">
        <v>30</v>
      </c>
      <c r="BN248" s="129">
        <v>15</v>
      </c>
      <c r="BO248" s="129">
        <v>1</v>
      </c>
      <c r="BP248" s="129" t="s">
        <v>506</v>
      </c>
      <c r="BQ248" s="129"/>
      <c r="BR248" s="129" t="s">
        <v>247</v>
      </c>
      <c r="BS248" s="129"/>
      <c r="BT248" s="129">
        <v>0</v>
      </c>
      <c r="BV248" s="129"/>
      <c r="BZ248" s="130"/>
      <c r="CA248" s="130"/>
      <c r="CB248" s="130"/>
      <c r="CI248" s="151"/>
      <c r="CJ248" s="151"/>
      <c r="CK248" s="151"/>
      <c r="CL248" s="151"/>
      <c r="CM248" s="151"/>
      <c r="CN248" s="151"/>
      <c r="CO248" s="151"/>
      <c r="CP248" s="151"/>
      <c r="CQ248" s="151"/>
      <c r="CR248" s="151"/>
      <c r="CS248" s="151"/>
      <c r="CT248" s="151"/>
      <c r="CU248" s="151"/>
      <c r="CV248" s="151"/>
      <c r="CW248" s="151"/>
      <c r="CX248" s="151"/>
      <c r="CY248" s="151"/>
      <c r="CZ248" s="151"/>
      <c r="DA248" s="151"/>
      <c r="DB248" s="151"/>
      <c r="DC248" s="151"/>
      <c r="DD248" s="151"/>
      <c r="DE248" s="151"/>
      <c r="DF248" s="151"/>
      <c r="DG248" s="151"/>
      <c r="DH248" s="151"/>
      <c r="DI248" s="151"/>
      <c r="DJ248" s="129">
        <v>0</v>
      </c>
      <c r="DK248" s="129">
        <v>0</v>
      </c>
      <c r="DL248" s="129"/>
      <c r="DO248" s="129">
        <v>-0.26</v>
      </c>
      <c r="DS248" s="129"/>
      <c r="DU248" s="129" t="s">
        <v>507</v>
      </c>
      <c r="DW248" s="129">
        <f>SUM(_2025_01_07T12_47_export3[[#This Row],[Ni_wt]:[H_wt]])</f>
        <v>99.879999999999981</v>
      </c>
      <c r="DY248" s="130">
        <f>SUM($AM248:BJ248)</f>
        <v>100</v>
      </c>
    </row>
    <row r="249" spans="1:129" x14ac:dyDescent="0.25">
      <c r="A249" s="129" t="s">
        <v>511</v>
      </c>
      <c r="B249" s="129">
        <v>257</v>
      </c>
      <c r="C249" s="129" t="s">
        <v>503</v>
      </c>
      <c r="D249" s="129">
        <v>2025</v>
      </c>
      <c r="E249" s="129" t="s">
        <v>504</v>
      </c>
      <c r="F249" s="129" t="s">
        <v>505</v>
      </c>
      <c r="G249" s="129" t="s">
        <v>226</v>
      </c>
      <c r="H249" s="129">
        <v>0</v>
      </c>
      <c r="I249" s="129">
        <v>700</v>
      </c>
      <c r="J249" s="129">
        <v>720</v>
      </c>
      <c r="K249" s="129" t="s">
        <v>233</v>
      </c>
      <c r="L249" s="129" t="s">
        <v>512</v>
      </c>
      <c r="N249" s="131"/>
      <c r="O249" s="130">
        <v>79.72</v>
      </c>
      <c r="P249" s="130">
        <v>6.39</v>
      </c>
      <c r="Q249" s="130">
        <v>12.18</v>
      </c>
      <c r="R249" s="130">
        <v>0.19</v>
      </c>
      <c r="S249" s="130"/>
      <c r="T249" s="130"/>
      <c r="U249" s="130"/>
      <c r="V249" s="130">
        <v>0.69</v>
      </c>
      <c r="W249" s="130">
        <v>0.71</v>
      </c>
      <c r="X249" s="130"/>
      <c r="Y249" s="130"/>
      <c r="Z249" s="130"/>
      <c r="AA249" s="130"/>
      <c r="AB249" s="130"/>
      <c r="AC249" s="130"/>
      <c r="AD249" s="130"/>
      <c r="AE249" s="130"/>
      <c r="AF249" s="130"/>
      <c r="AG249" s="130"/>
      <c r="AH249" s="130"/>
      <c r="AI249" s="130"/>
      <c r="AJ249" s="130"/>
      <c r="AK249" s="130"/>
      <c r="AL249" s="130"/>
      <c r="AM249" s="130">
        <f t="shared" si="75"/>
        <v>82.225743027686903</v>
      </c>
      <c r="AN249" s="130">
        <f t="shared" si="76"/>
        <v>7.4387872950771685</v>
      </c>
      <c r="AO249" s="130">
        <f t="shared" si="77"/>
        <v>7.683545636859118</v>
      </c>
      <c r="AP249" s="130">
        <f t="shared" si="78"/>
        <v>0.20593731665934611</v>
      </c>
      <c r="AQ249" s="130">
        <f t="shared" si="79"/>
        <v>0</v>
      </c>
      <c r="AR249" s="130">
        <f t="shared" si="80"/>
        <v>0</v>
      </c>
      <c r="AS249" s="130">
        <f t="shared" si="81"/>
        <v>0</v>
      </c>
      <c r="AT249" s="130">
        <f t="shared" si="82"/>
        <v>1.5481454885573893</v>
      </c>
      <c r="AU249" s="130">
        <f t="shared" si="83"/>
        <v>0.89784123516006953</v>
      </c>
      <c r="AV249" s="130">
        <f t="shared" si="84"/>
        <v>0</v>
      </c>
      <c r="AW249" s="130">
        <f t="shared" si="85"/>
        <v>0</v>
      </c>
      <c r="AX249" s="130">
        <f t="shared" si="86"/>
        <v>0</v>
      </c>
      <c r="AY249" s="130">
        <f t="shared" si="87"/>
        <v>0</v>
      </c>
      <c r="AZ249" s="130">
        <f t="shared" si="88"/>
        <v>0</v>
      </c>
      <c r="BA249" s="130">
        <f t="shared" si="89"/>
        <v>0</v>
      </c>
      <c r="BB249" s="130">
        <f t="shared" si="90"/>
        <v>0</v>
      </c>
      <c r="BC249" s="130">
        <f t="shared" si="91"/>
        <v>0</v>
      </c>
      <c r="BD249" s="130">
        <f t="shared" si="92"/>
        <v>0</v>
      </c>
      <c r="BE249" s="130">
        <f t="shared" si="93"/>
        <v>0</v>
      </c>
      <c r="BF249" s="130">
        <f t="shared" si="94"/>
        <v>0</v>
      </c>
      <c r="BG249" s="130">
        <f t="shared" si="95"/>
        <v>0</v>
      </c>
      <c r="BH249" s="130">
        <f t="shared" si="96"/>
        <v>0</v>
      </c>
      <c r="BI249" s="130">
        <f t="shared" si="97"/>
        <v>0</v>
      </c>
      <c r="BJ249" s="130">
        <f t="shared" si="98"/>
        <v>0</v>
      </c>
      <c r="BK249" s="130">
        <f t="shared" si="99"/>
        <v>-124.58887388226763</v>
      </c>
      <c r="BL249" s="130">
        <f>IF($K249=$L249,$BK249,IF(OR($K249="graphite",$K249="vitreous carbon"),$BK$406+($BM$389+$I249)*$BJ$406,IF($K249="Pyrolytic Boron Nitride","PBN",IF(COUNTIF($BH$396:$BH$416,$K249)&gt;0,VLOOKUP($K249,$BH$396:$BK$416,4,FALSE)+($BM$389+$I249)*VLOOKUP($K249,$BH$396:$BK$416,3,FALSE),IF(COUNTIF($L$2:$L248,$K249)&gt;0,VLOOKUP($K249,$L$2:$BK248,52,FALSE),"idk")))))</f>
        <v>-63.529671587210359</v>
      </c>
      <c r="BM249" s="129">
        <v>30</v>
      </c>
      <c r="BN249" s="129">
        <v>15</v>
      </c>
      <c r="BO249" s="129">
        <v>1</v>
      </c>
      <c r="BP249" s="129" t="s">
        <v>506</v>
      </c>
      <c r="BQ249" s="129"/>
      <c r="BR249" s="129" t="s">
        <v>247</v>
      </c>
      <c r="BS249" s="129"/>
      <c r="BT249" s="129">
        <v>0</v>
      </c>
      <c r="BV249" s="129"/>
      <c r="BZ249" s="130"/>
      <c r="CA249" s="130"/>
      <c r="CB249" s="130"/>
      <c r="CI249" s="151"/>
      <c r="CJ249" s="151"/>
      <c r="CK249" s="151"/>
      <c r="CL249" s="151"/>
      <c r="CM249" s="151"/>
      <c r="CN249" s="151"/>
      <c r="CO249" s="151"/>
      <c r="CP249" s="151"/>
      <c r="CQ249" s="151"/>
      <c r="CR249" s="151"/>
      <c r="CS249" s="151"/>
      <c r="CT249" s="151"/>
      <c r="CU249" s="151"/>
      <c r="CV249" s="151"/>
      <c r="CW249" s="151"/>
      <c r="CX249" s="151"/>
      <c r="CY249" s="151"/>
      <c r="CZ249" s="151"/>
      <c r="DA249" s="151"/>
      <c r="DB249" s="151"/>
      <c r="DC249" s="151"/>
      <c r="DD249" s="151"/>
      <c r="DE249" s="151"/>
      <c r="DF249" s="151"/>
      <c r="DG249" s="151"/>
      <c r="DH249" s="151"/>
      <c r="DI249" s="151"/>
      <c r="DJ249" s="129">
        <v>0</v>
      </c>
      <c r="DK249" s="129">
        <v>0</v>
      </c>
      <c r="DL249" s="129"/>
      <c r="DO249" s="129">
        <v>-0.43</v>
      </c>
      <c r="DS249" s="129"/>
      <c r="DU249" s="129" t="s">
        <v>507</v>
      </c>
      <c r="DW249" s="129">
        <f>SUM(_2025_01_07T12_47_export3[[#This Row],[Ni_wt]:[H_wt]])</f>
        <v>99.879999999999981</v>
      </c>
      <c r="DY249" s="130">
        <f>SUM($AM249:BJ249)</f>
        <v>100</v>
      </c>
    </row>
    <row r="250" spans="1:129" x14ac:dyDescent="0.25">
      <c r="A250" s="129" t="s">
        <v>511</v>
      </c>
      <c r="B250" s="129">
        <v>258</v>
      </c>
      <c r="C250" s="129" t="s">
        <v>503</v>
      </c>
      <c r="D250" s="129">
        <v>2025</v>
      </c>
      <c r="E250" s="129" t="s">
        <v>504</v>
      </c>
      <c r="F250" s="129" t="s">
        <v>505</v>
      </c>
      <c r="G250" s="129" t="s">
        <v>226</v>
      </c>
      <c r="H250" s="129">
        <v>0</v>
      </c>
      <c r="I250" s="129">
        <v>550</v>
      </c>
      <c r="J250" s="129">
        <v>2160</v>
      </c>
      <c r="K250" s="129" t="s">
        <v>233</v>
      </c>
      <c r="L250" s="129" t="s">
        <v>512</v>
      </c>
      <c r="N250" s="131"/>
      <c r="O250" s="130">
        <v>79.72</v>
      </c>
      <c r="P250" s="130">
        <v>6.39</v>
      </c>
      <c r="Q250" s="130">
        <v>12.18</v>
      </c>
      <c r="R250" s="130">
        <v>0.19</v>
      </c>
      <c r="S250" s="130"/>
      <c r="T250" s="130"/>
      <c r="U250" s="130"/>
      <c r="V250" s="130">
        <v>0.69</v>
      </c>
      <c r="W250" s="130">
        <v>0.71</v>
      </c>
      <c r="X250" s="130"/>
      <c r="Y250" s="130"/>
      <c r="Z250" s="130"/>
      <c r="AA250" s="130"/>
      <c r="AB250" s="130"/>
      <c r="AC250" s="130"/>
      <c r="AD250" s="130"/>
      <c r="AE250" s="130"/>
      <c r="AF250" s="130"/>
      <c r="AG250" s="130"/>
      <c r="AH250" s="130"/>
      <c r="AI250" s="130"/>
      <c r="AJ250" s="130"/>
      <c r="AK250" s="130"/>
      <c r="AL250" s="130"/>
      <c r="AM250" s="130">
        <f t="shared" si="75"/>
        <v>82.225743027686903</v>
      </c>
      <c r="AN250" s="130">
        <f t="shared" si="76"/>
        <v>7.4387872950771685</v>
      </c>
      <c r="AO250" s="130">
        <f t="shared" si="77"/>
        <v>7.683545636859118</v>
      </c>
      <c r="AP250" s="130">
        <f t="shared" si="78"/>
        <v>0.20593731665934611</v>
      </c>
      <c r="AQ250" s="130">
        <f t="shared" si="79"/>
        <v>0</v>
      </c>
      <c r="AR250" s="130">
        <f t="shared" si="80"/>
        <v>0</v>
      </c>
      <c r="AS250" s="130">
        <f t="shared" si="81"/>
        <v>0</v>
      </c>
      <c r="AT250" s="130">
        <f t="shared" si="82"/>
        <v>1.5481454885573893</v>
      </c>
      <c r="AU250" s="130">
        <f t="shared" si="83"/>
        <v>0.89784123516006953</v>
      </c>
      <c r="AV250" s="130">
        <f t="shared" si="84"/>
        <v>0</v>
      </c>
      <c r="AW250" s="130">
        <f t="shared" si="85"/>
        <v>0</v>
      </c>
      <c r="AX250" s="130">
        <f t="shared" si="86"/>
        <v>0</v>
      </c>
      <c r="AY250" s="130">
        <f t="shared" si="87"/>
        <v>0</v>
      </c>
      <c r="AZ250" s="130">
        <f t="shared" si="88"/>
        <v>0</v>
      </c>
      <c r="BA250" s="130">
        <f t="shared" si="89"/>
        <v>0</v>
      </c>
      <c r="BB250" s="130">
        <f t="shared" si="90"/>
        <v>0</v>
      </c>
      <c r="BC250" s="130">
        <f t="shared" si="91"/>
        <v>0</v>
      </c>
      <c r="BD250" s="130">
        <f t="shared" si="92"/>
        <v>0</v>
      </c>
      <c r="BE250" s="130">
        <f t="shared" si="93"/>
        <v>0</v>
      </c>
      <c r="BF250" s="130">
        <f t="shared" si="94"/>
        <v>0</v>
      </c>
      <c r="BG250" s="130">
        <f t="shared" si="95"/>
        <v>0</v>
      </c>
      <c r="BH250" s="130">
        <f t="shared" si="96"/>
        <v>0</v>
      </c>
      <c r="BI250" s="130">
        <f t="shared" si="97"/>
        <v>0</v>
      </c>
      <c r="BJ250" s="130">
        <f t="shared" si="98"/>
        <v>0</v>
      </c>
      <c r="BK250" s="130">
        <f t="shared" si="99"/>
        <v>-129.72769063767282</v>
      </c>
      <c r="BL250" s="130">
        <f>IF($K250=$L250,$BK250,IF(OR($K250="graphite",$K250="vitreous carbon"),$BK$406+($BM$389+$I250)*$BJ$406,IF($K250="Pyrolytic Boron Nitride","PBN",IF(COUNTIF($BH$396:$BH$416,$K250)&gt;0,VLOOKUP($K250,$BH$396:$BK$416,4,FALSE)+($BM$389+$I250)*VLOOKUP($K250,$BH$396:$BK$416,3,FALSE),IF(COUNTIF($L$2:$L249,$K250)&gt;0,VLOOKUP($K250,$L$2:$BK249,52,FALSE),"idk")))))</f>
        <v>-66.237592947441144</v>
      </c>
      <c r="BM250" s="129">
        <v>30</v>
      </c>
      <c r="BN250" s="129">
        <v>15</v>
      </c>
      <c r="BO250" s="129">
        <v>1</v>
      </c>
      <c r="BP250" s="129" t="s">
        <v>506</v>
      </c>
      <c r="BQ250" s="129"/>
      <c r="BR250" s="129" t="s">
        <v>247</v>
      </c>
      <c r="BS250" s="129"/>
      <c r="BT250" s="129">
        <v>0</v>
      </c>
      <c r="BV250" s="129"/>
      <c r="BZ250" s="130"/>
      <c r="CA250" s="130"/>
      <c r="CB250" s="130"/>
      <c r="CI250" s="151"/>
      <c r="CJ250" s="151"/>
      <c r="CK250" s="151"/>
      <c r="CL250" s="151"/>
      <c r="CM250" s="151"/>
      <c r="CN250" s="151"/>
      <c r="CO250" s="151"/>
      <c r="CP250" s="151"/>
      <c r="CQ250" s="151"/>
      <c r="CR250" s="151"/>
      <c r="CS250" s="151"/>
      <c r="CT250" s="151"/>
      <c r="CU250" s="151"/>
      <c r="CV250" s="151"/>
      <c r="CW250" s="151"/>
      <c r="CX250" s="151"/>
      <c r="CY250" s="151"/>
      <c r="CZ250" s="151"/>
      <c r="DA250" s="151"/>
      <c r="DB250" s="151"/>
      <c r="DC250" s="151"/>
      <c r="DD250" s="151"/>
      <c r="DE250" s="151"/>
      <c r="DF250" s="151"/>
      <c r="DG250" s="151"/>
      <c r="DH250" s="151"/>
      <c r="DI250" s="151"/>
      <c r="DJ250" s="129">
        <v>0</v>
      </c>
      <c r="DK250" s="129">
        <v>0</v>
      </c>
      <c r="DL250" s="129"/>
      <c r="DO250" s="129">
        <v>-0.34</v>
      </c>
      <c r="DS250" s="129"/>
      <c r="DU250" s="129" t="s">
        <v>507</v>
      </c>
      <c r="DW250" s="129">
        <f>SUM(_2025_01_07T12_47_export3[[#This Row],[Ni_wt]:[H_wt]])</f>
        <v>99.879999999999981</v>
      </c>
      <c r="DY250" s="130">
        <f>SUM($AM250:BJ250)</f>
        <v>100</v>
      </c>
    </row>
    <row r="251" spans="1:129" x14ac:dyDescent="0.25">
      <c r="A251" s="129" t="s">
        <v>513</v>
      </c>
      <c r="B251" s="129">
        <v>259</v>
      </c>
      <c r="C251" s="129" t="s">
        <v>503</v>
      </c>
      <c r="D251" s="129">
        <v>2025</v>
      </c>
      <c r="E251" s="129" t="s">
        <v>504</v>
      </c>
      <c r="F251" s="129" t="s">
        <v>505</v>
      </c>
      <c r="G251" s="129" t="s">
        <v>226</v>
      </c>
      <c r="H251" s="129">
        <v>0</v>
      </c>
      <c r="I251" s="129">
        <v>550</v>
      </c>
      <c r="J251" s="129">
        <v>720</v>
      </c>
      <c r="K251" s="129" t="s">
        <v>233</v>
      </c>
      <c r="L251" s="129" t="s">
        <v>312</v>
      </c>
      <c r="N251" s="129">
        <v>8470000</v>
      </c>
      <c r="O251" s="130">
        <v>75.319999999999993</v>
      </c>
      <c r="P251" s="130">
        <v>16.03</v>
      </c>
      <c r="Q251" s="130"/>
      <c r="R251" s="130">
        <v>8.35</v>
      </c>
      <c r="S251" s="130"/>
      <c r="T251" s="130"/>
      <c r="U251" s="130"/>
      <c r="V251" s="130"/>
      <c r="W251" s="130">
        <v>0.11</v>
      </c>
      <c r="X251" s="130"/>
      <c r="Y251" s="130"/>
      <c r="Z251" s="130"/>
      <c r="AA251" s="130"/>
      <c r="AB251" s="130"/>
      <c r="AC251" s="130"/>
      <c r="AD251" s="130"/>
      <c r="AE251" s="130"/>
      <c r="AF251" s="130"/>
      <c r="AG251" s="130"/>
      <c r="AH251" s="130"/>
      <c r="AI251" s="130"/>
      <c r="AJ251" s="130"/>
      <c r="AK251" s="130"/>
      <c r="AL251" s="130"/>
      <c r="AM251" s="130">
        <f t="shared" si="75"/>
        <v>73.610912193050581</v>
      </c>
      <c r="AN251" s="130">
        <f t="shared" si="76"/>
        <v>17.681787889328746</v>
      </c>
      <c r="AO251" s="130">
        <f t="shared" si="77"/>
        <v>0</v>
      </c>
      <c r="AP251" s="130">
        <f t="shared" si="78"/>
        <v>8.5754969297680326</v>
      </c>
      <c r="AQ251" s="130">
        <f t="shared" si="79"/>
        <v>0</v>
      </c>
      <c r="AR251" s="130">
        <f t="shared" si="80"/>
        <v>0</v>
      </c>
      <c r="AS251" s="130">
        <f t="shared" si="81"/>
        <v>0</v>
      </c>
      <c r="AT251" s="130">
        <f t="shared" si="82"/>
        <v>0</v>
      </c>
      <c r="AU251" s="130">
        <f t="shared" si="83"/>
        <v>0.13180298785265462</v>
      </c>
      <c r="AV251" s="130">
        <f t="shared" si="84"/>
        <v>0</v>
      </c>
      <c r="AW251" s="130">
        <f t="shared" si="85"/>
        <v>0</v>
      </c>
      <c r="AX251" s="130">
        <f t="shared" si="86"/>
        <v>0</v>
      </c>
      <c r="AY251" s="130">
        <f t="shared" si="87"/>
        <v>0</v>
      </c>
      <c r="AZ251" s="130">
        <f t="shared" si="88"/>
        <v>0</v>
      </c>
      <c r="BA251" s="130">
        <f t="shared" si="89"/>
        <v>0</v>
      </c>
      <c r="BB251" s="130">
        <f t="shared" si="90"/>
        <v>0</v>
      </c>
      <c r="BC251" s="130">
        <f t="shared" si="91"/>
        <v>0</v>
      </c>
      <c r="BD251" s="130">
        <f t="shared" si="92"/>
        <v>0</v>
      </c>
      <c r="BE251" s="130">
        <f t="shared" si="93"/>
        <v>0</v>
      </c>
      <c r="BF251" s="130">
        <f t="shared" si="94"/>
        <v>0</v>
      </c>
      <c r="BG251" s="130">
        <f t="shared" si="95"/>
        <v>0</v>
      </c>
      <c r="BH251" s="130">
        <f t="shared" si="96"/>
        <v>0</v>
      </c>
      <c r="BI251" s="130">
        <f t="shared" si="97"/>
        <v>0</v>
      </c>
      <c r="BJ251" s="130">
        <f t="shared" si="98"/>
        <v>0</v>
      </c>
      <c r="BK251" s="130">
        <f t="shared" si="99"/>
        <v>-133.24546471332681</v>
      </c>
      <c r="BL251" s="130">
        <f>IF($K251=$L251,$BK251,IF(OR($K251="graphite",$K251="vitreous carbon"),$BK$406+($BM$389+$I251)*$BJ$406,IF($K251="Pyrolytic Boron Nitride","PBN",IF(COUNTIF($BH$396:$BH$416,$K251)&gt;0,VLOOKUP($K251,$BH$396:$BK$416,4,FALSE)+($BM$389+$I251)*VLOOKUP($K251,$BH$396:$BK$416,3,FALSE),IF(COUNTIF($L$2:$L250,$K251)&gt;0,VLOOKUP($K251,$L$2:$BK250,52,FALSE),"idk")))))</f>
        <v>-66.237592947441144</v>
      </c>
      <c r="BM251" s="129">
        <v>30</v>
      </c>
      <c r="BN251" s="129">
        <v>15</v>
      </c>
      <c r="BO251" s="129">
        <v>1</v>
      </c>
      <c r="BP251" s="129" t="s">
        <v>506</v>
      </c>
      <c r="BQ251" s="129"/>
      <c r="BR251" s="129" t="s">
        <v>247</v>
      </c>
      <c r="BS251" s="129"/>
      <c r="BT251" s="129">
        <v>0</v>
      </c>
      <c r="BV251" s="129"/>
      <c r="BZ251" s="130"/>
      <c r="CA251" s="130"/>
      <c r="CB251" s="130"/>
      <c r="CI251" s="151"/>
      <c r="CJ251" s="151"/>
      <c r="CK251" s="151"/>
      <c r="CL251" s="151"/>
      <c r="CM251" s="151"/>
      <c r="CN251" s="151"/>
      <c r="CO251" s="151"/>
      <c r="CP251" s="151"/>
      <c r="CQ251" s="151"/>
      <c r="CR251" s="151"/>
      <c r="CS251" s="151"/>
      <c r="CT251" s="151"/>
      <c r="CU251" s="151"/>
      <c r="CV251" s="151"/>
      <c r="CW251" s="151"/>
      <c r="CX251" s="151"/>
      <c r="CY251" s="151"/>
      <c r="CZ251" s="151"/>
      <c r="DA251" s="151"/>
      <c r="DB251" s="151"/>
      <c r="DC251" s="151"/>
      <c r="DD251" s="151"/>
      <c r="DE251" s="151"/>
      <c r="DF251" s="151"/>
      <c r="DG251" s="151"/>
      <c r="DH251" s="151"/>
      <c r="DI251" s="151"/>
      <c r="DJ251" s="129">
        <v>0</v>
      </c>
      <c r="DK251" s="129">
        <v>0</v>
      </c>
      <c r="DL251" s="129"/>
      <c r="DO251" s="129">
        <v>-0.23</v>
      </c>
      <c r="DS251" s="129"/>
      <c r="DU251" s="129" t="s">
        <v>507</v>
      </c>
      <c r="DW251" s="129">
        <f>SUM(_2025_01_07T12_47_export3[[#This Row],[Ni_wt]:[H_wt]])</f>
        <v>99.809999999999988</v>
      </c>
      <c r="DY251" s="130">
        <f>SUM($AM251:BJ251)</f>
        <v>100.00000000000001</v>
      </c>
    </row>
    <row r="252" spans="1:129" x14ac:dyDescent="0.25">
      <c r="A252" s="129" t="s">
        <v>513</v>
      </c>
      <c r="B252" s="129">
        <v>260</v>
      </c>
      <c r="C252" s="129" t="s">
        <v>503</v>
      </c>
      <c r="D252" s="129">
        <v>2025</v>
      </c>
      <c r="E252" s="129" t="s">
        <v>504</v>
      </c>
      <c r="F252" s="129" t="s">
        <v>505</v>
      </c>
      <c r="G252" s="129" t="s">
        <v>226</v>
      </c>
      <c r="H252" s="129">
        <v>0</v>
      </c>
      <c r="I252" s="129">
        <v>700</v>
      </c>
      <c r="J252" s="129">
        <v>720</v>
      </c>
      <c r="K252" s="129" t="s">
        <v>233</v>
      </c>
      <c r="L252" s="129" t="s">
        <v>312</v>
      </c>
      <c r="N252" s="129">
        <v>8470000</v>
      </c>
      <c r="O252" s="130">
        <v>75.319999999999993</v>
      </c>
      <c r="P252" s="130">
        <v>16.03</v>
      </c>
      <c r="Q252" s="130"/>
      <c r="R252" s="130">
        <v>8.35</v>
      </c>
      <c r="S252" s="130"/>
      <c r="T252" s="130"/>
      <c r="U252" s="130"/>
      <c r="V252" s="130"/>
      <c r="W252" s="130">
        <v>0.11</v>
      </c>
      <c r="X252" s="130"/>
      <c r="Y252" s="130"/>
      <c r="Z252" s="130"/>
      <c r="AA252" s="130"/>
      <c r="AB252" s="130"/>
      <c r="AC252" s="130"/>
      <c r="AD252" s="130"/>
      <c r="AE252" s="130"/>
      <c r="AF252" s="130"/>
      <c r="AG252" s="130"/>
      <c r="AH252" s="130"/>
      <c r="AI252" s="130"/>
      <c r="AJ252" s="130"/>
      <c r="AK252" s="130"/>
      <c r="AL252" s="130"/>
      <c r="AM252" s="130">
        <f t="shared" si="75"/>
        <v>73.610912193050581</v>
      </c>
      <c r="AN252" s="130">
        <f t="shared" si="76"/>
        <v>17.681787889328746</v>
      </c>
      <c r="AO252" s="130">
        <f t="shared" si="77"/>
        <v>0</v>
      </c>
      <c r="AP252" s="130">
        <f t="shared" si="78"/>
        <v>8.5754969297680326</v>
      </c>
      <c r="AQ252" s="130">
        <f t="shared" si="79"/>
        <v>0</v>
      </c>
      <c r="AR252" s="130">
        <f t="shared" si="80"/>
        <v>0</v>
      </c>
      <c r="AS252" s="130">
        <f t="shared" si="81"/>
        <v>0</v>
      </c>
      <c r="AT252" s="130">
        <f t="shared" si="82"/>
        <v>0</v>
      </c>
      <c r="AU252" s="130">
        <f t="shared" si="83"/>
        <v>0.13180298785265462</v>
      </c>
      <c r="AV252" s="130">
        <f t="shared" si="84"/>
        <v>0</v>
      </c>
      <c r="AW252" s="130">
        <f t="shared" si="85"/>
        <v>0</v>
      </c>
      <c r="AX252" s="130">
        <f t="shared" si="86"/>
        <v>0</v>
      </c>
      <c r="AY252" s="130">
        <f t="shared" si="87"/>
        <v>0</v>
      </c>
      <c r="AZ252" s="130">
        <f t="shared" si="88"/>
        <v>0</v>
      </c>
      <c r="BA252" s="130">
        <f t="shared" si="89"/>
        <v>0</v>
      </c>
      <c r="BB252" s="130">
        <f t="shared" si="90"/>
        <v>0</v>
      </c>
      <c r="BC252" s="130">
        <f t="shared" si="91"/>
        <v>0</v>
      </c>
      <c r="BD252" s="130">
        <f t="shared" si="92"/>
        <v>0</v>
      </c>
      <c r="BE252" s="130">
        <f t="shared" si="93"/>
        <v>0</v>
      </c>
      <c r="BF252" s="130">
        <f t="shared" si="94"/>
        <v>0</v>
      </c>
      <c r="BG252" s="130">
        <f t="shared" si="95"/>
        <v>0</v>
      </c>
      <c r="BH252" s="130">
        <f t="shared" si="96"/>
        <v>0</v>
      </c>
      <c r="BI252" s="130">
        <f t="shared" si="97"/>
        <v>0</v>
      </c>
      <c r="BJ252" s="130">
        <f t="shared" si="98"/>
        <v>0</v>
      </c>
      <c r="BK252" s="130">
        <f t="shared" si="99"/>
        <v>-127.9753559389722</v>
      </c>
      <c r="BL252" s="130">
        <f>IF($K252=$L252,$BK252,IF(OR($K252="graphite",$K252="vitreous carbon"),$BK$406+($BM$389+$I252)*$BJ$406,IF($K252="Pyrolytic Boron Nitride","PBN",IF(COUNTIF($BH$396:$BH$416,$K252)&gt;0,VLOOKUP($K252,$BH$396:$BK$416,4,FALSE)+($BM$389+$I252)*VLOOKUP($K252,$BH$396:$BK$416,3,FALSE),IF(COUNTIF($L$2:$L251,$K252)&gt;0,VLOOKUP($K252,$L$2:$BK251,52,FALSE),"idk")))))</f>
        <v>-63.529671587210359</v>
      </c>
      <c r="BM252" s="129">
        <v>30</v>
      </c>
      <c r="BN252" s="129">
        <v>15</v>
      </c>
      <c r="BO252" s="129">
        <v>1</v>
      </c>
      <c r="BP252" s="129" t="s">
        <v>506</v>
      </c>
      <c r="BQ252" s="129"/>
      <c r="BR252" s="129" t="s">
        <v>247</v>
      </c>
      <c r="BS252" s="129"/>
      <c r="BT252" s="129">
        <v>0</v>
      </c>
      <c r="BV252" s="129"/>
      <c r="BZ252" s="130"/>
      <c r="CA252" s="130"/>
      <c r="CB252" s="130"/>
      <c r="CI252" s="151"/>
      <c r="CJ252" s="151"/>
      <c r="CK252" s="151"/>
      <c r="CL252" s="151"/>
      <c r="CM252" s="151"/>
      <c r="CN252" s="151"/>
      <c r="CO252" s="151"/>
      <c r="CP252" s="151"/>
      <c r="CQ252" s="151"/>
      <c r="CR252" s="151"/>
      <c r="CS252" s="151"/>
      <c r="CT252" s="151"/>
      <c r="CU252" s="151"/>
      <c r="CV252" s="151"/>
      <c r="CW252" s="151"/>
      <c r="CX252" s="151"/>
      <c r="CY252" s="151"/>
      <c r="CZ252" s="151"/>
      <c r="DA252" s="151"/>
      <c r="DB252" s="151"/>
      <c r="DC252" s="151"/>
      <c r="DD252" s="151"/>
      <c r="DE252" s="151"/>
      <c r="DF252" s="151"/>
      <c r="DG252" s="151"/>
      <c r="DH252" s="151"/>
      <c r="DI252" s="151"/>
      <c r="DJ252" s="129">
        <v>0</v>
      </c>
      <c r="DK252" s="129">
        <v>0</v>
      </c>
      <c r="DL252" s="129"/>
      <c r="DO252" s="129">
        <v>-0.95</v>
      </c>
      <c r="DS252" s="129"/>
      <c r="DU252" s="129" t="s">
        <v>507</v>
      </c>
      <c r="DW252" s="129">
        <f>SUM(_2025_01_07T12_47_export3[[#This Row],[Ni_wt]:[H_wt]])</f>
        <v>99.809999999999988</v>
      </c>
      <c r="DY252" s="130">
        <f>SUM($AM252:BJ252)</f>
        <v>100.00000000000001</v>
      </c>
    </row>
    <row r="253" spans="1:129" x14ac:dyDescent="0.25">
      <c r="A253" s="129" t="s">
        <v>513</v>
      </c>
      <c r="B253" s="129">
        <v>261</v>
      </c>
      <c r="C253" s="129" t="s">
        <v>503</v>
      </c>
      <c r="D253" s="129">
        <v>2025</v>
      </c>
      <c r="E253" s="129" t="s">
        <v>504</v>
      </c>
      <c r="F253" s="129" t="s">
        <v>505</v>
      </c>
      <c r="G253" s="129" t="s">
        <v>226</v>
      </c>
      <c r="H253" s="129">
        <v>0</v>
      </c>
      <c r="I253" s="129">
        <v>550</v>
      </c>
      <c r="J253" s="129">
        <v>2160</v>
      </c>
      <c r="K253" s="129" t="s">
        <v>233</v>
      </c>
      <c r="L253" s="129" t="s">
        <v>312</v>
      </c>
      <c r="N253" s="129">
        <v>8470000</v>
      </c>
      <c r="O253" s="130">
        <v>75.319999999999993</v>
      </c>
      <c r="P253" s="130">
        <v>16.03</v>
      </c>
      <c r="Q253" s="130"/>
      <c r="R253" s="130">
        <v>8.35</v>
      </c>
      <c r="S253" s="130"/>
      <c r="T253" s="130"/>
      <c r="U253" s="130"/>
      <c r="V253" s="130"/>
      <c r="W253" s="130">
        <v>0.11</v>
      </c>
      <c r="X253" s="130"/>
      <c r="Y253" s="130"/>
      <c r="Z253" s="130"/>
      <c r="AA253" s="130"/>
      <c r="AB253" s="130"/>
      <c r="AC253" s="130"/>
      <c r="AD253" s="130"/>
      <c r="AE253" s="130"/>
      <c r="AF253" s="130"/>
      <c r="AG253" s="130"/>
      <c r="AH253" s="130"/>
      <c r="AI253" s="130"/>
      <c r="AJ253" s="130"/>
      <c r="AK253" s="130"/>
      <c r="AL253" s="130"/>
      <c r="AM253" s="130">
        <f t="shared" si="75"/>
        <v>73.610912193050581</v>
      </c>
      <c r="AN253" s="130">
        <f t="shared" si="76"/>
        <v>17.681787889328746</v>
      </c>
      <c r="AO253" s="130">
        <f t="shared" si="77"/>
        <v>0</v>
      </c>
      <c r="AP253" s="130">
        <f t="shared" si="78"/>
        <v>8.5754969297680326</v>
      </c>
      <c r="AQ253" s="130">
        <f t="shared" si="79"/>
        <v>0</v>
      </c>
      <c r="AR253" s="130">
        <f t="shared" si="80"/>
        <v>0</v>
      </c>
      <c r="AS253" s="130">
        <f t="shared" si="81"/>
        <v>0</v>
      </c>
      <c r="AT253" s="130">
        <f t="shared" si="82"/>
        <v>0</v>
      </c>
      <c r="AU253" s="130">
        <f t="shared" si="83"/>
        <v>0.13180298785265462</v>
      </c>
      <c r="AV253" s="130">
        <f t="shared" si="84"/>
        <v>0</v>
      </c>
      <c r="AW253" s="130">
        <f t="shared" si="85"/>
        <v>0</v>
      </c>
      <c r="AX253" s="130">
        <f t="shared" si="86"/>
        <v>0</v>
      </c>
      <c r="AY253" s="130">
        <f t="shared" si="87"/>
        <v>0</v>
      </c>
      <c r="AZ253" s="130">
        <f t="shared" si="88"/>
        <v>0</v>
      </c>
      <c r="BA253" s="130">
        <f t="shared" si="89"/>
        <v>0</v>
      </c>
      <c r="BB253" s="130">
        <f t="shared" si="90"/>
        <v>0</v>
      </c>
      <c r="BC253" s="130">
        <f t="shared" si="91"/>
        <v>0</v>
      </c>
      <c r="BD253" s="130">
        <f t="shared" si="92"/>
        <v>0</v>
      </c>
      <c r="BE253" s="130">
        <f t="shared" si="93"/>
        <v>0</v>
      </c>
      <c r="BF253" s="130">
        <f t="shared" si="94"/>
        <v>0</v>
      </c>
      <c r="BG253" s="130">
        <f t="shared" si="95"/>
        <v>0</v>
      </c>
      <c r="BH253" s="130">
        <f t="shared" si="96"/>
        <v>0</v>
      </c>
      <c r="BI253" s="130">
        <f t="shared" si="97"/>
        <v>0</v>
      </c>
      <c r="BJ253" s="130">
        <f t="shared" si="98"/>
        <v>0</v>
      </c>
      <c r="BK253" s="130">
        <f t="shared" si="99"/>
        <v>-133.24546471332681</v>
      </c>
      <c r="BL253" s="130">
        <f>IF($K253=$L253,$BK253,IF(OR($K253="graphite",$K253="vitreous carbon"),$BK$406+($BM$389+$I253)*$BJ$406,IF($K253="Pyrolytic Boron Nitride","PBN",IF(COUNTIF($BH$396:$BH$416,$K253)&gt;0,VLOOKUP($K253,$BH$396:$BK$416,4,FALSE)+($BM$389+$I253)*VLOOKUP($K253,$BH$396:$BK$416,3,FALSE),IF(COUNTIF($L$2:$L252,$K253)&gt;0,VLOOKUP($K253,$L$2:$BK252,52,FALSE),"idk")))))</f>
        <v>-66.237592947441144</v>
      </c>
      <c r="BM253" s="129">
        <v>30</v>
      </c>
      <c r="BN253" s="129">
        <v>15</v>
      </c>
      <c r="BO253" s="129">
        <v>1</v>
      </c>
      <c r="BP253" s="129" t="s">
        <v>506</v>
      </c>
      <c r="BQ253" s="129"/>
      <c r="BR253" s="129" t="s">
        <v>247</v>
      </c>
      <c r="BS253" s="129"/>
      <c r="BT253" s="129">
        <v>0</v>
      </c>
      <c r="BV253" s="129"/>
      <c r="BZ253" s="130"/>
      <c r="CA253" s="130"/>
      <c r="CB253" s="130"/>
      <c r="CI253" s="151"/>
      <c r="CJ253" s="151"/>
      <c r="CK253" s="151"/>
      <c r="CL253" s="151"/>
      <c r="CM253" s="151"/>
      <c r="CN253" s="151"/>
      <c r="CO253" s="151"/>
      <c r="CP253" s="151"/>
      <c r="CQ253" s="151"/>
      <c r="CR253" s="151"/>
      <c r="CS253" s="151"/>
      <c r="CT253" s="151"/>
      <c r="CU253" s="151"/>
      <c r="CV253" s="151"/>
      <c r="CW253" s="151"/>
      <c r="CX253" s="151"/>
      <c r="CY253" s="151"/>
      <c r="CZ253" s="151"/>
      <c r="DA253" s="151"/>
      <c r="DB253" s="151"/>
      <c r="DC253" s="151"/>
      <c r="DD253" s="151"/>
      <c r="DE253" s="151"/>
      <c r="DF253" s="151"/>
      <c r="DG253" s="151"/>
      <c r="DH253" s="151"/>
      <c r="DI253" s="151"/>
      <c r="DJ253" s="129">
        <v>0</v>
      </c>
      <c r="DK253" s="129">
        <v>0</v>
      </c>
      <c r="DL253" s="129"/>
      <c r="DO253" s="129">
        <v>-0.53</v>
      </c>
      <c r="DS253" s="129"/>
      <c r="DU253" s="129" t="s">
        <v>507</v>
      </c>
      <c r="DW253" s="129">
        <f>SUM(_2025_01_07T12_47_export3[[#This Row],[Ni_wt]:[H_wt]])</f>
        <v>99.809999999999988</v>
      </c>
      <c r="DY253" s="130">
        <f>SUM($AM253:BJ253)</f>
        <v>100.00000000000001</v>
      </c>
    </row>
    <row r="254" spans="1:129" x14ac:dyDescent="0.25">
      <c r="A254" s="129" t="s">
        <v>513</v>
      </c>
      <c r="B254" s="129">
        <v>262</v>
      </c>
      <c r="C254" s="129" t="s">
        <v>503</v>
      </c>
      <c r="D254" s="129">
        <v>2025</v>
      </c>
      <c r="E254" s="129" t="s">
        <v>504</v>
      </c>
      <c r="F254" s="129" t="s">
        <v>505</v>
      </c>
      <c r="G254" s="129" t="s">
        <v>226</v>
      </c>
      <c r="H254" s="129">
        <v>0</v>
      </c>
      <c r="I254" s="129">
        <v>700</v>
      </c>
      <c r="J254" s="129">
        <v>2160</v>
      </c>
      <c r="K254" s="129" t="s">
        <v>233</v>
      </c>
      <c r="L254" s="129" t="s">
        <v>312</v>
      </c>
      <c r="N254" s="129">
        <v>8470000</v>
      </c>
      <c r="O254" s="130">
        <v>75.319999999999993</v>
      </c>
      <c r="P254" s="130">
        <v>16.03</v>
      </c>
      <c r="Q254" s="130"/>
      <c r="R254" s="130">
        <v>8.35</v>
      </c>
      <c r="S254" s="130"/>
      <c r="T254" s="130"/>
      <c r="U254" s="130"/>
      <c r="V254" s="130"/>
      <c r="W254" s="130">
        <v>0.11</v>
      </c>
      <c r="X254" s="130"/>
      <c r="Y254" s="130"/>
      <c r="Z254" s="130"/>
      <c r="AA254" s="130"/>
      <c r="AB254" s="130"/>
      <c r="AC254" s="130"/>
      <c r="AD254" s="130"/>
      <c r="AE254" s="130"/>
      <c r="AF254" s="130"/>
      <c r="AG254" s="130"/>
      <c r="AH254" s="130"/>
      <c r="AI254" s="130"/>
      <c r="AJ254" s="130"/>
      <c r="AK254" s="130"/>
      <c r="AL254" s="130"/>
      <c r="AM254" s="130">
        <f t="shared" si="75"/>
        <v>73.610912193050581</v>
      </c>
      <c r="AN254" s="130">
        <f t="shared" si="76"/>
        <v>17.681787889328746</v>
      </c>
      <c r="AO254" s="130">
        <f t="shared" si="77"/>
        <v>0</v>
      </c>
      <c r="AP254" s="130">
        <f t="shared" si="78"/>
        <v>8.5754969297680326</v>
      </c>
      <c r="AQ254" s="130">
        <f t="shared" si="79"/>
        <v>0</v>
      </c>
      <c r="AR254" s="130">
        <f t="shared" si="80"/>
        <v>0</v>
      </c>
      <c r="AS254" s="130">
        <f t="shared" si="81"/>
        <v>0</v>
      </c>
      <c r="AT254" s="130">
        <f t="shared" si="82"/>
        <v>0</v>
      </c>
      <c r="AU254" s="130">
        <f t="shared" si="83"/>
        <v>0.13180298785265462</v>
      </c>
      <c r="AV254" s="130">
        <f t="shared" si="84"/>
        <v>0</v>
      </c>
      <c r="AW254" s="130">
        <f t="shared" si="85"/>
        <v>0</v>
      </c>
      <c r="AX254" s="130">
        <f t="shared" si="86"/>
        <v>0</v>
      </c>
      <c r="AY254" s="130">
        <f t="shared" si="87"/>
        <v>0</v>
      </c>
      <c r="AZ254" s="130">
        <f t="shared" si="88"/>
        <v>0</v>
      </c>
      <c r="BA254" s="130">
        <f t="shared" si="89"/>
        <v>0</v>
      </c>
      <c r="BB254" s="130">
        <f t="shared" si="90"/>
        <v>0</v>
      </c>
      <c r="BC254" s="130">
        <f t="shared" si="91"/>
        <v>0</v>
      </c>
      <c r="BD254" s="130">
        <f t="shared" si="92"/>
        <v>0</v>
      </c>
      <c r="BE254" s="130">
        <f t="shared" si="93"/>
        <v>0</v>
      </c>
      <c r="BF254" s="130">
        <f t="shared" si="94"/>
        <v>0</v>
      </c>
      <c r="BG254" s="130">
        <f t="shared" si="95"/>
        <v>0</v>
      </c>
      <c r="BH254" s="130">
        <f t="shared" si="96"/>
        <v>0</v>
      </c>
      <c r="BI254" s="130">
        <f t="shared" si="97"/>
        <v>0</v>
      </c>
      <c r="BJ254" s="130">
        <f t="shared" si="98"/>
        <v>0</v>
      </c>
      <c r="BK254" s="130">
        <f t="shared" si="99"/>
        <v>-127.9753559389722</v>
      </c>
      <c r="BL254" s="130">
        <f>IF($K254=$L254,$BK254,IF(OR($K254="graphite",$K254="vitreous carbon"),$BK$406+($BM$389+$I254)*$BJ$406,IF($K254="Pyrolytic Boron Nitride","PBN",IF(COUNTIF($BH$396:$BH$416,$K254)&gt;0,VLOOKUP($K254,$BH$396:$BK$416,4,FALSE)+($BM$389+$I254)*VLOOKUP($K254,$BH$396:$BK$416,3,FALSE),IF(COUNTIF($L$2:$L253,$K254)&gt;0,VLOOKUP($K254,$L$2:$BK253,52,FALSE),"idk")))))</f>
        <v>-63.529671587210359</v>
      </c>
      <c r="BM254" s="129">
        <v>30</v>
      </c>
      <c r="BN254" s="129">
        <v>15</v>
      </c>
      <c r="BO254" s="129">
        <v>1</v>
      </c>
      <c r="BP254" s="129" t="s">
        <v>506</v>
      </c>
      <c r="BQ254" s="129"/>
      <c r="BR254" s="129" t="s">
        <v>247</v>
      </c>
      <c r="BS254" s="129"/>
      <c r="BT254" s="129">
        <v>0</v>
      </c>
      <c r="BV254" s="129"/>
      <c r="BZ254" s="130"/>
      <c r="CA254" s="130"/>
      <c r="CB254" s="130"/>
      <c r="CI254" s="151"/>
      <c r="CJ254" s="151"/>
      <c r="CK254" s="151"/>
      <c r="CL254" s="151"/>
      <c r="CM254" s="151"/>
      <c r="CN254" s="151"/>
      <c r="CO254" s="151"/>
      <c r="CP254" s="151"/>
      <c r="CQ254" s="151"/>
      <c r="CR254" s="151"/>
      <c r="CS254" s="151"/>
      <c r="CT254" s="151"/>
      <c r="CU254" s="151"/>
      <c r="CV254" s="151"/>
      <c r="CW254" s="151"/>
      <c r="CX254" s="151"/>
      <c r="CY254" s="151"/>
      <c r="CZ254" s="151"/>
      <c r="DA254" s="151"/>
      <c r="DB254" s="151"/>
      <c r="DC254" s="151"/>
      <c r="DD254" s="151"/>
      <c r="DE254" s="151"/>
      <c r="DF254" s="151"/>
      <c r="DG254" s="151"/>
      <c r="DH254" s="151"/>
      <c r="DI254" s="151"/>
      <c r="DJ254" s="129">
        <v>0</v>
      </c>
      <c r="DK254" s="129">
        <v>0</v>
      </c>
      <c r="DL254" s="129"/>
      <c r="DO254" s="129">
        <v>-1.65</v>
      </c>
      <c r="DS254" s="129"/>
      <c r="DU254" s="129" t="s">
        <v>507</v>
      </c>
      <c r="DW254" s="129">
        <f>SUM(_2025_01_07T12_47_export3[[#This Row],[Ni_wt]:[H_wt]])</f>
        <v>99.809999999999988</v>
      </c>
      <c r="DY254" s="130">
        <f>SUM($AM254:BJ254)</f>
        <v>100.00000000000001</v>
      </c>
    </row>
    <row r="255" spans="1:129" x14ac:dyDescent="0.25">
      <c r="A255" s="129" t="s">
        <v>514</v>
      </c>
      <c r="B255" s="129">
        <v>263</v>
      </c>
      <c r="C255" s="129" t="s">
        <v>503</v>
      </c>
      <c r="D255" s="129">
        <v>2025</v>
      </c>
      <c r="E255" s="129" t="s">
        <v>504</v>
      </c>
      <c r="F255" s="129" t="s">
        <v>505</v>
      </c>
      <c r="G255" s="129" t="s">
        <v>226</v>
      </c>
      <c r="H255" s="129">
        <v>0</v>
      </c>
      <c r="I255" s="129">
        <v>550</v>
      </c>
      <c r="J255" s="129">
        <v>720</v>
      </c>
      <c r="K255" s="129" t="s">
        <v>233</v>
      </c>
      <c r="L255" s="129" t="s">
        <v>314</v>
      </c>
      <c r="N255" s="129">
        <v>8440000</v>
      </c>
      <c r="O255" s="130">
        <v>65.540000000000006</v>
      </c>
      <c r="P255" s="130">
        <v>21.12</v>
      </c>
      <c r="Q255" s="130">
        <v>6.12</v>
      </c>
      <c r="R255" s="130">
        <v>3.95</v>
      </c>
      <c r="S255" s="130"/>
      <c r="T255" s="130"/>
      <c r="U255" s="130"/>
      <c r="V255" s="130"/>
      <c r="W255" s="130">
        <v>0.13</v>
      </c>
      <c r="X255" s="130"/>
      <c r="Y255" s="130"/>
      <c r="Z255" s="130"/>
      <c r="AA255" s="130">
        <v>3.02</v>
      </c>
      <c r="AB255" s="130"/>
      <c r="AC255" s="130"/>
      <c r="AD255" s="130"/>
      <c r="AE255" s="130"/>
      <c r="AF255" s="130"/>
      <c r="AG255" s="130"/>
      <c r="AH255" s="130"/>
      <c r="AI255" s="130"/>
      <c r="AJ255" s="130"/>
      <c r="AK255" s="130"/>
      <c r="AL255" s="130"/>
      <c r="AM255" s="130">
        <f t="shared" si="75"/>
        <v>65.97666457976284</v>
      </c>
      <c r="AN255" s="130">
        <f t="shared" si="76"/>
        <v>23.995985945521895</v>
      </c>
      <c r="AO255" s="130">
        <f t="shared" si="77"/>
        <v>3.7679854015596028</v>
      </c>
      <c r="AP255" s="130">
        <f t="shared" si="78"/>
        <v>4.1785148202115687</v>
      </c>
      <c r="AQ255" s="130">
        <f t="shared" si="79"/>
        <v>0</v>
      </c>
      <c r="AR255" s="130">
        <f t="shared" si="80"/>
        <v>0</v>
      </c>
      <c r="AS255" s="130">
        <f t="shared" si="81"/>
        <v>0</v>
      </c>
      <c r="AT255" s="130">
        <f t="shared" si="82"/>
        <v>0</v>
      </c>
      <c r="AU255" s="130">
        <f t="shared" si="83"/>
        <v>0.16044565239795597</v>
      </c>
      <c r="AV255" s="130">
        <f t="shared" si="84"/>
        <v>0</v>
      </c>
      <c r="AW255" s="130">
        <f t="shared" si="85"/>
        <v>0</v>
      </c>
      <c r="AX255" s="130">
        <f t="shared" si="86"/>
        <v>0</v>
      </c>
      <c r="AY255" s="130">
        <f t="shared" si="87"/>
        <v>1.9204036005461247</v>
      </c>
      <c r="AZ255" s="130">
        <f t="shared" si="88"/>
        <v>0</v>
      </c>
      <c r="BA255" s="130">
        <f t="shared" si="89"/>
        <v>0</v>
      </c>
      <c r="BB255" s="130">
        <f t="shared" si="90"/>
        <v>0</v>
      </c>
      <c r="BC255" s="130">
        <f t="shared" si="91"/>
        <v>0</v>
      </c>
      <c r="BD255" s="130">
        <f t="shared" si="92"/>
        <v>0</v>
      </c>
      <c r="BE255" s="130">
        <f t="shared" si="93"/>
        <v>0</v>
      </c>
      <c r="BF255" s="130">
        <f t="shared" si="94"/>
        <v>0</v>
      </c>
      <c r="BG255" s="130">
        <f t="shared" si="95"/>
        <v>0</v>
      </c>
      <c r="BH255" s="130">
        <f t="shared" si="96"/>
        <v>0</v>
      </c>
      <c r="BI255" s="130">
        <f t="shared" si="97"/>
        <v>0</v>
      </c>
      <c r="BJ255" s="130">
        <f t="shared" si="98"/>
        <v>0</v>
      </c>
      <c r="BK255" s="130">
        <f t="shared" si="99"/>
        <v>-134.49227513019653</v>
      </c>
      <c r="BL255" s="130">
        <f>IF($K255=$L255,$BK255,IF(OR($K255="graphite",$K255="vitreous carbon"),$BK$406+($BM$389+$I255)*$BJ$406,IF($K255="Pyrolytic Boron Nitride","PBN",IF(COUNTIF($BH$396:$BH$416,$K255)&gt;0,VLOOKUP($K255,$BH$396:$BK$416,4,FALSE)+($BM$389+$I255)*VLOOKUP($K255,$BH$396:$BK$416,3,FALSE),IF(COUNTIF($L$2:$L254,$K255)&gt;0,VLOOKUP($K255,$L$2:$BK254,52,FALSE),"idk")))))</f>
        <v>-66.237592947441144</v>
      </c>
      <c r="BM255" s="129">
        <v>30</v>
      </c>
      <c r="BN255" s="129">
        <v>15</v>
      </c>
      <c r="BO255" s="129">
        <v>1</v>
      </c>
      <c r="BP255" s="129" t="s">
        <v>506</v>
      </c>
      <c r="BQ255" s="129"/>
      <c r="BR255" s="129" t="s">
        <v>247</v>
      </c>
      <c r="BS255" s="129"/>
      <c r="BT255" s="129">
        <v>0</v>
      </c>
      <c r="BV255" s="129"/>
      <c r="BZ255" s="130"/>
      <c r="CA255" s="130"/>
      <c r="CB255" s="130"/>
      <c r="CI255" s="151"/>
      <c r="CJ255" s="151"/>
      <c r="CK255" s="151"/>
      <c r="CL255" s="151"/>
      <c r="CM255" s="151"/>
      <c r="CN255" s="151"/>
      <c r="CO255" s="151"/>
      <c r="CP255" s="151"/>
      <c r="CQ255" s="151"/>
      <c r="CR255" s="151"/>
      <c r="CS255" s="151"/>
      <c r="CT255" s="151"/>
      <c r="CU255" s="151"/>
      <c r="CV255" s="151"/>
      <c r="CW255" s="151"/>
      <c r="CX255" s="151"/>
      <c r="CY255" s="151"/>
      <c r="CZ255" s="151"/>
      <c r="DA255" s="151"/>
      <c r="DB255" s="151"/>
      <c r="DC255" s="151"/>
      <c r="DD255" s="151"/>
      <c r="DE255" s="151"/>
      <c r="DF255" s="151"/>
      <c r="DG255" s="151"/>
      <c r="DH255" s="151"/>
      <c r="DI255" s="151"/>
      <c r="DJ255" s="129">
        <v>0</v>
      </c>
      <c r="DK255" s="129">
        <v>0</v>
      </c>
      <c r="DL255" s="129"/>
      <c r="DO255" s="129">
        <v>-0.27</v>
      </c>
      <c r="DS255" s="129"/>
      <c r="DU255" s="129" t="s">
        <v>507</v>
      </c>
      <c r="DW255" s="129">
        <f>SUM(_2025_01_07T12_47_export3[[#This Row],[Ni_wt]:[H_wt]])</f>
        <v>99.88000000000001</v>
      </c>
      <c r="DY255" s="130">
        <f>SUM($AM255:BJ255)</f>
        <v>99.999999999999986</v>
      </c>
    </row>
    <row r="256" spans="1:129" x14ac:dyDescent="0.25">
      <c r="A256" s="129" t="s">
        <v>514</v>
      </c>
      <c r="B256" s="129">
        <v>264</v>
      </c>
      <c r="C256" s="129" t="s">
        <v>503</v>
      </c>
      <c r="D256" s="129">
        <v>2025</v>
      </c>
      <c r="E256" s="129" t="s">
        <v>504</v>
      </c>
      <c r="F256" s="129" t="s">
        <v>505</v>
      </c>
      <c r="G256" s="129" t="s">
        <v>226</v>
      </c>
      <c r="H256" s="129">
        <v>0</v>
      </c>
      <c r="I256" s="129">
        <v>700</v>
      </c>
      <c r="J256" s="129">
        <v>720</v>
      </c>
      <c r="K256" s="129" t="s">
        <v>233</v>
      </c>
      <c r="L256" s="129" t="s">
        <v>314</v>
      </c>
      <c r="N256" s="129">
        <v>8440000</v>
      </c>
      <c r="O256" s="130">
        <v>65.540000000000006</v>
      </c>
      <c r="P256" s="130">
        <v>21.12</v>
      </c>
      <c r="Q256" s="130">
        <v>6.12</v>
      </c>
      <c r="R256" s="130">
        <v>3.95</v>
      </c>
      <c r="S256" s="130"/>
      <c r="T256" s="130"/>
      <c r="U256" s="130"/>
      <c r="V256" s="130"/>
      <c r="W256" s="130">
        <v>0.13</v>
      </c>
      <c r="X256" s="130"/>
      <c r="Y256" s="130"/>
      <c r="Z256" s="130"/>
      <c r="AA256" s="130">
        <v>3.02</v>
      </c>
      <c r="AB256" s="130"/>
      <c r="AC256" s="130"/>
      <c r="AD256" s="130"/>
      <c r="AE256" s="130"/>
      <c r="AF256" s="130"/>
      <c r="AG256" s="130"/>
      <c r="AH256" s="130"/>
      <c r="AI256" s="130"/>
      <c r="AJ256" s="130"/>
      <c r="AK256" s="130"/>
      <c r="AL256" s="130"/>
      <c r="AM256" s="130">
        <f t="shared" si="75"/>
        <v>65.97666457976284</v>
      </c>
      <c r="AN256" s="130">
        <f t="shared" si="76"/>
        <v>23.995985945521895</v>
      </c>
      <c r="AO256" s="130">
        <f t="shared" si="77"/>
        <v>3.7679854015596028</v>
      </c>
      <c r="AP256" s="130">
        <f t="shared" si="78"/>
        <v>4.1785148202115687</v>
      </c>
      <c r="AQ256" s="130">
        <f t="shared" si="79"/>
        <v>0</v>
      </c>
      <c r="AR256" s="130">
        <f t="shared" si="80"/>
        <v>0</v>
      </c>
      <c r="AS256" s="130">
        <f t="shared" si="81"/>
        <v>0</v>
      </c>
      <c r="AT256" s="130">
        <f t="shared" si="82"/>
        <v>0</v>
      </c>
      <c r="AU256" s="130">
        <f t="shared" si="83"/>
        <v>0.16044565239795597</v>
      </c>
      <c r="AV256" s="130">
        <f t="shared" si="84"/>
        <v>0</v>
      </c>
      <c r="AW256" s="130">
        <f t="shared" si="85"/>
        <v>0</v>
      </c>
      <c r="AX256" s="130">
        <f t="shared" si="86"/>
        <v>0</v>
      </c>
      <c r="AY256" s="130">
        <f t="shared" si="87"/>
        <v>1.9204036005461247</v>
      </c>
      <c r="AZ256" s="130">
        <f t="shared" si="88"/>
        <v>0</v>
      </c>
      <c r="BA256" s="130">
        <f t="shared" si="89"/>
        <v>0</v>
      </c>
      <c r="BB256" s="130">
        <f t="shared" si="90"/>
        <v>0</v>
      </c>
      <c r="BC256" s="130">
        <f t="shared" si="91"/>
        <v>0</v>
      </c>
      <c r="BD256" s="130">
        <f t="shared" si="92"/>
        <v>0</v>
      </c>
      <c r="BE256" s="130">
        <f t="shared" si="93"/>
        <v>0</v>
      </c>
      <c r="BF256" s="130">
        <f t="shared" si="94"/>
        <v>0</v>
      </c>
      <c r="BG256" s="130">
        <f t="shared" si="95"/>
        <v>0</v>
      </c>
      <c r="BH256" s="130">
        <f t="shared" si="96"/>
        <v>0</v>
      </c>
      <c r="BI256" s="130">
        <f t="shared" si="97"/>
        <v>0</v>
      </c>
      <c r="BJ256" s="130">
        <f t="shared" si="98"/>
        <v>0</v>
      </c>
      <c r="BK256" s="130">
        <f t="shared" si="99"/>
        <v>-129.34412410585233</v>
      </c>
      <c r="BL256" s="130">
        <f>IF($K256=$L256,$BK256,IF(OR($K256="graphite",$K256="vitreous carbon"),$BK$406+($BM$389+$I256)*$BJ$406,IF($K256="Pyrolytic Boron Nitride","PBN",IF(COUNTIF($BH$396:$BH$416,$K256)&gt;0,VLOOKUP($K256,$BH$396:$BK$416,4,FALSE)+($BM$389+$I256)*VLOOKUP($K256,$BH$396:$BK$416,3,FALSE),IF(COUNTIF($L$2:$L255,$K256)&gt;0,VLOOKUP($K256,$L$2:$BK255,52,FALSE),"idk")))))</f>
        <v>-63.529671587210359</v>
      </c>
      <c r="BM256" s="129">
        <v>30</v>
      </c>
      <c r="BN256" s="129">
        <v>15</v>
      </c>
      <c r="BO256" s="129">
        <v>1</v>
      </c>
      <c r="BP256" s="129" t="s">
        <v>506</v>
      </c>
      <c r="BQ256" s="129"/>
      <c r="BR256" s="129" t="s">
        <v>247</v>
      </c>
      <c r="BS256" s="129"/>
      <c r="BT256" s="129">
        <v>0</v>
      </c>
      <c r="BV256" s="129"/>
      <c r="BZ256" s="130"/>
      <c r="CA256" s="130"/>
      <c r="CB256" s="130"/>
      <c r="CI256" s="151"/>
      <c r="CJ256" s="151"/>
      <c r="CK256" s="151"/>
      <c r="CL256" s="151"/>
      <c r="CM256" s="151"/>
      <c r="CN256" s="151"/>
      <c r="CO256" s="151"/>
      <c r="CP256" s="151"/>
      <c r="CQ256" s="151"/>
      <c r="CR256" s="151"/>
      <c r="CS256" s="151"/>
      <c r="CT256" s="151"/>
      <c r="CU256" s="151"/>
      <c r="CV256" s="151"/>
      <c r="CW256" s="151"/>
      <c r="CX256" s="151"/>
      <c r="CY256" s="151"/>
      <c r="CZ256" s="151"/>
      <c r="DA256" s="151"/>
      <c r="DB256" s="151"/>
      <c r="DC256" s="151"/>
      <c r="DD256" s="151"/>
      <c r="DE256" s="151"/>
      <c r="DF256" s="151"/>
      <c r="DG256" s="151"/>
      <c r="DH256" s="151"/>
      <c r="DI256" s="151"/>
      <c r="DJ256" s="129">
        <v>0</v>
      </c>
      <c r="DK256" s="129">
        <v>0</v>
      </c>
      <c r="DL256" s="129"/>
      <c r="DO256" s="129">
        <v>-0.51</v>
      </c>
      <c r="DS256" s="129"/>
      <c r="DU256" s="129" t="s">
        <v>507</v>
      </c>
      <c r="DW256" s="129">
        <f>SUM(_2025_01_07T12_47_export3[[#This Row],[Ni_wt]:[H_wt]])</f>
        <v>99.88000000000001</v>
      </c>
      <c r="DY256" s="130">
        <f>SUM($AM256:BJ256)</f>
        <v>99.999999999999986</v>
      </c>
    </row>
    <row r="257" spans="1:129" x14ac:dyDescent="0.25">
      <c r="A257" s="129" t="s">
        <v>514</v>
      </c>
      <c r="B257" s="129">
        <v>265</v>
      </c>
      <c r="C257" s="129" t="s">
        <v>503</v>
      </c>
      <c r="D257" s="129">
        <v>2025</v>
      </c>
      <c r="E257" s="129" t="s">
        <v>504</v>
      </c>
      <c r="F257" s="129" t="s">
        <v>505</v>
      </c>
      <c r="G257" s="129" t="s">
        <v>226</v>
      </c>
      <c r="H257" s="129">
        <v>0</v>
      </c>
      <c r="I257" s="129">
        <v>550</v>
      </c>
      <c r="J257" s="129">
        <v>2160</v>
      </c>
      <c r="K257" s="129" t="s">
        <v>233</v>
      </c>
      <c r="L257" s="129" t="s">
        <v>314</v>
      </c>
      <c r="N257" s="129">
        <v>8440000</v>
      </c>
      <c r="O257" s="130">
        <v>65.540000000000006</v>
      </c>
      <c r="P257" s="130">
        <v>21.12</v>
      </c>
      <c r="Q257" s="130">
        <v>6.12</v>
      </c>
      <c r="R257" s="130">
        <v>3.95</v>
      </c>
      <c r="S257" s="130"/>
      <c r="T257" s="130"/>
      <c r="U257" s="130"/>
      <c r="V257" s="130"/>
      <c r="W257" s="130">
        <v>0.13</v>
      </c>
      <c r="X257" s="130"/>
      <c r="Y257" s="130"/>
      <c r="Z257" s="130"/>
      <c r="AA257" s="130">
        <v>3.02</v>
      </c>
      <c r="AB257" s="130"/>
      <c r="AC257" s="130"/>
      <c r="AD257" s="130"/>
      <c r="AE257" s="130"/>
      <c r="AF257" s="130"/>
      <c r="AG257" s="130"/>
      <c r="AH257" s="130"/>
      <c r="AI257" s="130"/>
      <c r="AJ257" s="130"/>
      <c r="AK257" s="130"/>
      <c r="AL257" s="130"/>
      <c r="AM257" s="130">
        <f t="shared" si="75"/>
        <v>65.97666457976284</v>
      </c>
      <c r="AN257" s="130">
        <f t="shared" si="76"/>
        <v>23.995985945521895</v>
      </c>
      <c r="AO257" s="130">
        <f t="shared" si="77"/>
        <v>3.7679854015596028</v>
      </c>
      <c r="AP257" s="130">
        <f t="shared" si="78"/>
        <v>4.1785148202115687</v>
      </c>
      <c r="AQ257" s="130">
        <f t="shared" si="79"/>
        <v>0</v>
      </c>
      <c r="AR257" s="130">
        <f t="shared" si="80"/>
        <v>0</v>
      </c>
      <c r="AS257" s="130">
        <f t="shared" si="81"/>
        <v>0</v>
      </c>
      <c r="AT257" s="130">
        <f t="shared" si="82"/>
        <v>0</v>
      </c>
      <c r="AU257" s="130">
        <f t="shared" si="83"/>
        <v>0.16044565239795597</v>
      </c>
      <c r="AV257" s="130">
        <f t="shared" si="84"/>
        <v>0</v>
      </c>
      <c r="AW257" s="130">
        <f t="shared" si="85"/>
        <v>0</v>
      </c>
      <c r="AX257" s="130">
        <f t="shared" si="86"/>
        <v>0</v>
      </c>
      <c r="AY257" s="130">
        <f t="shared" si="87"/>
        <v>1.9204036005461247</v>
      </c>
      <c r="AZ257" s="130">
        <f t="shared" si="88"/>
        <v>0</v>
      </c>
      <c r="BA257" s="130">
        <f t="shared" si="89"/>
        <v>0</v>
      </c>
      <c r="BB257" s="130">
        <f t="shared" si="90"/>
        <v>0</v>
      </c>
      <c r="BC257" s="130">
        <f t="shared" si="91"/>
        <v>0</v>
      </c>
      <c r="BD257" s="130">
        <f t="shared" si="92"/>
        <v>0</v>
      </c>
      <c r="BE257" s="130">
        <f t="shared" si="93"/>
        <v>0</v>
      </c>
      <c r="BF257" s="130">
        <f t="shared" si="94"/>
        <v>0</v>
      </c>
      <c r="BG257" s="130">
        <f t="shared" si="95"/>
        <v>0</v>
      </c>
      <c r="BH257" s="130">
        <f t="shared" si="96"/>
        <v>0</v>
      </c>
      <c r="BI257" s="130">
        <f t="shared" si="97"/>
        <v>0</v>
      </c>
      <c r="BJ257" s="130">
        <f t="shared" si="98"/>
        <v>0</v>
      </c>
      <c r="BK257" s="130">
        <f t="shared" si="99"/>
        <v>-134.49227513019653</v>
      </c>
      <c r="BL257" s="130">
        <f>IF($K257=$L257,$BK257,IF(OR($K257="graphite",$K257="vitreous carbon"),$BK$406+($BM$389+$I257)*$BJ$406,IF($K257="Pyrolytic Boron Nitride","PBN",IF(COUNTIF($BH$396:$BH$416,$K257)&gt;0,VLOOKUP($K257,$BH$396:$BK$416,4,FALSE)+($BM$389+$I257)*VLOOKUP($K257,$BH$396:$BK$416,3,FALSE),IF(COUNTIF($L$2:$L256,$K257)&gt;0,VLOOKUP($K257,$L$2:$BK256,52,FALSE),"idk")))))</f>
        <v>-66.237592947441144</v>
      </c>
      <c r="BM257" s="129">
        <v>30</v>
      </c>
      <c r="BN257" s="129">
        <v>15</v>
      </c>
      <c r="BO257" s="129">
        <v>1</v>
      </c>
      <c r="BP257" s="129" t="s">
        <v>506</v>
      </c>
      <c r="BQ257" s="129"/>
      <c r="BR257" s="129" t="s">
        <v>247</v>
      </c>
      <c r="BS257" s="129"/>
      <c r="BT257" s="129">
        <v>0</v>
      </c>
      <c r="BV257" s="129"/>
      <c r="BZ257" s="130"/>
      <c r="CA257" s="130"/>
      <c r="CB257" s="130"/>
      <c r="CI257" s="151"/>
      <c r="CJ257" s="151"/>
      <c r="CK257" s="151"/>
      <c r="CL257" s="151"/>
      <c r="CM257" s="151"/>
      <c r="CN257" s="151"/>
      <c r="CO257" s="151"/>
      <c r="CP257" s="151"/>
      <c r="CQ257" s="151"/>
      <c r="CR257" s="151"/>
      <c r="CS257" s="151"/>
      <c r="CT257" s="151"/>
      <c r="CU257" s="151"/>
      <c r="CV257" s="151"/>
      <c r="CW257" s="151"/>
      <c r="CX257" s="151"/>
      <c r="CY257" s="151"/>
      <c r="CZ257" s="151"/>
      <c r="DA257" s="151"/>
      <c r="DB257" s="151"/>
      <c r="DC257" s="151"/>
      <c r="DD257" s="151"/>
      <c r="DE257" s="151"/>
      <c r="DF257" s="151"/>
      <c r="DG257" s="151"/>
      <c r="DH257" s="151"/>
      <c r="DI257" s="151"/>
      <c r="DJ257" s="129">
        <v>0</v>
      </c>
      <c r="DK257" s="129">
        <v>0</v>
      </c>
      <c r="DL257" s="129"/>
      <c r="DO257" s="129">
        <v>-0.5</v>
      </c>
      <c r="DS257" s="129"/>
      <c r="DU257" s="129" t="s">
        <v>507</v>
      </c>
      <c r="DW257" s="129">
        <f>SUM(_2025_01_07T12_47_export3[[#This Row],[Ni_wt]:[H_wt]])</f>
        <v>99.88000000000001</v>
      </c>
      <c r="DY257" s="130">
        <f>SUM($AM257:BJ257)</f>
        <v>99.999999999999986</v>
      </c>
    </row>
    <row r="258" spans="1:129" x14ac:dyDescent="0.25">
      <c r="A258" s="238" t="s">
        <v>515</v>
      </c>
      <c r="B258" s="238">
        <v>266</v>
      </c>
      <c r="C258" s="238" t="s">
        <v>503</v>
      </c>
      <c r="D258" s="238">
        <v>2025</v>
      </c>
      <c r="E258" s="238" t="s">
        <v>504</v>
      </c>
      <c r="F258" s="238" t="s">
        <v>505</v>
      </c>
      <c r="G258" s="238" t="s">
        <v>226</v>
      </c>
      <c r="H258" s="238">
        <v>0</v>
      </c>
      <c r="I258" s="238">
        <v>500</v>
      </c>
      <c r="J258" s="238">
        <v>720</v>
      </c>
      <c r="K258" s="238" t="s">
        <v>233</v>
      </c>
      <c r="L258" s="238" t="s">
        <v>516</v>
      </c>
      <c r="M258" s="238"/>
      <c r="N258" s="238">
        <v>8190000</v>
      </c>
      <c r="O258" s="239">
        <v>49.26</v>
      </c>
      <c r="P258" s="239">
        <v>17.87</v>
      </c>
      <c r="Q258" s="239">
        <v>3.63</v>
      </c>
      <c r="R258" s="239">
        <v>14.23</v>
      </c>
      <c r="S258" s="239"/>
      <c r="T258" s="239"/>
      <c r="U258" s="239"/>
      <c r="V258" s="239"/>
      <c r="W258" s="239">
        <v>0.91</v>
      </c>
      <c r="X258" s="239"/>
      <c r="Y258" s="239"/>
      <c r="Z258" s="239"/>
      <c r="AA258" s="239">
        <v>13.84</v>
      </c>
      <c r="AB258" s="239"/>
      <c r="AC258" s="239"/>
      <c r="AD258" s="239"/>
      <c r="AE258" s="239"/>
      <c r="AF258" s="239"/>
      <c r="AG258" s="239"/>
      <c r="AH258" s="239"/>
      <c r="AI258" s="239"/>
      <c r="AJ258" s="239"/>
      <c r="AK258" s="239"/>
      <c r="AL258" s="239"/>
      <c r="AM258" s="239">
        <f t="shared" ref="AM258:AM293" si="100">100*(O258/BD$343)/($O258/$BD$343+$P258/$BD$344+$Q258/$BD$346+$R258/$BD$348+$S258/$BD$350+$T258/$BD$351+$U258/$BD$352+$V258/$BD$353+$W258/$BD$354+$X258/$BD$359+$Y258/$BD$360+$Z258/$BD$361+$AA258/$BD$362+$AB258/$BD$363+$AC258/$BD$364+$AD258/$BD$365+$AE258/$BD$366+$AF258/$BD$367+$AG258/$BD$369+$AH258/$BD$355+$AI258/$BD$356+$AJ258/$BD$357+$AK258/$BD$368+$AL258/$BD$358)</f>
        <v>51.067262292936832</v>
      </c>
      <c r="AN258" s="239">
        <f t="shared" ref="AN258:AN293" si="101">100*(P258/BD$344)/($O258/$BD$343+$P258/$BD$344+$Q258/$BD$346+$R258/$BD$348+$S258/$BD$350+$T258/$BD$351+$U258/$BD$352+$V258/$BD$353+$W258/$BD$354+$X258/$BD$359+$Y258/$BD$360+$Z258/$BD$361+$AA258/$BD$362+$AB258/$BD$363+$AC258/$BD$364+$AD258/$BD$365+$AE258/$BD$366+$AF258/$BD$367+$AG258/$BD$369+$AH258/$BD$355+$AI258/$BD$356+$AJ258/$BD$357+$AK258/$BD$368+$AL258/$BD$358)</f>
        <v>20.909010798427463</v>
      </c>
      <c r="AO258" s="239">
        <f t="shared" ref="AO258:AO293" si="102">100*(Q258/BD$346)/($O258/$BD$343+$P258/$BD$344+$Q258/$BD$346+$R258/$BD$348+$S258/$BD$350+$T258/$BD$351+$U258/$BD$352+$V258/$BD$353+$W258/$BD$354+$X258/$BD$359+$Y258/$BD$360+$Z258/$BD$361+$AA258/$BD$362+$AB258/$BD$363+$AC258/$BD$364+$AD258/$BD$365+$AE258/$BD$366+$AF258/$BD$367+$AG258/$BD$369+$AH258/$BD$355+$AI258/$BD$356+$AJ258/$BD$357+$AK258/$BD$368+$AL258/$BD$358)</f>
        <v>2.3015937193980793</v>
      </c>
      <c r="AP258" s="239">
        <f t="shared" ref="AP258:AP293" si="103">100*(R258/BD$348)/($O258/$BD$343+$P258/$BD$344+$Q258/$BD$346+$R258/$BD$348+$S258/$BD$350+$T258/$BD$351+$U258/$BD$352+$V258/$BD$353+$W258/$BD$354+$X258/$BD$359+$Y258/$BD$360+$Z258/$BD$361+$AA258/$BD$362+$AB258/$BD$363+$AC258/$BD$364+$AD258/$BD$365+$AE258/$BD$366+$AF258/$BD$367+$AG258/$BD$369+$AH258/$BD$355+$AI258/$BD$356+$AJ258/$BD$357+$AK258/$BD$368+$AL258/$BD$358)</f>
        <v>15.502223740046745</v>
      </c>
      <c r="AQ258" s="239">
        <f t="shared" ref="AQ258:AQ293" si="104">100*(S258/BD$350)/($O258/$BD$343+$P258/$BD$344+$Q258/$BD$346+$R258/$BD$348+$S258/$BD$350+$T258/$BD$351+$U258/$BD$352+$V258/$BD$353+$W258/$BD$354+$X258/$BD$359+$Y258/$BD$360+$Z258/$BD$361+$AA258/$BD$362+$AB258/$BD$363+$AC258/$BD$364+$AD258/$BD$365+$AE258/$BD$366+$AF258/$BD$367+$AG258/$BD$369+$AH258/$BD$355+$AI258/$BD$356+$AJ258/$BD$357+$AK258/$BD$368+$AL258/$BD$358)</f>
        <v>0</v>
      </c>
      <c r="AR258" s="239">
        <f t="shared" ref="AR258:AR293" si="105">100*(T258/BD$351)/($O258/$BD$343+$P258/$BD$344+$Q258/$BD$346+$R258/$BD$348+$S258/$BD$350+$T258/$BD$351+$U258/$BD$352+$V258/$BD$353+$W258/$BD$354+$X258/$BD$359+$Y258/$BD$360+$Z258/$BD$361+$AA258/$BD$362+$AB258/$BD$363+$AC258/$BD$364+$AD258/$BD$365+$AE258/$BD$366+$AF258/$BD$367+$AG258/$BD$369+$AH258/$BD$355+$AI258/$BD$356+$AJ258/$BD$357+$AK258/$BD$368+$AL258/$BD$358)</f>
        <v>0</v>
      </c>
      <c r="AS258" s="239">
        <f t="shared" ref="AS258:AS293" si="106">100*(U258/BD$352)/($O258/$BD$343+$P258/$BD$344+$Q258/$BD$346+$R258/$BD$348+$S258/$BD$350+$T258/$BD$351+$U258/$BD$352+$V258/$BD$353+$W258/$BD$354+$X258/$BD$359+$Y258/$BD$360+$Z258/$BD$361+$AA258/$BD$362+$AB258/$BD$363+$AC258/$BD$364+$AD258/$BD$365+$AE258/$BD$366+$AF258/$BD$367+$AG258/$BD$369+$AH258/$BD$355+$AI258/$BD$356+$AJ258/$BD$357+$AK258/$BD$368+$AL258/$BD$358)</f>
        <v>0</v>
      </c>
      <c r="AT258" s="239">
        <f t="shared" ref="AT258:AT293" si="107">100*(V258/BD$353)/($O258/$BD$343+$P258/$BD$344+$Q258/$BD$346+$R258/$BD$348+$S258/$BD$350+$T258/$BD$351+$U258/$BD$352+$V258/$BD$353+$W258/$BD$354+$X258/$BD$359+$Y258/$BD$360+$Z258/$BD$361+$AA258/$BD$362+$AB258/$BD$363+$AC258/$BD$364+$AD258/$BD$365+$AE258/$BD$366+$AF258/$BD$367+$AG258/$BD$369+$AH258/$BD$355+$AI258/$BD$356+$AJ258/$BD$357+$AK258/$BD$368+$AL258/$BD$358)</f>
        <v>0</v>
      </c>
      <c r="AU258" s="239">
        <f t="shared" ref="AU258:AU293" si="108">100*(W258/BD$354)/($O258/$BD$343+$P258/$BD$344+$Q258/$BD$346+$R258/$BD$348+$S258/$BD$350+$T258/$BD$351+$U258/$BD$352+$V258/$BD$353+$W258/$BD$354+$X258/$BD$359+$Y258/$BD$360+$Z258/$BD$361+$AA258/$BD$362+$AB258/$BD$363+$AC258/$BD$364+$AD258/$BD$365+$AE258/$BD$366+$AF258/$BD$367+$AG258/$BD$369+$AH258/$BD$355+$AI258/$BD$356+$AJ258/$BD$357+$AK258/$BD$368+$AL258/$BD$358)</f>
        <v>1.1566187885764425</v>
      </c>
      <c r="AV258" s="239">
        <f t="shared" ref="AV258:AV293" si="109">100*(X258/BD$359)/($O258/$BD$343+$P258/$BD$344+$Q258/$BD$346+$R258/$BD$348+$S258/$BD$350+$T258/$BD$351+$U258/$BD$352+$V258/$BD$353+$W258/$BD$354+$X258/$BD$359+$Y258/$BD$360+$Z258/$BD$361+$AA258/$BD$362+$AB258/$BD$363+$AC258/$BD$364+$AD258/$BD$365+$AE258/$BD$366+$AF258/$BD$367+$AG258/$BD$369+$AH258/$BD$355+$AI258/$BD$356+$AJ258/$BD$357+$AK258/$BD$368+$AL258/$BD$358)</f>
        <v>0</v>
      </c>
      <c r="AW258" s="239">
        <f t="shared" ref="AW258:AW293" si="110">100*(Y258/BD$360)/($O258/$BD$343+$P258/$BD$344+$Q258/$BD$346+$R258/$BD$348+$S258/$BD$350+$T258/$BD$351+$U258/$BD$352+$V258/$BD$353+$W258/$BD$354+$X258/$BD$359+$Y258/$BD$360+$Z258/$BD$361+$AA258/$BD$362+$AB258/$BD$363+$AC258/$BD$364+$AD258/$BD$365+$AE258/$BD$366+$AF258/$BD$367+$AG258/$BD$369+$AH258/$BD$355+$AI258/$BD$356+$AJ258/$BD$357+$AK258/$BD$368+$AL258/$BD$358)</f>
        <v>0</v>
      </c>
      <c r="AX258" s="239">
        <f t="shared" ref="AX258:AX293" si="111">100*(Z258/BD$361)/($O258/$BD$343+$P258/$BD$344+$Q258/$BD$346+$R258/$BD$348+$S258/$BD$350+$T258/$BD$351+$U258/$BD$352+$V258/$BD$353+$W258/$BD$354+$X258/$BD$359+$Y258/$BD$360+$Z258/$BD$361+$AA258/$BD$362+$AB258/$BD$363+$AC258/$BD$364+$AD258/$BD$365+$AE258/$BD$366+$AF258/$BD$367+$AG258/$BD$369+$AH258/$BD$355+$AI258/$BD$356+$AJ258/$BD$357+$AK258/$BD$368+$AL258/$BD$358)</f>
        <v>0</v>
      </c>
      <c r="AY258" s="239">
        <f t="shared" ref="AY258:AY293" si="112">100*(AA258/BD$362)/($O258/$BD$343+$P258/$BD$344+$Q258/$BD$346+$R258/$BD$348+$S258/$BD$350+$T258/$BD$351+$U258/$BD$352+$V258/$BD$353+$W258/$BD$354+$X258/$BD$359+$Y258/$BD$360+$Z258/$BD$361+$AA258/$BD$362+$AB258/$BD$363+$AC258/$BD$364+$AD258/$BD$365+$AE258/$BD$366+$AF258/$BD$367+$AG258/$BD$369+$AH258/$BD$355+$AI258/$BD$356+$AJ258/$BD$357+$AK258/$BD$368+$AL258/$BD$358)</f>
        <v>9.0632906606144381</v>
      </c>
      <c r="AZ258" s="239">
        <f t="shared" ref="AZ258:AZ293" si="113">100*(AB258/BD$363)/($O258/$BD$343+$P258/$BD$344+$Q258/$BD$346+$R258/$BD$348+$S258/$BD$350+$T258/$BD$351+$U258/$BD$352+$V258/$BD$353+$W258/$BD$354+$X258/$BD$359+$Y258/$BD$360+$Z258/$BD$361+$AA258/$BD$362+$AB258/$BD$363+$AC258/$BD$364+$AD258/$BD$365+$AE258/$BD$366+$AF258/$BD$367+$AG258/$BD$369+$AH258/$BD$355+$AI258/$BD$356+$AJ258/$BD$357+$AK258/$BD$368+$AL258/$BD$358)</f>
        <v>0</v>
      </c>
      <c r="BA258" s="239">
        <f t="shared" ref="BA258:BA293" si="114">100*(AC258/BD$364)/($O258/$BD$343+$P258/$BD$344+$Q258/$BD$346+$R258/$BD$348+$S258/$BD$350+$T258/$BD$351+$U258/$BD$352+$V258/$BD$353+$W258/$BD$354+$X258/$BD$359+$Y258/$BD$360+$Z258/$BD$361+$AA258/$BD$362+$AB258/$BD$363+$AC258/$BD$364+$AD258/$BD$365+$AE258/$BD$366+$AF258/$BD$367+$AG258/$BD$369+$AH258/$BD$355+$AI258/$BD$356+$AJ258/$BD$357+$AK258/$BD$368+$AL258/$BD$358)</f>
        <v>0</v>
      </c>
      <c r="BB258" s="239">
        <f t="shared" ref="BB258:BB293" si="115">100*(AD258/BD$365)/($O258/$BD$343+$P258/$BD$344+$Q258/$BD$346+$R258/$BD$348+$S258/$BD$350+$T258/$BD$351+$U258/$BD$352+$V258/$BD$353+$W258/$BD$354+$X258/$BD$359+$Y258/$BD$360+$Z258/$BD$361+$AA258/$BD$362+$AB258/$BD$363+$AC258/$BD$364+$AD258/$BD$365+$AE258/$BD$366+$AF258/$BD$367+$AG258/$BD$369+$AH258/$BD$355+$AI258/$BD$356+$AJ258/$BD$357+$AK258/$BD$368+$AL258/$BD$358)</f>
        <v>0</v>
      </c>
      <c r="BC258" s="239">
        <f t="shared" ref="BC258:BC293" si="116">100*(AE258/BD$366)/($O258/$BD$343+$P258/$BD$344+$Q258/$BD$346+$R258/$BD$348+$S258/$BD$350+$T258/$BD$351+$U258/$BD$352+$V258/$BD$353+$W258/$BD$354+$X258/$BD$359+$Y258/$BD$360+$Z258/$BD$361+$AA258/$BD$362+$AB258/$BD$363+$AC258/$BD$364+$AD258/$BD$365+$AE258/$BD$366+$AF258/$BD$367+$AG258/$BD$369+$AH258/$BD$355+$AI258/$BD$356+$AJ258/$BD$357+$AK258/$BD$368+$AL258/$BD$358)</f>
        <v>0</v>
      </c>
      <c r="BD258" s="239">
        <f t="shared" ref="BD258:BD293" si="117">100*(AF258/BD$367)/($O258/$BD$343+$P258/$BD$344+$Q258/$BD$346+$R258/$BD$348+$S258/$BD$350+$T258/$BD$351+$U258/$BD$352+$V258/$BD$353+$W258/$BD$354+$X258/$BD$359+$Y258/$BD$360+$Z258/$BD$361+$AA258/$BD$362+$AB258/$BD$363+$AC258/$BD$364+$AD258/$BD$365+$AE258/$BD$366+$AF258/$BD$367+$AG258/$BD$369+$AH258/$BD$355+$AI258/$BD$356+$AJ258/$BD$357+$AK258/$BD$368+$AL258/$BD$358)</f>
        <v>0</v>
      </c>
      <c r="BE258" s="239">
        <f t="shared" ref="BE258:BE293" si="118">100*(AG258/BD$369)/($O258/$BD$343+$P258/$BD$344+$Q258/$BD$346+$R258/$BD$348+$S258/$BD$350+$T258/$BD$351+$U258/$BD$352+$V258/$BD$353+$W258/$BD$354+$X258/$BD$359+$Y258/$BD$360+$Z258/$BD$361+$AA258/$BD$362+$AB258/$BD$363+$AC258/$BD$364+$AD258/$BD$365+$AE258/$BD$366+$AF258/$BD$367+$AG258/$BD$369+$AH258/$BD$355+$AI258/$BD$356+$AJ258/$BD$357+$AK258/$BD$368+$AL258/$BD$358)</f>
        <v>0</v>
      </c>
      <c r="BF258" s="239">
        <f t="shared" ref="BF258:BF293" si="119">100*(AH258/BD$355)/($O258/$BD$343+$P258/$BD$344+$Q258/$BD$346+$R258/$BD$348+$S258/$BD$350+$T258/$BD$351+$U258/$BD$352+$V258/$BD$353+$W258/$BD$354+$X258/$BD$359+$Y258/$BD$360+$Z258/$BD$361+$AA258/$BD$362+$AB258/$BD$363+$AC258/$BD$364+$AD258/$BD$365+$AE258/$BD$366+$AF258/$BD$367+$AG258/$BD$369+$AH258/$BD$355+$AI258/$BD$356+$AJ258/$BD$357+$AK258/$BD$368+$AL258/$BD$358)</f>
        <v>0</v>
      </c>
      <c r="BG258" s="239">
        <f t="shared" ref="BG258:BG293" si="120">100*(AI258/BD$356)/($O258/$BD$343+$P258/$BD$344+$Q258/$BD$346+$R258/$BD$348+$S258/$BD$350+$T258/$BD$351+$U258/$BD$352+$V258/$BD$353+$W258/$BD$354+$X258/$BD$359+$Y258/$BD$360+$Z258/$BD$361+$AA258/$BD$362+$AB258/$BD$363+$AC258/$BD$364+$AD258/$BD$365+$AE258/$BD$366+$AF258/$BD$367+$AG258/$BD$369+$AH258/$BD$355+$AI258/$BD$356+$AJ258/$BD$357+$AK258/$BD$368+$AL258/$BD$358)</f>
        <v>0</v>
      </c>
      <c r="BH258" s="239">
        <f t="shared" ref="BH258:BH293" si="121">100*(AJ258/BD$357)/($O258/$BD$343+$P258/$BD$344+$Q258/$BD$346+$R258/$BD$348+$S258/$BD$350+$T258/$BD$351+$U258/$BD$352+$V258/$BD$353+$W258/$BD$354+$X258/$BD$359+$Y258/$BD$360+$Z258/$BD$361+$AA258/$BD$362+$AB258/$BD$363+$AC258/$BD$364+$AD258/$BD$365+$AE258/$BD$366+$AF258/$BD$367+$AG258/$BD$369+$AH258/$BD$355+$AI258/$BD$356+$AJ258/$BD$357+$AK258/$BD$368+$AL258/$BD$358)</f>
        <v>0</v>
      </c>
      <c r="BI258" s="239">
        <f t="shared" ref="BI258:BI293" si="122">100*(AK258/BD$368)/($O258/$BD$343+$P258/$BD$344+$Q258/$BD$346+$R258/$BD$348+$S258/$BD$350+$T258/$BD$351+$U258/$BD$352+$V258/$BD$353+$W258/$BD$354+$X258/$BD$359+$Y258/$BD$360+$Z258/$BD$361+$AA258/$BD$362+$AB258/$BD$363+$AC258/$BD$364+$AD258/$BD$365+$AE258/$BD$366+$AF258/$BD$367+$AG258/$BD$369+$AH258/$BD$355+$AI258/$BD$356+$AJ258/$BD$357+$AK258/$BD$368+$AL258/$BD$358)</f>
        <v>0</v>
      </c>
      <c r="BJ258" s="239">
        <f t="shared" ref="BJ258:BJ293" si="123">100*(AL258/BD$358)/($O258/$BD$343+$P258/$BD$344+$Q258/$BD$346+$R258/$BD$348+$S258/$BD$350+$T258/$BD$351+$U258/$BD$352+$V258/$BD$353+$W258/$BD$354+$X258/$BD$359+$Y258/$BD$360+$Z258/$BD$361+$AA258/$BD$362+$AB258/$BD$363+$AC258/$BD$364+$AD258/$BD$365+$AE258/$BD$366+$AF258/$BD$367+$AG258/$BD$369+$AH258/$BD$355+$AI258/$BD$356+$AJ258/$BD$357+$AK258/$BD$368+$AL258/$BD$358)</f>
        <v>0</v>
      </c>
      <c r="BK258" s="239">
        <f t="shared" ref="BK258:BK317" si="124">(($AM258*($BK$396+$BJ$396*($BM$389+$I258))+$AN258*($BK$397+$BJ$397*($BM$389+$I258))+$AO258*($BK$398+$BJ$398*($BM$389+$I258))+$AP258*($BK$399+$BJ$399*($BM$389+$I258))+$AR258*($BK$401+$BJ$401*($BM$389+$I258))+$AS258*($BK$402+$BJ$402*($BM$389+$I258))+$AT258*($BK$403+$BJ$403*($BM$389+$I258))+$AU258*($BK$404+$BJ$404*($BM$389+$I258))+$AV258*($BK$405+$BJ$405*($BM$389+$I258))+$AW258*($BK$406+$BJ$406*($BM$389+$I258))+$AX258*($BK$407+$BJ$407*($BM$389+$I258))+$AY258*($BK$408+$BJ$408*($BM$389+$I258))+$AZ258*($BK$409+$BJ$409*($BM$389+$I258))+$BB258*($BK$411+$BJ$411*($BM$389+$I258))+$BC258*($BK$412+$BJ$412*($BM$389+$I258))+$BD258*($BK$413+$BJ$413*($BM$389+$I258))+$BF258*($BK$415+$BJ$415*($BM$389+$I258))+$BI258*($BK$416+$BJ$416*($BM$389+$I258)))/(SUM($AM258:$BJ258)-$AQ258-$BA258-$BE258-$BG258-$BH258-$BJ258))</f>
        <v>-138.94046386742627</v>
      </c>
      <c r="BL258" s="239">
        <f>IF($K258=$L258,$BK258,IF(OR($K258="graphite",$K258="vitreous carbon"),$BK$406+($BM$389+$I258)*$BJ$406,IF($K258="Pyrolytic Boron Nitride","PBN",IF(COUNTIF($BH$396:$BH$416,$K258)&gt;0,VLOOKUP($K258,$BH$396:$BK$416,4,FALSE)+($BM$389+$I258)*VLOOKUP($K258,$BH$396:$BK$416,3,FALSE),IF(COUNTIF($L$2:$L257,$K258)&gt;0,VLOOKUP($K258,$L$2:$BK257,52,FALSE),"idk")))))</f>
        <v>-67.1402334008514</v>
      </c>
      <c r="BM258" s="238">
        <v>30</v>
      </c>
      <c r="BN258" s="238">
        <v>15</v>
      </c>
      <c r="BO258" s="238">
        <v>1</v>
      </c>
      <c r="BP258" s="238" t="s">
        <v>506</v>
      </c>
      <c r="BQ258" s="238"/>
      <c r="BR258" s="238" t="s">
        <v>247</v>
      </c>
      <c r="BS258" s="238"/>
      <c r="BT258" s="238">
        <v>0</v>
      </c>
      <c r="BU258" s="238"/>
      <c r="BV258" s="238"/>
      <c r="BW258" s="238"/>
      <c r="BX258" s="238"/>
      <c r="BY258" s="238"/>
      <c r="BZ258" s="239"/>
      <c r="CA258" s="239"/>
      <c r="CB258" s="239"/>
      <c r="CC258" s="238"/>
      <c r="CD258" s="238"/>
      <c r="CE258" s="238"/>
      <c r="CF258" s="238"/>
      <c r="CG258" s="238"/>
      <c r="CH258" s="238"/>
      <c r="CI258" s="240"/>
      <c r="CJ258" s="240"/>
      <c r="CK258" s="240"/>
      <c r="CL258" s="240"/>
      <c r="CM258" s="240"/>
      <c r="CN258" s="240"/>
      <c r="CO258" s="240"/>
      <c r="CP258" s="240"/>
      <c r="CQ258" s="240"/>
      <c r="CR258" s="240"/>
      <c r="CS258" s="240"/>
      <c r="CT258" s="240"/>
      <c r="CU258" s="240"/>
      <c r="CV258" s="240"/>
      <c r="CW258" s="240"/>
      <c r="CX258" s="240"/>
      <c r="CY258" s="240"/>
      <c r="CZ258" s="240"/>
      <c r="DA258" s="240"/>
      <c r="DB258" s="240"/>
      <c r="DC258" s="240"/>
      <c r="DD258" s="240"/>
      <c r="DE258" s="240"/>
      <c r="DF258" s="240"/>
      <c r="DG258" s="240"/>
      <c r="DH258" s="240"/>
      <c r="DI258" s="240"/>
      <c r="DJ258" s="238">
        <v>0</v>
      </c>
      <c r="DK258" s="238">
        <v>0</v>
      </c>
      <c r="DL258" s="238"/>
      <c r="DM258" s="238"/>
      <c r="DN258" s="238"/>
      <c r="DO258" s="238">
        <v>-0.63</v>
      </c>
      <c r="DP258" s="238"/>
      <c r="DQ258" s="238"/>
      <c r="DR258" s="238"/>
      <c r="DS258" s="238"/>
      <c r="DT258" s="238"/>
      <c r="DU258" s="238" t="s">
        <v>507</v>
      </c>
      <c r="DW258" s="129">
        <f>SUM(_2025_01_07T12_47_export3[[#This Row],[Ni_wt]:[H_wt]])</f>
        <v>99.74</v>
      </c>
      <c r="DY258" s="130">
        <f>SUM($AM258:BJ258)</f>
        <v>100</v>
      </c>
    </row>
    <row r="259" spans="1:129" x14ac:dyDescent="0.25">
      <c r="A259" s="129" t="s">
        <v>515</v>
      </c>
      <c r="B259" s="129">
        <v>267</v>
      </c>
      <c r="C259" s="129" t="s">
        <v>503</v>
      </c>
      <c r="D259" s="129">
        <v>2025</v>
      </c>
      <c r="E259" s="129" t="s">
        <v>504</v>
      </c>
      <c r="F259" s="129" t="s">
        <v>505</v>
      </c>
      <c r="G259" s="129" t="s">
        <v>226</v>
      </c>
      <c r="H259" s="129">
        <v>0</v>
      </c>
      <c r="I259" s="129">
        <v>700</v>
      </c>
      <c r="J259" s="129">
        <v>720</v>
      </c>
      <c r="K259" s="129" t="s">
        <v>233</v>
      </c>
      <c r="L259" s="129" t="s">
        <v>516</v>
      </c>
      <c r="N259" s="129">
        <v>8190000</v>
      </c>
      <c r="O259" s="130">
        <v>49.26</v>
      </c>
      <c r="P259" s="130">
        <v>17.87</v>
      </c>
      <c r="Q259" s="130">
        <v>3.63</v>
      </c>
      <c r="R259" s="130">
        <v>14.23</v>
      </c>
      <c r="S259" s="130"/>
      <c r="T259" s="130"/>
      <c r="U259" s="130"/>
      <c r="V259" s="130"/>
      <c r="W259" s="130">
        <v>0.91</v>
      </c>
      <c r="X259" s="130"/>
      <c r="Y259" s="130"/>
      <c r="Z259" s="130"/>
      <c r="AA259" s="130">
        <v>13.84</v>
      </c>
      <c r="AB259" s="130"/>
      <c r="AC259" s="130"/>
      <c r="AD259" s="130"/>
      <c r="AE259" s="130"/>
      <c r="AF259" s="130"/>
      <c r="AG259" s="130"/>
      <c r="AH259" s="130"/>
      <c r="AI259" s="130"/>
      <c r="AJ259" s="130"/>
      <c r="AK259" s="130"/>
      <c r="AL259" s="130"/>
      <c r="AM259" s="130">
        <f t="shared" si="100"/>
        <v>51.067262292936832</v>
      </c>
      <c r="AN259" s="130">
        <f t="shared" si="101"/>
        <v>20.909010798427463</v>
      </c>
      <c r="AO259" s="130">
        <f t="shared" si="102"/>
        <v>2.3015937193980793</v>
      </c>
      <c r="AP259" s="130">
        <f t="shared" si="103"/>
        <v>15.502223740046745</v>
      </c>
      <c r="AQ259" s="130">
        <f t="shared" si="104"/>
        <v>0</v>
      </c>
      <c r="AR259" s="130">
        <f t="shared" si="105"/>
        <v>0</v>
      </c>
      <c r="AS259" s="130">
        <f t="shared" si="106"/>
        <v>0</v>
      </c>
      <c r="AT259" s="130">
        <f t="shared" si="107"/>
        <v>0</v>
      </c>
      <c r="AU259" s="130">
        <f t="shared" si="108"/>
        <v>1.1566187885764425</v>
      </c>
      <c r="AV259" s="130">
        <f t="shared" si="109"/>
        <v>0</v>
      </c>
      <c r="AW259" s="130">
        <f t="shared" si="110"/>
        <v>0</v>
      </c>
      <c r="AX259" s="130">
        <f t="shared" si="111"/>
        <v>0</v>
      </c>
      <c r="AY259" s="130">
        <f t="shared" si="112"/>
        <v>9.0632906606144381</v>
      </c>
      <c r="AZ259" s="130">
        <f t="shared" si="113"/>
        <v>0</v>
      </c>
      <c r="BA259" s="130">
        <f t="shared" si="114"/>
        <v>0</v>
      </c>
      <c r="BB259" s="130">
        <f t="shared" si="115"/>
        <v>0</v>
      </c>
      <c r="BC259" s="130">
        <f t="shared" si="116"/>
        <v>0</v>
      </c>
      <c r="BD259" s="130">
        <f t="shared" si="117"/>
        <v>0</v>
      </c>
      <c r="BE259" s="130">
        <f t="shared" si="118"/>
        <v>0</v>
      </c>
      <c r="BF259" s="130">
        <f t="shared" si="119"/>
        <v>0</v>
      </c>
      <c r="BG259" s="130">
        <f t="shared" si="120"/>
        <v>0</v>
      </c>
      <c r="BH259" s="130">
        <f t="shared" si="121"/>
        <v>0</v>
      </c>
      <c r="BI259" s="130">
        <f t="shared" si="122"/>
        <v>0</v>
      </c>
      <c r="BJ259" s="130">
        <f t="shared" si="123"/>
        <v>0</v>
      </c>
      <c r="BK259" s="130">
        <f t="shared" si="124"/>
        <v>-132.35843614171804</v>
      </c>
      <c r="BL259" s="130">
        <f>IF($K259=$L259,$BK259,IF(OR($K259="graphite",$K259="vitreous carbon"),$BK$406+($BM$389+$I259)*$BJ$406,IF($K259="Pyrolytic Boron Nitride","PBN",IF(COUNTIF($BH$396:$BH$416,$K259)&gt;0,VLOOKUP($K259,$BH$396:$BK$416,4,FALSE)+($BM$389+$I259)*VLOOKUP($K259,$BH$396:$BK$416,3,FALSE),IF(COUNTIF($L$2:$L258,$K259)&gt;0,VLOOKUP($K259,$L$2:$BK258,52,FALSE),"idk")))))</f>
        <v>-63.529671587210359</v>
      </c>
      <c r="BM259" s="129">
        <v>30</v>
      </c>
      <c r="BN259" s="129">
        <v>15</v>
      </c>
      <c r="BO259" s="129">
        <v>1</v>
      </c>
      <c r="BP259" s="129" t="s">
        <v>506</v>
      </c>
      <c r="BQ259" s="129"/>
      <c r="BR259" s="129" t="s">
        <v>247</v>
      </c>
      <c r="BS259" s="129"/>
      <c r="BT259" s="129">
        <v>0</v>
      </c>
      <c r="BV259" s="129"/>
      <c r="BZ259" s="130"/>
      <c r="CA259" s="130"/>
      <c r="CB259" s="130"/>
      <c r="CI259" s="151"/>
      <c r="CJ259" s="151"/>
      <c r="CK259" s="151"/>
      <c r="CL259" s="151"/>
      <c r="CM259" s="151"/>
      <c r="CN259" s="151"/>
      <c r="CO259" s="151"/>
      <c r="CP259" s="151"/>
      <c r="CQ259" s="151"/>
      <c r="CR259" s="151"/>
      <c r="CS259" s="151"/>
      <c r="CT259" s="151"/>
      <c r="CU259" s="151"/>
      <c r="CV259" s="151"/>
      <c r="CW259" s="151"/>
      <c r="CX259" s="151"/>
      <c r="CY259" s="151"/>
      <c r="CZ259" s="151"/>
      <c r="DA259" s="151"/>
      <c r="DB259" s="151"/>
      <c r="DC259" s="151"/>
      <c r="DD259" s="151"/>
      <c r="DE259" s="151"/>
      <c r="DF259" s="151"/>
      <c r="DG259" s="151"/>
      <c r="DH259" s="151"/>
      <c r="DI259" s="151"/>
      <c r="DJ259" s="129">
        <v>0</v>
      </c>
      <c r="DK259" s="129">
        <v>0</v>
      </c>
      <c r="DL259" s="129"/>
      <c r="DO259" s="129">
        <v>-0.85</v>
      </c>
      <c r="DS259" s="129"/>
      <c r="DU259" s="129" t="s">
        <v>507</v>
      </c>
      <c r="DW259" s="129">
        <f>SUM(_2025_01_07T12_47_export3[[#This Row],[Ni_wt]:[H_wt]])</f>
        <v>99.74</v>
      </c>
      <c r="DY259" s="130">
        <f>SUM($AM259:BJ259)</f>
        <v>100</v>
      </c>
    </row>
    <row r="260" spans="1:129" x14ac:dyDescent="0.25">
      <c r="A260" s="129" t="s">
        <v>515</v>
      </c>
      <c r="B260" s="129">
        <v>268</v>
      </c>
      <c r="C260" s="129" t="s">
        <v>503</v>
      </c>
      <c r="D260" s="129">
        <v>2025</v>
      </c>
      <c r="E260" s="129" t="s">
        <v>504</v>
      </c>
      <c r="F260" s="129" t="s">
        <v>505</v>
      </c>
      <c r="G260" s="129" t="s">
        <v>226</v>
      </c>
      <c r="H260" s="129">
        <v>0</v>
      </c>
      <c r="I260" s="129">
        <v>700</v>
      </c>
      <c r="J260" s="129">
        <v>2160</v>
      </c>
      <c r="K260" s="129" t="s">
        <v>233</v>
      </c>
      <c r="L260" s="129" t="s">
        <v>516</v>
      </c>
      <c r="N260" s="129">
        <v>8190000</v>
      </c>
      <c r="O260" s="130">
        <v>49.26</v>
      </c>
      <c r="P260" s="130">
        <v>17.87</v>
      </c>
      <c r="Q260" s="130">
        <v>3.63</v>
      </c>
      <c r="R260" s="130">
        <v>14.23</v>
      </c>
      <c r="S260" s="130"/>
      <c r="T260" s="130"/>
      <c r="U260" s="130"/>
      <c r="V260" s="130"/>
      <c r="W260" s="130">
        <v>0.91</v>
      </c>
      <c r="X260" s="130"/>
      <c r="Y260" s="130"/>
      <c r="Z260" s="130"/>
      <c r="AA260" s="130">
        <v>13.84</v>
      </c>
      <c r="AB260" s="130"/>
      <c r="AC260" s="130"/>
      <c r="AD260" s="130"/>
      <c r="AE260" s="130"/>
      <c r="AF260" s="130"/>
      <c r="AG260" s="130"/>
      <c r="AH260" s="130"/>
      <c r="AI260" s="130"/>
      <c r="AJ260" s="130"/>
      <c r="AK260" s="130"/>
      <c r="AL260" s="130"/>
      <c r="AM260" s="130">
        <f t="shared" si="100"/>
        <v>51.067262292936832</v>
      </c>
      <c r="AN260" s="130">
        <f t="shared" si="101"/>
        <v>20.909010798427463</v>
      </c>
      <c r="AO260" s="130">
        <f t="shared" si="102"/>
        <v>2.3015937193980793</v>
      </c>
      <c r="AP260" s="130">
        <f t="shared" si="103"/>
        <v>15.502223740046745</v>
      </c>
      <c r="AQ260" s="130">
        <f t="shared" si="104"/>
        <v>0</v>
      </c>
      <c r="AR260" s="130">
        <f t="shared" si="105"/>
        <v>0</v>
      </c>
      <c r="AS260" s="130">
        <f t="shared" si="106"/>
        <v>0</v>
      </c>
      <c r="AT260" s="130">
        <f t="shared" si="107"/>
        <v>0</v>
      </c>
      <c r="AU260" s="130">
        <f t="shared" si="108"/>
        <v>1.1566187885764425</v>
      </c>
      <c r="AV260" s="130">
        <f t="shared" si="109"/>
        <v>0</v>
      </c>
      <c r="AW260" s="130">
        <f t="shared" si="110"/>
        <v>0</v>
      </c>
      <c r="AX260" s="130">
        <f t="shared" si="111"/>
        <v>0</v>
      </c>
      <c r="AY260" s="130">
        <f t="shared" si="112"/>
        <v>9.0632906606144381</v>
      </c>
      <c r="AZ260" s="130">
        <f t="shared" si="113"/>
        <v>0</v>
      </c>
      <c r="BA260" s="130">
        <f t="shared" si="114"/>
        <v>0</v>
      </c>
      <c r="BB260" s="130">
        <f t="shared" si="115"/>
        <v>0</v>
      </c>
      <c r="BC260" s="130">
        <f t="shared" si="116"/>
        <v>0</v>
      </c>
      <c r="BD260" s="130">
        <f t="shared" si="117"/>
        <v>0</v>
      </c>
      <c r="BE260" s="130">
        <f t="shared" si="118"/>
        <v>0</v>
      </c>
      <c r="BF260" s="130">
        <f t="shared" si="119"/>
        <v>0</v>
      </c>
      <c r="BG260" s="130">
        <f t="shared" si="120"/>
        <v>0</v>
      </c>
      <c r="BH260" s="130">
        <f t="shared" si="121"/>
        <v>0</v>
      </c>
      <c r="BI260" s="130">
        <f t="shared" si="122"/>
        <v>0</v>
      </c>
      <c r="BJ260" s="130">
        <f t="shared" si="123"/>
        <v>0</v>
      </c>
      <c r="BK260" s="130">
        <f t="shared" si="124"/>
        <v>-132.35843614171804</v>
      </c>
      <c r="BL260" s="130">
        <f>IF($K260=$L260,$BK260,IF(OR($K260="graphite",$K260="vitreous carbon"),$BK$406+($BM$389+$I260)*$BJ$406,IF($K260="Pyrolytic Boron Nitride","PBN",IF(COUNTIF($BH$396:$BH$416,$K260)&gt;0,VLOOKUP($K260,$BH$396:$BK$416,4,FALSE)+($BM$389+$I260)*VLOOKUP($K260,$BH$396:$BK$416,3,FALSE),IF(COUNTIF($L$2:$L259,$K260)&gt;0,VLOOKUP($K260,$L$2:$BK259,52,FALSE),"idk")))))</f>
        <v>-63.529671587210359</v>
      </c>
      <c r="BM260" s="129">
        <v>30</v>
      </c>
      <c r="BN260" s="129">
        <v>15</v>
      </c>
      <c r="BO260" s="129">
        <v>1</v>
      </c>
      <c r="BP260" s="129" t="s">
        <v>506</v>
      </c>
      <c r="BQ260" s="129"/>
      <c r="BR260" s="129" t="s">
        <v>247</v>
      </c>
      <c r="BS260" s="129"/>
      <c r="BT260" s="129">
        <v>0</v>
      </c>
      <c r="BV260" s="129"/>
      <c r="BZ260" s="130"/>
      <c r="CA260" s="130"/>
      <c r="CB260" s="130"/>
      <c r="CI260" s="151"/>
      <c r="CJ260" s="151"/>
      <c r="CK260" s="151"/>
      <c r="CL260" s="151"/>
      <c r="CM260" s="151"/>
      <c r="CN260" s="151"/>
      <c r="CO260" s="151"/>
      <c r="CP260" s="151"/>
      <c r="CQ260" s="151"/>
      <c r="CR260" s="151"/>
      <c r="CS260" s="151"/>
      <c r="CT260" s="151"/>
      <c r="CU260" s="151"/>
      <c r="CV260" s="151"/>
      <c r="CW260" s="151"/>
      <c r="CX260" s="151"/>
      <c r="CY260" s="151"/>
      <c r="CZ260" s="151"/>
      <c r="DA260" s="151"/>
      <c r="DB260" s="151"/>
      <c r="DC260" s="151"/>
      <c r="DD260" s="151"/>
      <c r="DE260" s="151"/>
      <c r="DF260" s="151"/>
      <c r="DG260" s="151"/>
      <c r="DH260" s="151"/>
      <c r="DI260" s="151"/>
      <c r="DJ260" s="129">
        <v>0</v>
      </c>
      <c r="DK260" s="129">
        <v>0</v>
      </c>
      <c r="DL260" s="129"/>
      <c r="DO260" s="129">
        <v>-1.07</v>
      </c>
      <c r="DS260" s="129"/>
      <c r="DU260" s="129" t="s">
        <v>507</v>
      </c>
      <c r="DW260" s="129">
        <f>SUM(_2025_01_07T12_47_export3[[#This Row],[Ni_wt]:[H_wt]])</f>
        <v>99.74</v>
      </c>
      <c r="DY260" s="130">
        <f>SUM($AM260:BJ260)</f>
        <v>100</v>
      </c>
    </row>
    <row r="261" spans="1:129" x14ac:dyDescent="0.25">
      <c r="A261" s="129" t="s">
        <v>517</v>
      </c>
      <c r="B261" s="129">
        <v>269</v>
      </c>
      <c r="C261" s="129" t="s">
        <v>503</v>
      </c>
      <c r="D261" s="129">
        <v>2025</v>
      </c>
      <c r="E261" s="129" t="s">
        <v>504</v>
      </c>
      <c r="F261" s="129" t="s">
        <v>505</v>
      </c>
      <c r="G261" s="129" t="s">
        <v>226</v>
      </c>
      <c r="H261" s="129">
        <v>0</v>
      </c>
      <c r="I261" s="129">
        <v>550</v>
      </c>
      <c r="J261" s="129">
        <v>720</v>
      </c>
      <c r="K261" s="129" t="s">
        <v>233</v>
      </c>
      <c r="L261" s="129" t="s">
        <v>291</v>
      </c>
      <c r="N261" s="131"/>
      <c r="O261" s="130">
        <v>78.53</v>
      </c>
      <c r="P261" s="130">
        <v>5.96</v>
      </c>
      <c r="Q261" s="130">
        <v>14.51</v>
      </c>
      <c r="R261" s="130">
        <v>0.97</v>
      </c>
      <c r="S261" s="130"/>
      <c r="T261" s="130"/>
      <c r="U261" s="130"/>
      <c r="V261" s="130"/>
      <c r="W261" s="130"/>
      <c r="X261" s="130"/>
      <c r="Y261" s="130"/>
      <c r="Z261" s="130"/>
      <c r="AA261" s="130"/>
      <c r="AB261" s="130"/>
      <c r="AC261" s="130"/>
      <c r="AD261" s="130"/>
      <c r="AE261" s="130"/>
      <c r="AF261" s="130"/>
      <c r="AG261" s="130"/>
      <c r="AH261" s="130"/>
      <c r="AI261" s="130"/>
      <c r="AJ261" s="130"/>
      <c r="AK261" s="130"/>
      <c r="AL261" s="130"/>
      <c r="AM261" s="130">
        <f t="shared" si="100"/>
        <v>82.532367075900297</v>
      </c>
      <c r="AN261" s="130">
        <f t="shared" si="101"/>
        <v>7.0696144435639861</v>
      </c>
      <c r="AO261" s="130">
        <f t="shared" si="102"/>
        <v>9.326742494002497</v>
      </c>
      <c r="AP261" s="130">
        <f t="shared" si="103"/>
        <v>1.071275986533222</v>
      </c>
      <c r="AQ261" s="130">
        <f t="shared" si="104"/>
        <v>0</v>
      </c>
      <c r="AR261" s="130">
        <f t="shared" si="105"/>
        <v>0</v>
      </c>
      <c r="AS261" s="130">
        <f t="shared" si="106"/>
        <v>0</v>
      </c>
      <c r="AT261" s="130">
        <f t="shared" si="107"/>
        <v>0</v>
      </c>
      <c r="AU261" s="130">
        <f t="shared" si="108"/>
        <v>0</v>
      </c>
      <c r="AV261" s="130">
        <f t="shared" si="109"/>
        <v>0</v>
      </c>
      <c r="AW261" s="130">
        <f t="shared" si="110"/>
        <v>0</v>
      </c>
      <c r="AX261" s="130">
        <f t="shared" si="111"/>
        <v>0</v>
      </c>
      <c r="AY261" s="130">
        <f t="shared" si="112"/>
        <v>0</v>
      </c>
      <c r="AZ261" s="130">
        <f t="shared" si="113"/>
        <v>0</v>
      </c>
      <c r="BA261" s="130">
        <f t="shared" si="114"/>
        <v>0</v>
      </c>
      <c r="BB261" s="130">
        <f t="shared" si="115"/>
        <v>0</v>
      </c>
      <c r="BC261" s="130">
        <f t="shared" si="116"/>
        <v>0</v>
      </c>
      <c r="BD261" s="130">
        <f t="shared" si="117"/>
        <v>0</v>
      </c>
      <c r="BE261" s="130">
        <f t="shared" si="118"/>
        <v>0</v>
      </c>
      <c r="BF261" s="130">
        <f t="shared" si="119"/>
        <v>0</v>
      </c>
      <c r="BG261" s="130">
        <f t="shared" si="120"/>
        <v>0</v>
      </c>
      <c r="BH261" s="130">
        <f t="shared" si="121"/>
        <v>0</v>
      </c>
      <c r="BI261" s="130">
        <f t="shared" si="122"/>
        <v>0</v>
      </c>
      <c r="BJ261" s="130">
        <f t="shared" si="123"/>
        <v>0</v>
      </c>
      <c r="BK261" s="130">
        <f t="shared" si="124"/>
        <v>-128.36195286336186</v>
      </c>
      <c r="BL261" s="130">
        <f>IF($K261=$L261,$BK261,IF(OR($K261="graphite",$K261="vitreous carbon"),$BK$406+($BM$389+$I261)*$BJ$406,IF($K261="Pyrolytic Boron Nitride","PBN",IF(COUNTIF($BH$396:$BH$416,$K261)&gt;0,VLOOKUP($K261,$BH$396:$BK$416,4,FALSE)+($BM$389+$I261)*VLOOKUP($K261,$BH$396:$BK$416,3,FALSE),IF(COUNTIF($L$2:$L260,$K261)&gt;0,VLOOKUP($K261,$L$2:$BK260,52,FALSE),"idk")))))</f>
        <v>-66.237592947441144</v>
      </c>
      <c r="BM261" s="129">
        <v>30</v>
      </c>
      <c r="BN261" s="129">
        <v>15</v>
      </c>
      <c r="BO261" s="129">
        <v>1</v>
      </c>
      <c r="BP261" s="129" t="s">
        <v>506</v>
      </c>
      <c r="BQ261" s="129"/>
      <c r="BR261" s="129" t="s">
        <v>247</v>
      </c>
      <c r="BS261" s="129"/>
      <c r="BT261" s="129">
        <v>0</v>
      </c>
      <c r="BV261" s="129"/>
      <c r="BZ261" s="130"/>
      <c r="CA261" s="130"/>
      <c r="CB261" s="130"/>
      <c r="CI261" s="151"/>
      <c r="CJ261" s="151"/>
      <c r="CK261" s="151"/>
      <c r="CL261" s="151"/>
      <c r="CM261" s="151"/>
      <c r="CN261" s="151"/>
      <c r="CO261" s="151"/>
      <c r="CP261" s="151"/>
      <c r="CQ261" s="151"/>
      <c r="CR261" s="151"/>
      <c r="CS261" s="151"/>
      <c r="CT261" s="151"/>
      <c r="CU261" s="151"/>
      <c r="CV261" s="151"/>
      <c r="CW261" s="151"/>
      <c r="CX261" s="151"/>
      <c r="CY261" s="151"/>
      <c r="CZ261" s="151"/>
      <c r="DA261" s="151"/>
      <c r="DB261" s="151"/>
      <c r="DC261" s="151"/>
      <c r="DD261" s="151"/>
      <c r="DE261" s="151"/>
      <c r="DF261" s="151"/>
      <c r="DG261" s="151"/>
      <c r="DH261" s="151"/>
      <c r="DI261" s="151"/>
      <c r="DJ261" s="129">
        <v>0</v>
      </c>
      <c r="DK261" s="129">
        <v>0</v>
      </c>
      <c r="DL261" s="129"/>
      <c r="DO261" s="129">
        <v>-0.32</v>
      </c>
      <c r="DS261" s="129"/>
      <c r="DU261" s="129" t="s">
        <v>507</v>
      </c>
      <c r="DW261" s="129">
        <f>SUM(_2025_01_07T12_47_export3[[#This Row],[Ni_wt]:[H_wt]])</f>
        <v>99.97</v>
      </c>
      <c r="DY261" s="130">
        <f>SUM($AM261:BJ261)</f>
        <v>100.00000000000001</v>
      </c>
    </row>
    <row r="262" spans="1:129" x14ac:dyDescent="0.25">
      <c r="A262" s="129" t="s">
        <v>517</v>
      </c>
      <c r="B262" s="129">
        <v>270</v>
      </c>
      <c r="C262" s="129" t="s">
        <v>503</v>
      </c>
      <c r="D262" s="129">
        <v>2025</v>
      </c>
      <c r="E262" s="129" t="s">
        <v>504</v>
      </c>
      <c r="F262" s="129" t="s">
        <v>505</v>
      </c>
      <c r="G262" s="129" t="s">
        <v>226</v>
      </c>
      <c r="H262" s="129">
        <v>0</v>
      </c>
      <c r="I262" s="129">
        <v>700</v>
      </c>
      <c r="J262" s="129">
        <v>720</v>
      </c>
      <c r="K262" s="129" t="s">
        <v>233</v>
      </c>
      <c r="L262" s="129" t="s">
        <v>291</v>
      </c>
      <c r="N262" s="131"/>
      <c r="O262" s="130">
        <v>78.53</v>
      </c>
      <c r="P262" s="130">
        <v>5.96</v>
      </c>
      <c r="Q262" s="130">
        <v>14.51</v>
      </c>
      <c r="R262" s="130">
        <v>0.97</v>
      </c>
      <c r="S262" s="130"/>
      <c r="T262" s="130"/>
      <c r="U262" s="130"/>
      <c r="V262" s="130"/>
      <c r="W262" s="130"/>
      <c r="X262" s="130"/>
      <c r="Y262" s="130"/>
      <c r="Z262" s="130"/>
      <c r="AA262" s="130"/>
      <c r="AB262" s="130"/>
      <c r="AC262" s="130"/>
      <c r="AD262" s="130"/>
      <c r="AE262" s="130"/>
      <c r="AF262" s="130"/>
      <c r="AG262" s="130"/>
      <c r="AH262" s="130"/>
      <c r="AI262" s="130"/>
      <c r="AJ262" s="130"/>
      <c r="AK262" s="130"/>
      <c r="AL262" s="130"/>
      <c r="AM262" s="130">
        <f t="shared" si="100"/>
        <v>82.532367075900297</v>
      </c>
      <c r="AN262" s="130">
        <f t="shared" si="101"/>
        <v>7.0696144435639861</v>
      </c>
      <c r="AO262" s="130">
        <f t="shared" si="102"/>
        <v>9.326742494002497</v>
      </c>
      <c r="AP262" s="130">
        <f t="shared" si="103"/>
        <v>1.071275986533222</v>
      </c>
      <c r="AQ262" s="130">
        <f t="shared" si="104"/>
        <v>0</v>
      </c>
      <c r="AR262" s="130">
        <f t="shared" si="105"/>
        <v>0</v>
      </c>
      <c r="AS262" s="130">
        <f t="shared" si="106"/>
        <v>0</v>
      </c>
      <c r="AT262" s="130">
        <f t="shared" si="107"/>
        <v>0</v>
      </c>
      <c r="AU262" s="130">
        <f t="shared" si="108"/>
        <v>0</v>
      </c>
      <c r="AV262" s="130">
        <f t="shared" si="109"/>
        <v>0</v>
      </c>
      <c r="AW262" s="130">
        <f t="shared" si="110"/>
        <v>0</v>
      </c>
      <c r="AX262" s="130">
        <f t="shared" si="111"/>
        <v>0</v>
      </c>
      <c r="AY262" s="130">
        <f t="shared" si="112"/>
        <v>0</v>
      </c>
      <c r="AZ262" s="130">
        <f t="shared" si="113"/>
        <v>0</v>
      </c>
      <c r="BA262" s="130">
        <f t="shared" si="114"/>
        <v>0</v>
      </c>
      <c r="BB262" s="130">
        <f t="shared" si="115"/>
        <v>0</v>
      </c>
      <c r="BC262" s="130">
        <f t="shared" si="116"/>
        <v>0</v>
      </c>
      <c r="BD262" s="130">
        <f t="shared" si="117"/>
        <v>0</v>
      </c>
      <c r="BE262" s="130">
        <f t="shared" si="118"/>
        <v>0</v>
      </c>
      <c r="BF262" s="130">
        <f t="shared" si="119"/>
        <v>0</v>
      </c>
      <c r="BG262" s="130">
        <f t="shared" si="120"/>
        <v>0</v>
      </c>
      <c r="BH262" s="130">
        <f t="shared" si="121"/>
        <v>0</v>
      </c>
      <c r="BI262" s="130">
        <f t="shared" si="122"/>
        <v>0</v>
      </c>
      <c r="BJ262" s="130">
        <f t="shared" si="123"/>
        <v>0</v>
      </c>
      <c r="BK262" s="130">
        <f t="shared" si="124"/>
        <v>-123.24675502491971</v>
      </c>
      <c r="BL262" s="130">
        <f>IF($K262=$L262,$BK262,IF(OR($K262="graphite",$K262="vitreous carbon"),$BK$406+($BM$389+$I262)*$BJ$406,IF($K262="Pyrolytic Boron Nitride","PBN",IF(COUNTIF($BH$396:$BH$416,$K262)&gt;0,VLOOKUP($K262,$BH$396:$BK$416,4,FALSE)+($BM$389+$I262)*VLOOKUP($K262,$BH$396:$BK$416,3,FALSE),IF(COUNTIF($L$2:$L261,$K262)&gt;0,VLOOKUP($K262,$L$2:$BK261,52,FALSE),"idk")))))</f>
        <v>-63.529671587210359</v>
      </c>
      <c r="BM262" s="129">
        <v>30</v>
      </c>
      <c r="BN262" s="129">
        <v>15</v>
      </c>
      <c r="BO262" s="129">
        <v>1</v>
      </c>
      <c r="BP262" s="129" t="s">
        <v>506</v>
      </c>
      <c r="BQ262" s="129"/>
      <c r="BR262" s="129" t="s">
        <v>247</v>
      </c>
      <c r="BS262" s="129"/>
      <c r="BT262" s="129">
        <v>0</v>
      </c>
      <c r="BV262" s="129"/>
      <c r="BZ262" s="130"/>
      <c r="CA262" s="130"/>
      <c r="CB262" s="130"/>
      <c r="CI262" s="151"/>
      <c r="CJ262" s="151"/>
      <c r="CK262" s="151"/>
      <c r="CL262" s="151"/>
      <c r="CM262" s="151"/>
      <c r="CN262" s="151"/>
      <c r="CO262" s="151"/>
      <c r="CP262" s="151"/>
      <c r="CQ262" s="151"/>
      <c r="CR262" s="151"/>
      <c r="CS262" s="151"/>
      <c r="CT262" s="151"/>
      <c r="CU262" s="151"/>
      <c r="CV262" s="151"/>
      <c r="CW262" s="151"/>
      <c r="CX262" s="151"/>
      <c r="CY262" s="151"/>
      <c r="CZ262" s="151"/>
      <c r="DA262" s="151"/>
      <c r="DB262" s="151"/>
      <c r="DC262" s="151"/>
      <c r="DD262" s="151"/>
      <c r="DE262" s="151"/>
      <c r="DF262" s="151"/>
      <c r="DG262" s="151"/>
      <c r="DH262" s="151"/>
      <c r="DI262" s="151"/>
      <c r="DJ262" s="129">
        <v>0</v>
      </c>
      <c r="DK262" s="129">
        <v>0</v>
      </c>
      <c r="DL262" s="129"/>
      <c r="DO262" s="129">
        <v>-0.73</v>
      </c>
      <c r="DS262" s="129"/>
      <c r="DU262" s="129" t="s">
        <v>507</v>
      </c>
      <c r="DW262" s="129">
        <f>SUM(_2025_01_07T12_47_export3[[#This Row],[Ni_wt]:[H_wt]])</f>
        <v>99.97</v>
      </c>
      <c r="DY262" s="130">
        <f>SUM($AM262:BJ262)</f>
        <v>100.00000000000001</v>
      </c>
    </row>
    <row r="263" spans="1:129" x14ac:dyDescent="0.25">
      <c r="A263" s="238" t="s">
        <v>517</v>
      </c>
      <c r="B263" s="238">
        <v>271</v>
      </c>
      <c r="C263" s="238" t="s">
        <v>503</v>
      </c>
      <c r="D263" s="238">
        <v>2025</v>
      </c>
      <c r="E263" s="238" t="s">
        <v>504</v>
      </c>
      <c r="F263" s="238" t="s">
        <v>505</v>
      </c>
      <c r="G263" s="238" t="s">
        <v>226</v>
      </c>
      <c r="H263" s="238">
        <v>0</v>
      </c>
      <c r="I263" s="238">
        <v>550</v>
      </c>
      <c r="J263" s="238">
        <v>2160</v>
      </c>
      <c r="K263" s="238" t="s">
        <v>233</v>
      </c>
      <c r="L263" s="238" t="s">
        <v>291</v>
      </c>
      <c r="M263" s="238"/>
      <c r="N263" s="243"/>
      <c r="O263" s="239">
        <v>78.53</v>
      </c>
      <c r="P263" s="239">
        <v>5.96</v>
      </c>
      <c r="Q263" s="239">
        <v>14.51</v>
      </c>
      <c r="R263" s="239">
        <v>0.97</v>
      </c>
      <c r="S263" s="239"/>
      <c r="T263" s="239"/>
      <c r="U263" s="239"/>
      <c r="V263" s="239"/>
      <c r="W263" s="239"/>
      <c r="X263" s="239"/>
      <c r="Y263" s="239"/>
      <c r="Z263" s="239"/>
      <c r="AA263" s="239"/>
      <c r="AB263" s="239"/>
      <c r="AC263" s="239"/>
      <c r="AD263" s="239"/>
      <c r="AE263" s="239"/>
      <c r="AF263" s="239"/>
      <c r="AG263" s="239"/>
      <c r="AH263" s="239"/>
      <c r="AI263" s="239"/>
      <c r="AJ263" s="239"/>
      <c r="AK263" s="239"/>
      <c r="AL263" s="239"/>
      <c r="AM263" s="239">
        <f t="shared" si="100"/>
        <v>82.532367075900297</v>
      </c>
      <c r="AN263" s="239">
        <f t="shared" si="101"/>
        <v>7.0696144435639861</v>
      </c>
      <c r="AO263" s="239">
        <f t="shared" si="102"/>
        <v>9.326742494002497</v>
      </c>
      <c r="AP263" s="239">
        <f t="shared" si="103"/>
        <v>1.071275986533222</v>
      </c>
      <c r="AQ263" s="239">
        <f t="shared" si="104"/>
        <v>0</v>
      </c>
      <c r="AR263" s="239">
        <f t="shared" si="105"/>
        <v>0</v>
      </c>
      <c r="AS263" s="239">
        <f t="shared" si="106"/>
        <v>0</v>
      </c>
      <c r="AT263" s="239">
        <f t="shared" si="107"/>
        <v>0</v>
      </c>
      <c r="AU263" s="239">
        <f t="shared" si="108"/>
        <v>0</v>
      </c>
      <c r="AV263" s="239">
        <f t="shared" si="109"/>
        <v>0</v>
      </c>
      <c r="AW263" s="239">
        <f t="shared" si="110"/>
        <v>0</v>
      </c>
      <c r="AX263" s="239">
        <f t="shared" si="111"/>
        <v>0</v>
      </c>
      <c r="AY263" s="239">
        <f t="shared" si="112"/>
        <v>0</v>
      </c>
      <c r="AZ263" s="239">
        <f t="shared" si="113"/>
        <v>0</v>
      </c>
      <c r="BA263" s="239">
        <f t="shared" si="114"/>
        <v>0</v>
      </c>
      <c r="BB263" s="239">
        <f t="shared" si="115"/>
        <v>0</v>
      </c>
      <c r="BC263" s="239">
        <f t="shared" si="116"/>
        <v>0</v>
      </c>
      <c r="BD263" s="239">
        <f t="shared" si="117"/>
        <v>0</v>
      </c>
      <c r="BE263" s="239">
        <f t="shared" si="118"/>
        <v>0</v>
      </c>
      <c r="BF263" s="239">
        <f t="shared" si="119"/>
        <v>0</v>
      </c>
      <c r="BG263" s="239">
        <f t="shared" si="120"/>
        <v>0</v>
      </c>
      <c r="BH263" s="239">
        <f t="shared" si="121"/>
        <v>0</v>
      </c>
      <c r="BI263" s="239">
        <f t="shared" si="122"/>
        <v>0</v>
      </c>
      <c r="BJ263" s="239">
        <f t="shared" si="123"/>
        <v>0</v>
      </c>
      <c r="BK263" s="239">
        <f t="shared" si="124"/>
        <v>-128.36195286336186</v>
      </c>
      <c r="BL263" s="239">
        <f>IF($K263=$L263,$BK263,IF(OR($K263="graphite",$K263="vitreous carbon"),$BK$406+($BM$389+$I263)*$BJ$406,IF($K263="Pyrolytic Boron Nitride","PBN",IF(COUNTIF($BH$396:$BH$416,$K263)&gt;0,VLOOKUP($K263,$BH$396:$BK$416,4,FALSE)+($BM$389+$I263)*VLOOKUP($K263,$BH$396:$BK$416,3,FALSE),IF(COUNTIF($L$2:$L262,$K263)&gt;0,VLOOKUP($K263,$L$2:$BK262,52,FALSE),"idk")))))</f>
        <v>-66.237592947441144</v>
      </c>
      <c r="BM263" s="238">
        <v>30</v>
      </c>
      <c r="BN263" s="238">
        <v>15</v>
      </c>
      <c r="BO263" s="238">
        <v>1</v>
      </c>
      <c r="BP263" s="238" t="s">
        <v>506</v>
      </c>
      <c r="BQ263" s="238"/>
      <c r="BR263" s="238" t="s">
        <v>247</v>
      </c>
      <c r="BS263" s="238"/>
      <c r="BT263" s="238">
        <v>0</v>
      </c>
      <c r="BU263" s="238"/>
      <c r="BV263" s="238"/>
      <c r="BW263" s="238"/>
      <c r="BX263" s="238"/>
      <c r="BY263" s="238"/>
      <c r="BZ263" s="239"/>
      <c r="CA263" s="239"/>
      <c r="CB263" s="239"/>
      <c r="CC263" s="238"/>
      <c r="CD263" s="238"/>
      <c r="CE263" s="238"/>
      <c r="CF263" s="238"/>
      <c r="CG263" s="238"/>
      <c r="CH263" s="238"/>
      <c r="CI263" s="240"/>
      <c r="CJ263" s="240"/>
      <c r="CK263" s="240"/>
      <c r="CL263" s="240"/>
      <c r="CM263" s="240"/>
      <c r="CN263" s="240"/>
      <c r="CO263" s="240"/>
      <c r="CP263" s="240"/>
      <c r="CQ263" s="240"/>
      <c r="CR263" s="240"/>
      <c r="CS263" s="240"/>
      <c r="CT263" s="240"/>
      <c r="CU263" s="240"/>
      <c r="CV263" s="240"/>
      <c r="CW263" s="240"/>
      <c r="CX263" s="240"/>
      <c r="CY263" s="240"/>
      <c r="CZ263" s="240"/>
      <c r="DA263" s="240"/>
      <c r="DB263" s="240"/>
      <c r="DC263" s="240"/>
      <c r="DD263" s="240"/>
      <c r="DE263" s="240"/>
      <c r="DF263" s="240"/>
      <c r="DG263" s="240"/>
      <c r="DH263" s="240"/>
      <c r="DI263" s="240"/>
      <c r="DJ263" s="238">
        <v>0</v>
      </c>
      <c r="DK263" s="238">
        <v>0</v>
      </c>
      <c r="DL263" s="238"/>
      <c r="DM263" s="238"/>
      <c r="DN263" s="238"/>
      <c r="DO263" s="238">
        <v>-0.33</v>
      </c>
      <c r="DP263" s="238"/>
      <c r="DQ263" s="238"/>
      <c r="DR263" s="238"/>
      <c r="DS263" s="238"/>
      <c r="DT263" s="238"/>
      <c r="DU263" s="238" t="s">
        <v>507</v>
      </c>
      <c r="DW263" s="129">
        <f>SUM(_2025_01_07T12_47_export3[[#This Row],[Ni_wt]:[H_wt]])</f>
        <v>99.97</v>
      </c>
      <c r="DY263" s="130">
        <f>SUM($AM263:BJ263)</f>
        <v>100.00000000000001</v>
      </c>
    </row>
    <row r="264" spans="1:129" ht="16.5" thickBot="1" x14ac:dyDescent="0.3">
      <c r="A264" s="136" t="s">
        <v>517</v>
      </c>
      <c r="B264" s="136">
        <v>272</v>
      </c>
      <c r="C264" s="136" t="s">
        <v>503</v>
      </c>
      <c r="D264" s="136">
        <v>2025</v>
      </c>
      <c r="E264" s="136" t="s">
        <v>504</v>
      </c>
      <c r="F264" s="136" t="s">
        <v>505</v>
      </c>
      <c r="G264" s="136" t="s">
        <v>226</v>
      </c>
      <c r="H264" s="136">
        <v>0</v>
      </c>
      <c r="I264" s="136">
        <v>700</v>
      </c>
      <c r="J264" s="136">
        <v>2160</v>
      </c>
      <c r="K264" s="136" t="s">
        <v>233</v>
      </c>
      <c r="L264" s="136" t="s">
        <v>291</v>
      </c>
      <c r="M264" s="136"/>
      <c r="N264" s="139"/>
      <c r="O264" s="137">
        <v>78.53</v>
      </c>
      <c r="P264" s="137">
        <v>5.96</v>
      </c>
      <c r="Q264" s="137">
        <v>14.51</v>
      </c>
      <c r="R264" s="137">
        <v>0.97</v>
      </c>
      <c r="S264" s="137"/>
      <c r="T264" s="137"/>
      <c r="U264" s="137"/>
      <c r="V264" s="137"/>
      <c r="W264" s="137"/>
      <c r="X264" s="137"/>
      <c r="Y264" s="137"/>
      <c r="Z264" s="137"/>
      <c r="AA264" s="137"/>
      <c r="AB264" s="137"/>
      <c r="AC264" s="137"/>
      <c r="AD264" s="137"/>
      <c r="AE264" s="137"/>
      <c r="AF264" s="137"/>
      <c r="AG264" s="137"/>
      <c r="AH264" s="137"/>
      <c r="AI264" s="137"/>
      <c r="AJ264" s="137"/>
      <c r="AK264" s="137"/>
      <c r="AL264" s="137"/>
      <c r="AM264" s="137">
        <f t="shared" si="100"/>
        <v>82.532367075900297</v>
      </c>
      <c r="AN264" s="137">
        <f t="shared" si="101"/>
        <v>7.0696144435639861</v>
      </c>
      <c r="AO264" s="137">
        <f t="shared" si="102"/>
        <v>9.326742494002497</v>
      </c>
      <c r="AP264" s="137">
        <f t="shared" si="103"/>
        <v>1.071275986533222</v>
      </c>
      <c r="AQ264" s="137">
        <f t="shared" si="104"/>
        <v>0</v>
      </c>
      <c r="AR264" s="137">
        <f t="shared" si="105"/>
        <v>0</v>
      </c>
      <c r="AS264" s="137">
        <f t="shared" si="106"/>
        <v>0</v>
      </c>
      <c r="AT264" s="137">
        <f t="shared" si="107"/>
        <v>0</v>
      </c>
      <c r="AU264" s="137">
        <f t="shared" si="108"/>
        <v>0</v>
      </c>
      <c r="AV264" s="137">
        <f t="shared" si="109"/>
        <v>0</v>
      </c>
      <c r="AW264" s="137">
        <f t="shared" si="110"/>
        <v>0</v>
      </c>
      <c r="AX264" s="137">
        <f t="shared" si="111"/>
        <v>0</v>
      </c>
      <c r="AY264" s="137">
        <f t="shared" si="112"/>
        <v>0</v>
      </c>
      <c r="AZ264" s="137">
        <f t="shared" si="113"/>
        <v>0</v>
      </c>
      <c r="BA264" s="137">
        <f t="shared" si="114"/>
        <v>0</v>
      </c>
      <c r="BB264" s="137">
        <f t="shared" si="115"/>
        <v>0</v>
      </c>
      <c r="BC264" s="137">
        <f t="shared" si="116"/>
        <v>0</v>
      </c>
      <c r="BD264" s="137">
        <f t="shared" si="117"/>
        <v>0</v>
      </c>
      <c r="BE264" s="137">
        <f t="shared" si="118"/>
        <v>0</v>
      </c>
      <c r="BF264" s="137">
        <f t="shared" si="119"/>
        <v>0</v>
      </c>
      <c r="BG264" s="137">
        <f t="shared" si="120"/>
        <v>0</v>
      </c>
      <c r="BH264" s="137">
        <f t="shared" si="121"/>
        <v>0</v>
      </c>
      <c r="BI264" s="137">
        <f t="shared" si="122"/>
        <v>0</v>
      </c>
      <c r="BJ264" s="137">
        <f t="shared" si="123"/>
        <v>0</v>
      </c>
      <c r="BK264" s="137">
        <f t="shared" si="124"/>
        <v>-123.24675502491971</v>
      </c>
      <c r="BL264" s="137">
        <f>IF($K264=$L264,$BK264,IF(OR($K264="graphite",$K264="vitreous carbon"),$BK$406+($BM$389+$I264)*$BJ$406,IF($K264="Pyrolytic Boron Nitride","PBN",IF(COUNTIF($BH$396:$BH$416,$K264)&gt;0,VLOOKUP($K264,$BH$396:$BK$416,4,FALSE)+($BM$389+$I264)*VLOOKUP($K264,$BH$396:$BK$416,3,FALSE),IF(COUNTIF($L$2:$L263,$K264)&gt;0,VLOOKUP($K264,$L$2:$BK263,52,FALSE),"idk")))))</f>
        <v>-63.529671587210359</v>
      </c>
      <c r="BM264" s="136">
        <v>30</v>
      </c>
      <c r="BN264" s="136">
        <v>15</v>
      </c>
      <c r="BO264" s="136">
        <v>1</v>
      </c>
      <c r="BP264" s="136" t="s">
        <v>506</v>
      </c>
      <c r="BQ264" s="136"/>
      <c r="BR264" s="136" t="s">
        <v>247</v>
      </c>
      <c r="BS264" s="136"/>
      <c r="BT264" s="136">
        <v>0</v>
      </c>
      <c r="BU264" s="136"/>
      <c r="BV264" s="136"/>
      <c r="BW264" s="136"/>
      <c r="BX264" s="136"/>
      <c r="BY264" s="136"/>
      <c r="BZ264" s="137"/>
      <c r="CA264" s="137"/>
      <c r="CB264" s="137"/>
      <c r="CC264" s="136"/>
      <c r="CD264" s="136"/>
      <c r="CE264" s="136"/>
      <c r="CF264" s="136"/>
      <c r="CG264" s="136"/>
      <c r="CH264" s="136"/>
      <c r="CI264" s="152"/>
      <c r="CJ264" s="152"/>
      <c r="CK264" s="152"/>
      <c r="CL264" s="152"/>
      <c r="CM264" s="152"/>
      <c r="CN264" s="152"/>
      <c r="CO264" s="152"/>
      <c r="CP264" s="152"/>
      <c r="CQ264" s="152"/>
      <c r="CR264" s="152"/>
      <c r="CS264" s="152"/>
      <c r="CT264" s="152"/>
      <c r="CU264" s="152"/>
      <c r="CV264" s="152"/>
      <c r="CW264" s="152"/>
      <c r="CX264" s="152"/>
      <c r="CY264" s="152"/>
      <c r="CZ264" s="152"/>
      <c r="DA264" s="152"/>
      <c r="DB264" s="152"/>
      <c r="DC264" s="152"/>
      <c r="DD264" s="152"/>
      <c r="DE264" s="152"/>
      <c r="DF264" s="152"/>
      <c r="DG264" s="152"/>
      <c r="DH264" s="152"/>
      <c r="DI264" s="152"/>
      <c r="DJ264" s="136">
        <v>0</v>
      </c>
      <c r="DK264" s="136">
        <v>0</v>
      </c>
      <c r="DL264" s="136"/>
      <c r="DM264" s="136"/>
      <c r="DN264" s="136"/>
      <c r="DO264" s="136">
        <v>-0.9</v>
      </c>
      <c r="DP264" s="136"/>
      <c r="DQ264" s="136"/>
      <c r="DR264" s="136"/>
      <c r="DS264" s="136"/>
      <c r="DT264" s="136"/>
      <c r="DU264" s="136" t="s">
        <v>507</v>
      </c>
      <c r="DW264" s="129">
        <f>SUM(_2025_01_07T12_47_export3[[#This Row],[Ni_wt]:[H_wt]])</f>
        <v>99.97</v>
      </c>
      <c r="DY264" s="130">
        <f>SUM($AM264:BJ264)</f>
        <v>100.00000000000001</v>
      </c>
    </row>
    <row r="265" spans="1:129" ht="15.75" customHeight="1" thickBot="1" x14ac:dyDescent="0.3">
      <c r="A265" s="142" t="s">
        <v>518</v>
      </c>
      <c r="B265" s="142">
        <v>273</v>
      </c>
      <c r="C265" s="142" t="s">
        <v>519</v>
      </c>
      <c r="D265" s="142">
        <v>2024</v>
      </c>
      <c r="E265" s="142" t="s">
        <v>450</v>
      </c>
      <c r="F265" s="142" t="s">
        <v>520</v>
      </c>
      <c r="G265" s="142" t="s">
        <v>226</v>
      </c>
      <c r="H265" s="142">
        <v>0</v>
      </c>
      <c r="I265" s="142">
        <v>700</v>
      </c>
      <c r="J265" s="142">
        <v>48</v>
      </c>
      <c r="K265" s="142" t="s">
        <v>48</v>
      </c>
      <c r="L265" s="142" t="s">
        <v>521</v>
      </c>
      <c r="M265" s="142"/>
      <c r="N265" s="142">
        <v>7980000</v>
      </c>
      <c r="O265" s="144">
        <v>14</v>
      </c>
      <c r="P265" s="144">
        <v>18</v>
      </c>
      <c r="Q265" s="144">
        <v>3</v>
      </c>
      <c r="R265" s="144">
        <f>100-SUM(_2025_01_07T12_47_export3[[#This Row],[Ni_wt]:[Mo_wt]],_2025_01_07T12_47_export3[[#This Row],[W_wt]:[H_wt]])</f>
        <v>61.994999999999997</v>
      </c>
      <c r="S265" s="144"/>
      <c r="T265" s="144"/>
      <c r="U265" s="144">
        <v>2</v>
      </c>
      <c r="V265" s="144"/>
      <c r="W265" s="144"/>
      <c r="X265" s="144">
        <v>0.75</v>
      </c>
      <c r="Y265" s="144">
        <v>0.08</v>
      </c>
      <c r="Z265" s="144"/>
      <c r="AA265" s="144"/>
      <c r="AB265" s="144"/>
      <c r="AC265" s="144">
        <v>4.4999999999999998E-2</v>
      </c>
      <c r="AD265" s="144">
        <v>0.03</v>
      </c>
      <c r="AE265" s="144"/>
      <c r="AF265" s="144"/>
      <c r="AG265" s="144"/>
      <c r="AH265" s="144"/>
      <c r="AI265" s="144"/>
      <c r="AJ265" s="144">
        <v>0.1</v>
      </c>
      <c r="AK265" s="144"/>
      <c r="AL265" s="144"/>
      <c r="AM265" s="144">
        <f t="shared" si="100"/>
        <v>13.213575899022317</v>
      </c>
      <c r="AN265" s="144">
        <f t="shared" si="101"/>
        <v>19.174568476985101</v>
      </c>
      <c r="AO265" s="144">
        <f t="shared" si="102"/>
        <v>1.7317589981992936</v>
      </c>
      <c r="AP265" s="144">
        <f t="shared" si="103"/>
        <v>61.487937314230535</v>
      </c>
      <c r="AQ265" s="144">
        <f t="shared" si="104"/>
        <v>0</v>
      </c>
      <c r="AR265" s="144">
        <f t="shared" si="105"/>
        <v>0</v>
      </c>
      <c r="AS265" s="144">
        <f t="shared" si="106"/>
        <v>2.0164979185439171</v>
      </c>
      <c r="AT265" s="144">
        <f t="shared" si="107"/>
        <v>0</v>
      </c>
      <c r="AU265" s="144">
        <f t="shared" si="108"/>
        <v>0</v>
      </c>
      <c r="AV265" s="144">
        <f t="shared" si="109"/>
        <v>1.4789924658882541</v>
      </c>
      <c r="AW265" s="144">
        <f t="shared" si="110"/>
        <v>0.36898050173123337</v>
      </c>
      <c r="AX265" s="144">
        <f t="shared" si="111"/>
        <v>0</v>
      </c>
      <c r="AY265" s="144">
        <f t="shared" si="112"/>
        <v>0</v>
      </c>
      <c r="AZ265" s="144">
        <f t="shared" si="113"/>
        <v>0</v>
      </c>
      <c r="BA265" s="144">
        <f t="shared" si="114"/>
        <v>8.0487371714822828E-2</v>
      </c>
      <c r="BB265" s="144">
        <f t="shared" si="115"/>
        <v>5.1817771583163148E-2</v>
      </c>
      <c r="BC265" s="144">
        <f t="shared" si="116"/>
        <v>0</v>
      </c>
      <c r="BD265" s="144">
        <f t="shared" si="117"/>
        <v>0</v>
      </c>
      <c r="BE265" s="144">
        <f t="shared" si="118"/>
        <v>0</v>
      </c>
      <c r="BF265" s="144">
        <f t="shared" si="119"/>
        <v>0</v>
      </c>
      <c r="BG265" s="144">
        <f t="shared" si="120"/>
        <v>0</v>
      </c>
      <c r="BH265" s="144">
        <f t="shared" si="121"/>
        <v>0.39538328210136631</v>
      </c>
      <c r="BI265" s="144">
        <f t="shared" si="122"/>
        <v>0</v>
      </c>
      <c r="BJ265" s="144">
        <f t="shared" si="123"/>
        <v>0</v>
      </c>
      <c r="BK265" s="144">
        <f t="shared" si="124"/>
        <v>-137.03084647161592</v>
      </c>
      <c r="BL265" s="144">
        <f>IF($K265=$L265,$BK265,IF(OR($K265="graphite",$K265="vitreous carbon"),$BK$406+($BM$389+$I265)*$BJ$406,IF($K265="Pyrolytic Boron Nitride","PBN",IF(COUNTIF($BH$396:$BH$416,$K265)&gt;0,VLOOKUP($K265,$BH$396:$BK$416,4,FALSE)+($BM$389+$I265)*VLOOKUP($K265,$BH$396:$BK$416,3,FALSE),IF(COUNTIF($L$2:$L264,$K265)&gt;0,VLOOKUP($K265,$L$2:$BK264,52,FALSE),"idk")))))</f>
        <v>-121.74823772574202</v>
      </c>
      <c r="BM265" s="142"/>
      <c r="BN265" s="142"/>
      <c r="BO265" s="142"/>
      <c r="BP265" s="142" t="s">
        <v>245</v>
      </c>
      <c r="BQ265" s="142"/>
      <c r="BR265" s="142" t="s">
        <v>247</v>
      </c>
      <c r="BS265" s="142"/>
      <c r="BT265" s="142">
        <v>0</v>
      </c>
      <c r="BU265" s="142"/>
      <c r="BV265" s="142"/>
      <c r="BW265" s="142"/>
      <c r="BX265" s="142"/>
      <c r="BY265" s="142"/>
      <c r="BZ265" s="142"/>
      <c r="CA265" s="142"/>
      <c r="CB265" s="142"/>
      <c r="CC265" s="142"/>
      <c r="CD265" s="142"/>
      <c r="CE265" s="142"/>
      <c r="CF265" s="142"/>
      <c r="CG265" s="142"/>
      <c r="CH265" s="142"/>
      <c r="CI265" s="142"/>
      <c r="CJ265" s="142"/>
      <c r="CK265" s="142"/>
      <c r="CL265" s="142"/>
      <c r="CM265" s="142"/>
      <c r="CN265" s="142"/>
      <c r="CO265" s="142"/>
      <c r="CP265" s="142"/>
      <c r="CQ265" s="142"/>
      <c r="CR265" s="144"/>
      <c r="CS265" s="144"/>
      <c r="CT265" s="144"/>
      <c r="CU265" s="142"/>
      <c r="CV265" s="142"/>
      <c r="CW265" s="142"/>
      <c r="CX265" s="142"/>
      <c r="CY265" s="142"/>
      <c r="CZ265" s="142"/>
      <c r="DA265" s="142"/>
      <c r="DB265" s="142"/>
      <c r="DC265" s="142"/>
      <c r="DD265" s="142"/>
      <c r="DE265" s="142"/>
      <c r="DF265" s="142"/>
      <c r="DG265" s="142"/>
      <c r="DH265" s="142"/>
      <c r="DI265" s="142"/>
      <c r="DJ265" s="142">
        <v>0</v>
      </c>
      <c r="DK265" s="142">
        <v>0</v>
      </c>
      <c r="DL265" s="142"/>
      <c r="DM265" s="142">
        <v>-20.100000000000001</v>
      </c>
      <c r="DN265" s="142"/>
      <c r="DO265" s="142"/>
      <c r="DP265" s="142"/>
      <c r="DQ265" s="142"/>
      <c r="DR265" s="142"/>
      <c r="DS265" s="142"/>
      <c r="DT265" s="145" t="s">
        <v>523</v>
      </c>
      <c r="DU265" s="142" t="s">
        <v>522</v>
      </c>
      <c r="DW265" s="129">
        <f>SUM(_2025_01_07T12_47_export3[[#This Row],[Ni_wt]:[H_wt]])</f>
        <v>100</v>
      </c>
      <c r="DY265" s="130">
        <f>SUM($AM265:BJ265)</f>
        <v>100</v>
      </c>
    </row>
    <row r="266" spans="1:129" x14ac:dyDescent="0.25">
      <c r="A266" s="129" t="s">
        <v>524</v>
      </c>
      <c r="B266" s="129">
        <v>274</v>
      </c>
      <c r="C266" s="129" t="s">
        <v>316</v>
      </c>
      <c r="D266" s="129">
        <v>2014</v>
      </c>
      <c r="E266" s="129" t="s">
        <v>525</v>
      </c>
      <c r="F266" s="129" t="s">
        <v>526</v>
      </c>
      <c r="G266" s="129" t="s">
        <v>226</v>
      </c>
      <c r="H266" s="129">
        <v>0</v>
      </c>
      <c r="I266" s="129">
        <v>700</v>
      </c>
      <c r="J266" s="129">
        <v>500</v>
      </c>
      <c r="K266" s="129" t="s">
        <v>233</v>
      </c>
      <c r="L266" s="129" t="s">
        <v>50</v>
      </c>
      <c r="N266" s="129">
        <v>8960000</v>
      </c>
      <c r="O266" s="130"/>
      <c r="P266" s="130">
        <v>99.99</v>
      </c>
      <c r="Q266" s="130"/>
      <c r="R266" s="130"/>
      <c r="S266" s="130"/>
      <c r="T266" s="130"/>
      <c r="U266" s="130"/>
      <c r="V266" s="130"/>
      <c r="W266" s="130"/>
      <c r="X266" s="130"/>
      <c r="Y266" s="130"/>
      <c r="Z266" s="130"/>
      <c r="AA266" s="130"/>
      <c r="AB266" s="130"/>
      <c r="AC266" s="130"/>
      <c r="AD266" s="130"/>
      <c r="AE266" s="130"/>
      <c r="AF266" s="130"/>
      <c r="AG266" s="130"/>
      <c r="AH266" s="130"/>
      <c r="AI266" s="130"/>
      <c r="AJ266" s="130"/>
      <c r="AK266" s="130"/>
      <c r="AL266" s="130"/>
      <c r="AM266" s="130">
        <f t="shared" si="100"/>
        <v>0</v>
      </c>
      <c r="AN266" s="130">
        <f t="shared" si="101"/>
        <v>100</v>
      </c>
      <c r="AO266" s="130">
        <f t="shared" si="102"/>
        <v>0</v>
      </c>
      <c r="AP266" s="130">
        <f t="shared" si="103"/>
        <v>0</v>
      </c>
      <c r="AQ266" s="130">
        <f t="shared" si="104"/>
        <v>0</v>
      </c>
      <c r="AR266" s="130">
        <f t="shared" si="105"/>
        <v>0</v>
      </c>
      <c r="AS266" s="130">
        <f t="shared" si="106"/>
        <v>0</v>
      </c>
      <c r="AT266" s="130">
        <f t="shared" si="107"/>
        <v>0</v>
      </c>
      <c r="AU266" s="130">
        <f t="shared" si="108"/>
        <v>0</v>
      </c>
      <c r="AV266" s="130">
        <f t="shared" si="109"/>
        <v>0</v>
      </c>
      <c r="AW266" s="130">
        <f t="shared" si="110"/>
        <v>0</v>
      </c>
      <c r="AX266" s="130">
        <f t="shared" si="111"/>
        <v>0</v>
      </c>
      <c r="AY266" s="130">
        <f t="shared" si="112"/>
        <v>0</v>
      </c>
      <c r="AZ266" s="130">
        <f t="shared" si="113"/>
        <v>0</v>
      </c>
      <c r="BA266" s="130">
        <f t="shared" si="114"/>
        <v>0</v>
      </c>
      <c r="BB266" s="130">
        <f t="shared" si="115"/>
        <v>0</v>
      </c>
      <c r="BC266" s="130">
        <f t="shared" si="116"/>
        <v>0</v>
      </c>
      <c r="BD266" s="130">
        <f t="shared" si="117"/>
        <v>0</v>
      </c>
      <c r="BE266" s="130">
        <f t="shared" si="118"/>
        <v>0</v>
      </c>
      <c r="BF266" s="130">
        <f t="shared" si="119"/>
        <v>0</v>
      </c>
      <c r="BG266" s="130">
        <f t="shared" si="120"/>
        <v>0</v>
      </c>
      <c r="BH266" s="130">
        <f t="shared" si="121"/>
        <v>0</v>
      </c>
      <c r="BI266" s="130">
        <f t="shared" si="122"/>
        <v>0</v>
      </c>
      <c r="BJ266" s="130">
        <f t="shared" si="123"/>
        <v>0</v>
      </c>
      <c r="BK266" s="130">
        <f t="shared" si="124"/>
        <v>-149.74021918856832</v>
      </c>
      <c r="BL266" s="130">
        <f>IF($K266=$L266,$BK266,IF(OR($K266="graphite",$K266="vitreous carbon"),$BK$406+($BM$389+$I266)*$BJ$406,IF($K266="Pyrolytic Boron Nitride","PBN",IF(COUNTIF($BH$396:$BH$416,$K266)&gt;0,VLOOKUP($K266,$BH$396:$BK$416,4,FALSE)+($BM$389+$I266)*VLOOKUP($K266,$BH$396:$BK$416,3,FALSE),IF(COUNTIF($L$2:$L265,$K266)&gt;0,VLOOKUP($K266,$L$2:$BK265,52,FALSE),"idk")))))</f>
        <v>-63.529671587210359</v>
      </c>
      <c r="BM266" s="129">
        <v>30</v>
      </c>
      <c r="BN266" s="129">
        <v>10</v>
      </c>
      <c r="BO266" s="129">
        <v>2</v>
      </c>
      <c r="BP266" s="129" t="s">
        <v>245</v>
      </c>
      <c r="BQ266" s="129" t="s">
        <v>475</v>
      </c>
      <c r="BR266" s="129" t="s">
        <v>230</v>
      </c>
      <c r="BS266" s="129"/>
      <c r="BT266" s="129">
        <v>0</v>
      </c>
      <c r="BU266" s="129">
        <v>14</v>
      </c>
      <c r="BV266" s="129"/>
      <c r="BW266" s="129">
        <v>10</v>
      </c>
      <c r="BX266" s="129">
        <v>22</v>
      </c>
      <c r="BY266" s="129">
        <v>11</v>
      </c>
      <c r="BZ266" s="130">
        <v>14</v>
      </c>
      <c r="CA266" s="130">
        <v>3</v>
      </c>
      <c r="CB266" s="130"/>
      <c r="CD266" s="129">
        <v>19</v>
      </c>
      <c r="CF266" s="129">
        <v>7</v>
      </c>
      <c r="CI266" s="151"/>
      <c r="CJ266" s="151"/>
      <c r="CK266" s="151"/>
      <c r="CL266" s="151"/>
      <c r="CM266" s="151"/>
      <c r="CN266" s="151"/>
      <c r="CO266" s="151"/>
      <c r="CP266" s="151"/>
      <c r="CQ266" s="151"/>
      <c r="CR266" s="151"/>
      <c r="CS266" s="151"/>
      <c r="CT266" s="151"/>
      <c r="CU266" s="151"/>
      <c r="CV266" s="151"/>
      <c r="CW266" s="151"/>
      <c r="CX266" s="151"/>
      <c r="CY266" s="151"/>
      <c r="CZ266" s="151"/>
      <c r="DA266" s="151"/>
      <c r="DB266" s="151"/>
      <c r="DC266" s="151"/>
      <c r="DD266" s="151"/>
      <c r="DE266" s="151"/>
      <c r="DF266" s="151"/>
      <c r="DG266" s="151"/>
      <c r="DH266" s="151"/>
      <c r="DI266" s="151"/>
      <c r="DJ266" s="129">
        <v>0</v>
      </c>
      <c r="DK266" s="129">
        <v>0</v>
      </c>
      <c r="DL266" s="129"/>
      <c r="DO266" s="129">
        <v>-62</v>
      </c>
      <c r="DS266" s="129"/>
      <c r="DT266" s="4" t="s">
        <v>527</v>
      </c>
      <c r="DU266" s="129"/>
      <c r="DW266" s="129">
        <f>SUM(_2025_01_07T12_47_export3[[#This Row],[Ni_wt]:[H_wt]])</f>
        <v>99.99</v>
      </c>
      <c r="DY266" s="130">
        <f>SUM($AM266:BJ266)</f>
        <v>100</v>
      </c>
    </row>
    <row r="267" spans="1:129" x14ac:dyDescent="0.25">
      <c r="A267" s="129" t="s">
        <v>524</v>
      </c>
      <c r="B267" s="129">
        <v>275</v>
      </c>
      <c r="C267" s="129" t="s">
        <v>316</v>
      </c>
      <c r="D267" s="129">
        <v>2014</v>
      </c>
      <c r="E267" s="129" t="s">
        <v>525</v>
      </c>
      <c r="F267" s="129" t="s">
        <v>526</v>
      </c>
      <c r="G267" s="129" t="s">
        <v>226</v>
      </c>
      <c r="H267" s="129">
        <v>0</v>
      </c>
      <c r="I267" s="129">
        <v>700</v>
      </c>
      <c r="J267" s="129">
        <v>500</v>
      </c>
      <c r="K267" s="129" t="s">
        <v>233</v>
      </c>
      <c r="L267" s="129" t="s">
        <v>50</v>
      </c>
      <c r="N267" s="129">
        <v>8960000</v>
      </c>
      <c r="O267" s="130"/>
      <c r="P267" s="130">
        <v>99.99</v>
      </c>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130"/>
      <c r="AL267" s="130"/>
      <c r="AM267" s="130">
        <f t="shared" si="100"/>
        <v>0</v>
      </c>
      <c r="AN267" s="130">
        <f t="shared" si="101"/>
        <v>100</v>
      </c>
      <c r="AO267" s="130">
        <f t="shared" si="102"/>
        <v>0</v>
      </c>
      <c r="AP267" s="130">
        <f t="shared" si="103"/>
        <v>0</v>
      </c>
      <c r="AQ267" s="130">
        <f t="shared" si="104"/>
        <v>0</v>
      </c>
      <c r="AR267" s="130">
        <f t="shared" si="105"/>
        <v>0</v>
      </c>
      <c r="AS267" s="130">
        <f t="shared" si="106"/>
        <v>0</v>
      </c>
      <c r="AT267" s="130">
        <f t="shared" si="107"/>
        <v>0</v>
      </c>
      <c r="AU267" s="130">
        <f t="shared" si="108"/>
        <v>0</v>
      </c>
      <c r="AV267" s="130">
        <f t="shared" si="109"/>
        <v>0</v>
      </c>
      <c r="AW267" s="130">
        <f t="shared" si="110"/>
        <v>0</v>
      </c>
      <c r="AX267" s="130">
        <f t="shared" si="111"/>
        <v>0</v>
      </c>
      <c r="AY267" s="130">
        <f t="shared" si="112"/>
        <v>0</v>
      </c>
      <c r="AZ267" s="130">
        <f t="shared" si="113"/>
        <v>0</v>
      </c>
      <c r="BA267" s="130">
        <f t="shared" si="114"/>
        <v>0</v>
      </c>
      <c r="BB267" s="130">
        <f t="shared" si="115"/>
        <v>0</v>
      </c>
      <c r="BC267" s="130">
        <f t="shared" si="116"/>
        <v>0</v>
      </c>
      <c r="BD267" s="130">
        <f t="shared" si="117"/>
        <v>0</v>
      </c>
      <c r="BE267" s="130">
        <f t="shared" si="118"/>
        <v>0</v>
      </c>
      <c r="BF267" s="130">
        <f t="shared" si="119"/>
        <v>0</v>
      </c>
      <c r="BG267" s="130">
        <f t="shared" si="120"/>
        <v>0</v>
      </c>
      <c r="BH267" s="130">
        <f t="shared" si="121"/>
        <v>0</v>
      </c>
      <c r="BI267" s="130">
        <f t="shared" si="122"/>
        <v>0</v>
      </c>
      <c r="BJ267" s="130">
        <f t="shared" si="123"/>
        <v>0</v>
      </c>
      <c r="BK267" s="130">
        <f t="shared" si="124"/>
        <v>-149.74021918856832</v>
      </c>
      <c r="BL267" s="130">
        <f>IF($K267=$L267,$BK267,IF(OR($K267="graphite",$K267="vitreous carbon"),$BK$406+($BM$389+$I267)*$BJ$406,IF($K267="Pyrolytic Boron Nitride","PBN",IF(COUNTIF($BH$396:$BH$416,$K267)&gt;0,VLOOKUP($K267,$BH$396:$BK$416,4,FALSE)+($BM$389+$I267)*VLOOKUP($K267,$BH$396:$BK$416,3,FALSE),IF(COUNTIF($L$2:$L266,$K267)&gt;0,VLOOKUP($K267,$L$2:$BK266,52,FALSE),"idk")))))</f>
        <v>-63.529671587210359</v>
      </c>
      <c r="BM267" s="129">
        <v>30</v>
      </c>
      <c r="BN267" s="129">
        <v>10</v>
      </c>
      <c r="BO267" s="129">
        <v>2</v>
      </c>
      <c r="BP267" s="129" t="s">
        <v>245</v>
      </c>
      <c r="BQ267" s="129" t="s">
        <v>475</v>
      </c>
      <c r="BR267" s="129" t="s">
        <v>230</v>
      </c>
      <c r="BS267" s="129"/>
      <c r="BT267" s="129">
        <v>0</v>
      </c>
      <c r="BU267" s="129">
        <v>14</v>
      </c>
      <c r="BV267" s="129"/>
      <c r="BW267" s="129">
        <v>10</v>
      </c>
      <c r="BX267" s="129">
        <v>22</v>
      </c>
      <c r="BY267" s="129">
        <v>11</v>
      </c>
      <c r="BZ267" s="130">
        <v>14</v>
      </c>
      <c r="CA267" s="130">
        <v>3</v>
      </c>
      <c r="CB267" s="130"/>
      <c r="CD267" s="129">
        <v>19</v>
      </c>
      <c r="CF267" s="129">
        <v>7</v>
      </c>
      <c r="CI267" s="151"/>
      <c r="CJ267" s="151"/>
      <c r="CK267" s="151"/>
      <c r="CL267" s="151"/>
      <c r="CM267" s="151"/>
      <c r="CN267" s="151"/>
      <c r="CO267" s="151"/>
      <c r="CP267" s="151"/>
      <c r="CQ267" s="151"/>
      <c r="CR267" s="151"/>
      <c r="CS267" s="151"/>
      <c r="CT267" s="151"/>
      <c r="CU267" s="151"/>
      <c r="CV267" s="151"/>
      <c r="CW267" s="151"/>
      <c r="CX267" s="151"/>
      <c r="CY267" s="151"/>
      <c r="CZ267" s="151"/>
      <c r="DA267" s="151"/>
      <c r="DB267" s="151"/>
      <c r="DC267" s="151"/>
      <c r="DD267" s="151"/>
      <c r="DE267" s="151"/>
      <c r="DF267" s="151"/>
      <c r="DG267" s="151"/>
      <c r="DH267" s="151"/>
      <c r="DI267" s="151"/>
      <c r="DJ267" s="129">
        <v>0</v>
      </c>
      <c r="DK267" s="129">
        <v>0</v>
      </c>
      <c r="DL267" s="129"/>
      <c r="DO267" s="129">
        <v>-85</v>
      </c>
      <c r="DS267" s="129"/>
      <c r="DU267" s="129"/>
      <c r="DW267" s="129">
        <f>SUM(_2025_01_07T12_47_export3[[#This Row],[Ni_wt]:[H_wt]])</f>
        <v>99.99</v>
      </c>
      <c r="DY267" s="130">
        <f>SUM($AM267:BJ267)</f>
        <v>100</v>
      </c>
    </row>
    <row r="268" spans="1:129" x14ac:dyDescent="0.25">
      <c r="A268" s="129" t="s">
        <v>524</v>
      </c>
      <c r="B268" s="129">
        <v>276</v>
      </c>
      <c r="C268" s="129" t="s">
        <v>316</v>
      </c>
      <c r="D268" s="129">
        <v>2014</v>
      </c>
      <c r="E268" s="129" t="s">
        <v>525</v>
      </c>
      <c r="F268" s="129" t="s">
        <v>526</v>
      </c>
      <c r="G268" s="129" t="s">
        <v>226</v>
      </c>
      <c r="H268" s="129">
        <v>0</v>
      </c>
      <c r="I268" s="129">
        <v>700</v>
      </c>
      <c r="J268" s="129">
        <v>500</v>
      </c>
      <c r="K268" s="129" t="s">
        <v>233</v>
      </c>
      <c r="L268" s="129" t="s">
        <v>50</v>
      </c>
      <c r="N268" s="129">
        <v>8960000</v>
      </c>
      <c r="O268" s="130"/>
      <c r="P268" s="130">
        <v>99.99</v>
      </c>
      <c r="Q268" s="130"/>
      <c r="R268" s="130"/>
      <c r="S268" s="130"/>
      <c r="T268" s="130"/>
      <c r="U268" s="130"/>
      <c r="V268" s="130"/>
      <c r="W268" s="130"/>
      <c r="X268" s="130"/>
      <c r="Y268" s="130"/>
      <c r="Z268" s="130"/>
      <c r="AA268" s="130"/>
      <c r="AB268" s="130"/>
      <c r="AC268" s="130"/>
      <c r="AD268" s="130"/>
      <c r="AE268" s="130"/>
      <c r="AF268" s="130"/>
      <c r="AG268" s="130"/>
      <c r="AH268" s="130"/>
      <c r="AI268" s="130"/>
      <c r="AJ268" s="130"/>
      <c r="AK268" s="130"/>
      <c r="AL268" s="130"/>
      <c r="AM268" s="130">
        <f t="shared" si="100"/>
        <v>0</v>
      </c>
      <c r="AN268" s="130">
        <f t="shared" si="101"/>
        <v>100</v>
      </c>
      <c r="AO268" s="130">
        <f t="shared" si="102"/>
        <v>0</v>
      </c>
      <c r="AP268" s="130">
        <f t="shared" si="103"/>
        <v>0</v>
      </c>
      <c r="AQ268" s="130">
        <f t="shared" si="104"/>
        <v>0</v>
      </c>
      <c r="AR268" s="130">
        <f t="shared" si="105"/>
        <v>0</v>
      </c>
      <c r="AS268" s="130">
        <f t="shared" si="106"/>
        <v>0</v>
      </c>
      <c r="AT268" s="130">
        <f t="shared" si="107"/>
        <v>0</v>
      </c>
      <c r="AU268" s="130">
        <f t="shared" si="108"/>
        <v>0</v>
      </c>
      <c r="AV268" s="130">
        <f t="shared" si="109"/>
        <v>0</v>
      </c>
      <c r="AW268" s="130">
        <f t="shared" si="110"/>
        <v>0</v>
      </c>
      <c r="AX268" s="130">
        <f t="shared" si="111"/>
        <v>0</v>
      </c>
      <c r="AY268" s="130">
        <f t="shared" si="112"/>
        <v>0</v>
      </c>
      <c r="AZ268" s="130">
        <f t="shared" si="113"/>
        <v>0</v>
      </c>
      <c r="BA268" s="130">
        <f t="shared" si="114"/>
        <v>0</v>
      </c>
      <c r="BB268" s="130">
        <f t="shared" si="115"/>
        <v>0</v>
      </c>
      <c r="BC268" s="130">
        <f t="shared" si="116"/>
        <v>0</v>
      </c>
      <c r="BD268" s="130">
        <f t="shared" si="117"/>
        <v>0</v>
      </c>
      <c r="BE268" s="130">
        <f t="shared" si="118"/>
        <v>0</v>
      </c>
      <c r="BF268" s="130">
        <f t="shared" si="119"/>
        <v>0</v>
      </c>
      <c r="BG268" s="130">
        <f t="shared" si="120"/>
        <v>0</v>
      </c>
      <c r="BH268" s="130">
        <f t="shared" si="121"/>
        <v>0</v>
      </c>
      <c r="BI268" s="130">
        <f t="shared" si="122"/>
        <v>0</v>
      </c>
      <c r="BJ268" s="130">
        <f t="shared" si="123"/>
        <v>0</v>
      </c>
      <c r="BK268" s="130">
        <f t="shared" si="124"/>
        <v>-149.74021918856832</v>
      </c>
      <c r="BL268" s="130">
        <f>IF($K268=$L268,$BK268,IF(OR($K268="graphite",$K268="vitreous carbon"),$BK$406+($BM$389+$I268)*$BJ$406,IF($K268="Pyrolytic Boron Nitride","PBN",IF(COUNTIF($BH$396:$BH$416,$K268)&gt;0,VLOOKUP($K268,$BH$396:$BK$416,4,FALSE)+($BM$389+$I268)*VLOOKUP($K268,$BH$396:$BK$416,3,FALSE),IF(COUNTIF($L$2:$L267,$K268)&gt;0,VLOOKUP($K268,$L$2:$BK267,52,FALSE),"idk")))))</f>
        <v>-63.529671587210359</v>
      </c>
      <c r="BM268" s="129">
        <v>30</v>
      </c>
      <c r="BN268" s="129">
        <v>10</v>
      </c>
      <c r="BO268" s="129">
        <v>2</v>
      </c>
      <c r="BP268" s="129" t="s">
        <v>245</v>
      </c>
      <c r="BQ268" s="129" t="s">
        <v>475</v>
      </c>
      <c r="BR268" s="129" t="s">
        <v>230</v>
      </c>
      <c r="BS268" s="129"/>
      <c r="BT268" s="129">
        <v>0</v>
      </c>
      <c r="BU268" s="129">
        <v>14</v>
      </c>
      <c r="BV268" s="129"/>
      <c r="BW268" s="129">
        <v>10</v>
      </c>
      <c r="BX268" s="129">
        <v>22</v>
      </c>
      <c r="BY268" s="129">
        <v>11</v>
      </c>
      <c r="BZ268" s="130">
        <v>14</v>
      </c>
      <c r="CA268" s="130">
        <v>3</v>
      </c>
      <c r="CB268" s="130"/>
      <c r="CD268" s="129">
        <v>19</v>
      </c>
      <c r="CF268" s="129">
        <v>7</v>
      </c>
      <c r="CI268" s="151"/>
      <c r="CJ268" s="151"/>
      <c r="CK268" s="151"/>
      <c r="CL268" s="151"/>
      <c r="CM268" s="151"/>
      <c r="CN268" s="151"/>
      <c r="CO268" s="151"/>
      <c r="CP268" s="151"/>
      <c r="CQ268" s="151"/>
      <c r="CR268" s="151"/>
      <c r="CS268" s="151"/>
      <c r="CT268" s="151"/>
      <c r="CU268" s="151"/>
      <c r="CV268" s="151"/>
      <c r="CW268" s="151"/>
      <c r="CX268" s="151"/>
      <c r="CY268" s="151"/>
      <c r="CZ268" s="151"/>
      <c r="DA268" s="151"/>
      <c r="DB268" s="151"/>
      <c r="DC268" s="151"/>
      <c r="DD268" s="151"/>
      <c r="DE268" s="151"/>
      <c r="DF268" s="151"/>
      <c r="DG268" s="151"/>
      <c r="DH268" s="151"/>
      <c r="DI268" s="151"/>
      <c r="DJ268" s="129">
        <v>0</v>
      </c>
      <c r="DK268" s="129">
        <v>0</v>
      </c>
      <c r="DL268" s="129"/>
      <c r="DO268" s="129">
        <v>-54</v>
      </c>
      <c r="DS268" s="129"/>
      <c r="DU268" s="129"/>
      <c r="DW268" s="129">
        <f>SUM(_2025_01_07T12_47_export3[[#This Row],[Ni_wt]:[H_wt]])</f>
        <v>99.99</v>
      </c>
      <c r="DY268" s="130">
        <f>SUM($AM268:BJ268)</f>
        <v>100</v>
      </c>
    </row>
    <row r="269" spans="1:129" x14ac:dyDescent="0.25">
      <c r="A269" s="129" t="s">
        <v>524</v>
      </c>
      <c r="B269" s="129">
        <v>277</v>
      </c>
      <c r="C269" s="129" t="s">
        <v>316</v>
      </c>
      <c r="D269" s="129">
        <v>2014</v>
      </c>
      <c r="E269" s="129" t="s">
        <v>525</v>
      </c>
      <c r="F269" s="129" t="s">
        <v>526</v>
      </c>
      <c r="G269" s="129" t="s">
        <v>226</v>
      </c>
      <c r="H269" s="129">
        <v>0</v>
      </c>
      <c r="I269" s="129">
        <v>700</v>
      </c>
      <c r="J269" s="129">
        <v>500</v>
      </c>
      <c r="K269" s="129" t="s">
        <v>48</v>
      </c>
      <c r="L269" s="129" t="s">
        <v>50</v>
      </c>
      <c r="N269" s="129">
        <v>8960000</v>
      </c>
      <c r="O269" s="130"/>
      <c r="P269" s="130">
        <v>99.99</v>
      </c>
      <c r="Q269" s="130"/>
      <c r="R269" s="130"/>
      <c r="S269" s="130"/>
      <c r="T269" s="130"/>
      <c r="U269" s="130"/>
      <c r="V269" s="130"/>
      <c r="W269" s="130"/>
      <c r="X269" s="130"/>
      <c r="Y269" s="130"/>
      <c r="Z269" s="130"/>
      <c r="AA269" s="130"/>
      <c r="AB269" s="130"/>
      <c r="AC269" s="130"/>
      <c r="AD269" s="130"/>
      <c r="AE269" s="130"/>
      <c r="AF269" s="130"/>
      <c r="AG269" s="130"/>
      <c r="AH269" s="130"/>
      <c r="AI269" s="130"/>
      <c r="AJ269" s="130"/>
      <c r="AK269" s="130"/>
      <c r="AL269" s="130"/>
      <c r="AM269" s="130">
        <f t="shared" si="100"/>
        <v>0</v>
      </c>
      <c r="AN269" s="130">
        <f t="shared" si="101"/>
        <v>100</v>
      </c>
      <c r="AO269" s="130">
        <f t="shared" si="102"/>
        <v>0</v>
      </c>
      <c r="AP269" s="130">
        <f t="shared" si="103"/>
        <v>0</v>
      </c>
      <c r="AQ269" s="130">
        <f t="shared" si="104"/>
        <v>0</v>
      </c>
      <c r="AR269" s="130">
        <f t="shared" si="105"/>
        <v>0</v>
      </c>
      <c r="AS269" s="130">
        <f t="shared" si="106"/>
        <v>0</v>
      </c>
      <c r="AT269" s="130">
        <f t="shared" si="107"/>
        <v>0</v>
      </c>
      <c r="AU269" s="130">
        <f t="shared" si="108"/>
        <v>0</v>
      </c>
      <c r="AV269" s="130">
        <f t="shared" si="109"/>
        <v>0</v>
      </c>
      <c r="AW269" s="130">
        <f t="shared" si="110"/>
        <v>0</v>
      </c>
      <c r="AX269" s="130">
        <f t="shared" si="111"/>
        <v>0</v>
      </c>
      <c r="AY269" s="130">
        <f t="shared" si="112"/>
        <v>0</v>
      </c>
      <c r="AZ269" s="130">
        <f t="shared" si="113"/>
        <v>0</v>
      </c>
      <c r="BA269" s="130">
        <f t="shared" si="114"/>
        <v>0</v>
      </c>
      <c r="BB269" s="130">
        <f t="shared" si="115"/>
        <v>0</v>
      </c>
      <c r="BC269" s="130">
        <f t="shared" si="116"/>
        <v>0</v>
      </c>
      <c r="BD269" s="130">
        <f t="shared" si="117"/>
        <v>0</v>
      </c>
      <c r="BE269" s="130">
        <f t="shared" si="118"/>
        <v>0</v>
      </c>
      <c r="BF269" s="130">
        <f t="shared" si="119"/>
        <v>0</v>
      </c>
      <c r="BG269" s="130">
        <f t="shared" si="120"/>
        <v>0</v>
      </c>
      <c r="BH269" s="130">
        <f t="shared" si="121"/>
        <v>0</v>
      </c>
      <c r="BI269" s="130">
        <f t="shared" si="122"/>
        <v>0</v>
      </c>
      <c r="BJ269" s="130">
        <f t="shared" si="123"/>
        <v>0</v>
      </c>
      <c r="BK269" s="130">
        <f t="shared" si="124"/>
        <v>-149.74021918856832</v>
      </c>
      <c r="BL269" s="130">
        <f>IF($K269=$L269,$BK269,IF(OR($K269="graphite",$K269="vitreous carbon"),$BK$406+($BM$389+$I269)*$BJ$406,IF($K269="Pyrolytic Boron Nitride","PBN",IF(COUNTIF($BH$396:$BH$416,$K269)&gt;0,VLOOKUP($K269,$BH$396:$BK$416,4,FALSE)+($BM$389+$I269)*VLOOKUP($K269,$BH$396:$BK$416,3,FALSE),IF(COUNTIF($L$2:$L268,$K269)&gt;0,VLOOKUP($K269,$L$2:$BK268,52,FALSE),"idk")))))</f>
        <v>-121.74823772574202</v>
      </c>
      <c r="BM269" s="129">
        <v>30</v>
      </c>
      <c r="BN269" s="129">
        <v>10</v>
      </c>
      <c r="BO269" s="129">
        <v>2</v>
      </c>
      <c r="BP269" s="129" t="s">
        <v>245</v>
      </c>
      <c r="BQ269" s="129" t="s">
        <v>475</v>
      </c>
      <c r="BR269" s="129" t="s">
        <v>230</v>
      </c>
      <c r="BS269" s="129"/>
      <c r="BT269" s="129">
        <v>0</v>
      </c>
      <c r="BU269" s="129">
        <v>14</v>
      </c>
      <c r="BV269" s="129"/>
      <c r="BW269" s="129">
        <v>10</v>
      </c>
      <c r="BX269" s="129">
        <v>22</v>
      </c>
      <c r="BY269" s="129">
        <v>11</v>
      </c>
      <c r="BZ269" s="130">
        <v>14</v>
      </c>
      <c r="CA269" s="130">
        <v>3</v>
      </c>
      <c r="CB269" s="130"/>
      <c r="CD269" s="129">
        <v>19</v>
      </c>
      <c r="CF269" s="129">
        <v>7</v>
      </c>
      <c r="CI269" s="151"/>
      <c r="CJ269" s="151"/>
      <c r="CK269" s="151"/>
      <c r="CL269" s="151"/>
      <c r="CM269" s="151"/>
      <c r="CN269" s="151"/>
      <c r="CO269" s="151"/>
      <c r="CP269" s="151"/>
      <c r="CQ269" s="151"/>
      <c r="CR269" s="151"/>
      <c r="CS269" s="151"/>
      <c r="CT269" s="151"/>
      <c r="CU269" s="151"/>
      <c r="CV269" s="151"/>
      <c r="CW269" s="151"/>
      <c r="CX269" s="151"/>
      <c r="CY269" s="151"/>
      <c r="CZ269" s="151"/>
      <c r="DA269" s="151"/>
      <c r="DB269" s="151"/>
      <c r="DC269" s="151"/>
      <c r="DD269" s="151"/>
      <c r="DE269" s="151"/>
      <c r="DF269" s="151"/>
      <c r="DG269" s="151"/>
      <c r="DH269" s="151"/>
      <c r="DI269" s="151"/>
      <c r="DJ269" s="129">
        <v>0</v>
      </c>
      <c r="DK269" s="129">
        <v>0</v>
      </c>
      <c r="DL269" s="129"/>
      <c r="DO269" s="129">
        <v>-49</v>
      </c>
      <c r="DS269" s="129"/>
      <c r="DU269" s="129"/>
      <c r="DW269" s="129">
        <f>SUM(_2025_01_07T12_47_export3[[#This Row],[Ni_wt]:[H_wt]])</f>
        <v>99.99</v>
      </c>
      <c r="DY269" s="130">
        <f>SUM($AM269:BJ269)</f>
        <v>100</v>
      </c>
    </row>
    <row r="270" spans="1:129" x14ac:dyDescent="0.25">
      <c r="A270" s="129" t="s">
        <v>524</v>
      </c>
      <c r="B270" s="129">
        <v>278</v>
      </c>
      <c r="C270" s="129" t="s">
        <v>316</v>
      </c>
      <c r="D270" s="129">
        <v>2014</v>
      </c>
      <c r="E270" s="129" t="s">
        <v>525</v>
      </c>
      <c r="F270" s="129" t="s">
        <v>526</v>
      </c>
      <c r="G270" s="129" t="s">
        <v>226</v>
      </c>
      <c r="H270" s="129">
        <v>0</v>
      </c>
      <c r="I270" s="129">
        <v>700</v>
      </c>
      <c r="J270" s="129">
        <v>500</v>
      </c>
      <c r="K270" s="129" t="s">
        <v>48</v>
      </c>
      <c r="L270" s="129" t="s">
        <v>50</v>
      </c>
      <c r="N270" s="129">
        <v>8960000</v>
      </c>
      <c r="O270" s="130"/>
      <c r="P270" s="130">
        <v>99.99</v>
      </c>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f t="shared" si="100"/>
        <v>0</v>
      </c>
      <c r="AN270" s="130">
        <f t="shared" si="101"/>
        <v>100</v>
      </c>
      <c r="AO270" s="130">
        <f t="shared" si="102"/>
        <v>0</v>
      </c>
      <c r="AP270" s="130">
        <f t="shared" si="103"/>
        <v>0</v>
      </c>
      <c r="AQ270" s="130">
        <f t="shared" si="104"/>
        <v>0</v>
      </c>
      <c r="AR270" s="130">
        <f t="shared" si="105"/>
        <v>0</v>
      </c>
      <c r="AS270" s="130">
        <f t="shared" si="106"/>
        <v>0</v>
      </c>
      <c r="AT270" s="130">
        <f t="shared" si="107"/>
        <v>0</v>
      </c>
      <c r="AU270" s="130">
        <f t="shared" si="108"/>
        <v>0</v>
      </c>
      <c r="AV270" s="130">
        <f t="shared" si="109"/>
        <v>0</v>
      </c>
      <c r="AW270" s="130">
        <f t="shared" si="110"/>
        <v>0</v>
      </c>
      <c r="AX270" s="130">
        <f t="shared" si="111"/>
        <v>0</v>
      </c>
      <c r="AY270" s="130">
        <f t="shared" si="112"/>
        <v>0</v>
      </c>
      <c r="AZ270" s="130">
        <f t="shared" si="113"/>
        <v>0</v>
      </c>
      <c r="BA270" s="130">
        <f t="shared" si="114"/>
        <v>0</v>
      </c>
      <c r="BB270" s="130">
        <f t="shared" si="115"/>
        <v>0</v>
      </c>
      <c r="BC270" s="130">
        <f t="shared" si="116"/>
        <v>0</v>
      </c>
      <c r="BD270" s="130">
        <f t="shared" si="117"/>
        <v>0</v>
      </c>
      <c r="BE270" s="130">
        <f t="shared" si="118"/>
        <v>0</v>
      </c>
      <c r="BF270" s="130">
        <f t="shared" si="119"/>
        <v>0</v>
      </c>
      <c r="BG270" s="130">
        <f t="shared" si="120"/>
        <v>0</v>
      </c>
      <c r="BH270" s="130">
        <f t="shared" si="121"/>
        <v>0</v>
      </c>
      <c r="BI270" s="130">
        <f t="shared" si="122"/>
        <v>0</v>
      </c>
      <c r="BJ270" s="130">
        <f t="shared" si="123"/>
        <v>0</v>
      </c>
      <c r="BK270" s="130">
        <f t="shared" si="124"/>
        <v>-149.74021918856832</v>
      </c>
      <c r="BL270" s="130">
        <f>IF($K270=$L270,$BK270,IF(OR($K270="graphite",$K270="vitreous carbon"),$BK$406+($BM$389+$I270)*$BJ$406,IF($K270="Pyrolytic Boron Nitride","PBN",IF(COUNTIF($BH$396:$BH$416,$K270)&gt;0,VLOOKUP($K270,$BH$396:$BK$416,4,FALSE)+($BM$389+$I270)*VLOOKUP($K270,$BH$396:$BK$416,3,FALSE),IF(COUNTIF($L$2:$L269,$K270)&gt;0,VLOOKUP($K270,$L$2:$BK269,52,FALSE),"idk")))))</f>
        <v>-121.74823772574202</v>
      </c>
      <c r="BM270" s="129">
        <v>30</v>
      </c>
      <c r="BN270" s="129">
        <v>10</v>
      </c>
      <c r="BO270" s="129">
        <v>2</v>
      </c>
      <c r="BP270" s="129" t="s">
        <v>245</v>
      </c>
      <c r="BQ270" s="129" t="s">
        <v>475</v>
      </c>
      <c r="BR270" s="129" t="s">
        <v>230</v>
      </c>
      <c r="BS270" s="129"/>
      <c r="BT270" s="129">
        <v>0</v>
      </c>
      <c r="BU270" s="129">
        <v>14</v>
      </c>
      <c r="BV270" s="129"/>
      <c r="BW270" s="129">
        <v>10</v>
      </c>
      <c r="BX270" s="129">
        <v>22</v>
      </c>
      <c r="BY270" s="129">
        <v>11</v>
      </c>
      <c r="BZ270" s="130">
        <v>14</v>
      </c>
      <c r="CA270" s="130">
        <v>3</v>
      </c>
      <c r="CB270" s="130"/>
      <c r="CD270" s="129">
        <v>19</v>
      </c>
      <c r="CF270" s="129">
        <v>7</v>
      </c>
      <c r="CI270" s="151"/>
      <c r="CJ270" s="151"/>
      <c r="CK270" s="151"/>
      <c r="CL270" s="151"/>
      <c r="CM270" s="151"/>
      <c r="CN270" s="151"/>
      <c r="CO270" s="151"/>
      <c r="CP270" s="151"/>
      <c r="CQ270" s="151"/>
      <c r="CR270" s="151"/>
      <c r="CS270" s="151"/>
      <c r="CT270" s="151"/>
      <c r="CU270" s="151"/>
      <c r="CV270" s="151"/>
      <c r="CW270" s="151"/>
      <c r="CX270" s="151"/>
      <c r="CY270" s="151"/>
      <c r="CZ270" s="151"/>
      <c r="DA270" s="151"/>
      <c r="DB270" s="151"/>
      <c r="DC270" s="151"/>
      <c r="DD270" s="151"/>
      <c r="DE270" s="151"/>
      <c r="DF270" s="151"/>
      <c r="DG270" s="151"/>
      <c r="DH270" s="151"/>
      <c r="DI270" s="151"/>
      <c r="DJ270" s="129">
        <v>0</v>
      </c>
      <c r="DK270" s="129">
        <v>0</v>
      </c>
      <c r="DL270" s="129"/>
      <c r="DO270" s="129">
        <v>-36</v>
      </c>
      <c r="DS270" s="129"/>
      <c r="DU270" s="129"/>
      <c r="DW270" s="129">
        <f>SUM(_2025_01_07T12_47_export3[[#This Row],[Ni_wt]:[H_wt]])</f>
        <v>99.99</v>
      </c>
      <c r="DY270" s="130">
        <f>SUM($AM270:BJ270)</f>
        <v>100</v>
      </c>
    </row>
    <row r="271" spans="1:129" ht="16.5" thickBot="1" x14ac:dyDescent="0.3">
      <c r="A271" s="136" t="s">
        <v>524</v>
      </c>
      <c r="B271" s="136">
        <v>279</v>
      </c>
      <c r="C271" s="136" t="s">
        <v>316</v>
      </c>
      <c r="D271" s="136">
        <v>2014</v>
      </c>
      <c r="E271" s="136" t="s">
        <v>525</v>
      </c>
      <c r="F271" s="136" t="s">
        <v>526</v>
      </c>
      <c r="G271" s="136" t="s">
        <v>226</v>
      </c>
      <c r="H271" s="136">
        <v>0</v>
      </c>
      <c r="I271" s="136">
        <v>700</v>
      </c>
      <c r="J271" s="136">
        <v>500</v>
      </c>
      <c r="K271" s="136" t="s">
        <v>48</v>
      </c>
      <c r="L271" s="136" t="s">
        <v>50</v>
      </c>
      <c r="M271" s="136"/>
      <c r="N271" s="136">
        <v>8960000</v>
      </c>
      <c r="O271" s="137"/>
      <c r="P271" s="137">
        <v>99.99</v>
      </c>
      <c r="Q271" s="137"/>
      <c r="R271" s="137"/>
      <c r="S271" s="137"/>
      <c r="T271" s="137"/>
      <c r="U271" s="137"/>
      <c r="V271" s="137"/>
      <c r="W271" s="137"/>
      <c r="X271" s="137"/>
      <c r="Y271" s="137"/>
      <c r="Z271" s="137"/>
      <c r="AA271" s="137"/>
      <c r="AB271" s="137"/>
      <c r="AC271" s="137"/>
      <c r="AD271" s="137"/>
      <c r="AE271" s="137"/>
      <c r="AF271" s="137"/>
      <c r="AG271" s="137"/>
      <c r="AH271" s="137"/>
      <c r="AI271" s="137"/>
      <c r="AJ271" s="137"/>
      <c r="AK271" s="137"/>
      <c r="AL271" s="137"/>
      <c r="AM271" s="137">
        <f t="shared" si="100"/>
        <v>0</v>
      </c>
      <c r="AN271" s="137">
        <f t="shared" si="101"/>
        <v>100</v>
      </c>
      <c r="AO271" s="137">
        <f t="shared" si="102"/>
        <v>0</v>
      </c>
      <c r="AP271" s="137">
        <f t="shared" si="103"/>
        <v>0</v>
      </c>
      <c r="AQ271" s="137">
        <f t="shared" si="104"/>
        <v>0</v>
      </c>
      <c r="AR271" s="137">
        <f t="shared" si="105"/>
        <v>0</v>
      </c>
      <c r="AS271" s="137">
        <f t="shared" si="106"/>
        <v>0</v>
      </c>
      <c r="AT271" s="137">
        <f t="shared" si="107"/>
        <v>0</v>
      </c>
      <c r="AU271" s="137">
        <f t="shared" si="108"/>
        <v>0</v>
      </c>
      <c r="AV271" s="137">
        <f t="shared" si="109"/>
        <v>0</v>
      </c>
      <c r="AW271" s="137">
        <f t="shared" si="110"/>
        <v>0</v>
      </c>
      <c r="AX271" s="137">
        <f t="shared" si="111"/>
        <v>0</v>
      </c>
      <c r="AY271" s="137">
        <f t="shared" si="112"/>
        <v>0</v>
      </c>
      <c r="AZ271" s="137">
        <f t="shared" si="113"/>
        <v>0</v>
      </c>
      <c r="BA271" s="137">
        <f t="shared" si="114"/>
        <v>0</v>
      </c>
      <c r="BB271" s="137">
        <f t="shared" si="115"/>
        <v>0</v>
      </c>
      <c r="BC271" s="137">
        <f t="shared" si="116"/>
        <v>0</v>
      </c>
      <c r="BD271" s="137">
        <f t="shared" si="117"/>
        <v>0</v>
      </c>
      <c r="BE271" s="137">
        <f t="shared" si="118"/>
        <v>0</v>
      </c>
      <c r="BF271" s="137">
        <f t="shared" si="119"/>
        <v>0</v>
      </c>
      <c r="BG271" s="137">
        <f t="shared" si="120"/>
        <v>0</v>
      </c>
      <c r="BH271" s="137">
        <f t="shared" si="121"/>
        <v>0</v>
      </c>
      <c r="BI271" s="137">
        <f t="shared" si="122"/>
        <v>0</v>
      </c>
      <c r="BJ271" s="137">
        <f t="shared" si="123"/>
        <v>0</v>
      </c>
      <c r="BK271" s="137">
        <f t="shared" si="124"/>
        <v>-149.74021918856832</v>
      </c>
      <c r="BL271" s="137">
        <f>IF($K271=$L271,$BK271,IF(OR($K271="graphite",$K271="vitreous carbon"),$BK$406+($BM$389+$I271)*$BJ$406,IF($K271="Pyrolytic Boron Nitride","PBN",IF(COUNTIF($BH$396:$BH$416,$K271)&gt;0,VLOOKUP($K271,$BH$396:$BK$416,4,FALSE)+($BM$389+$I271)*VLOOKUP($K271,$BH$396:$BK$416,3,FALSE),IF(COUNTIF($L$2:$L270,$K271)&gt;0,VLOOKUP($K271,$L$2:$BK270,52,FALSE),"idk")))))</f>
        <v>-121.74823772574202</v>
      </c>
      <c r="BM271" s="136">
        <v>30</v>
      </c>
      <c r="BN271" s="136">
        <v>10</v>
      </c>
      <c r="BO271" s="136">
        <v>2</v>
      </c>
      <c r="BP271" s="136" t="s">
        <v>245</v>
      </c>
      <c r="BQ271" s="136" t="s">
        <v>475</v>
      </c>
      <c r="BR271" s="136" t="s">
        <v>230</v>
      </c>
      <c r="BS271" s="136"/>
      <c r="BT271" s="136">
        <v>0</v>
      </c>
      <c r="BU271" s="136">
        <v>14</v>
      </c>
      <c r="BV271" s="136"/>
      <c r="BW271" s="136">
        <v>10</v>
      </c>
      <c r="BX271" s="136">
        <v>22</v>
      </c>
      <c r="BY271" s="136">
        <v>11</v>
      </c>
      <c r="BZ271" s="137">
        <v>14</v>
      </c>
      <c r="CA271" s="137">
        <v>3</v>
      </c>
      <c r="CB271" s="137"/>
      <c r="CC271" s="136"/>
      <c r="CD271" s="136">
        <v>19</v>
      </c>
      <c r="CE271" s="136"/>
      <c r="CF271" s="136">
        <v>7</v>
      </c>
      <c r="CG271" s="136"/>
      <c r="CH271" s="136"/>
      <c r="CI271" s="152"/>
      <c r="CJ271" s="152"/>
      <c r="CK271" s="152"/>
      <c r="CL271" s="152"/>
      <c r="CM271" s="152"/>
      <c r="CN271" s="152"/>
      <c r="CO271" s="152"/>
      <c r="CP271" s="152"/>
      <c r="CQ271" s="152"/>
      <c r="CR271" s="152"/>
      <c r="CS271" s="152"/>
      <c r="CT271" s="152"/>
      <c r="CU271" s="152"/>
      <c r="CV271" s="152"/>
      <c r="CW271" s="152"/>
      <c r="CX271" s="152"/>
      <c r="CY271" s="152"/>
      <c r="CZ271" s="152"/>
      <c r="DA271" s="152"/>
      <c r="DB271" s="152"/>
      <c r="DC271" s="152"/>
      <c r="DD271" s="152"/>
      <c r="DE271" s="152"/>
      <c r="DF271" s="152"/>
      <c r="DG271" s="152"/>
      <c r="DH271" s="152"/>
      <c r="DI271" s="152"/>
      <c r="DJ271" s="136">
        <v>0</v>
      </c>
      <c r="DK271" s="136">
        <v>0</v>
      </c>
      <c r="DL271" s="136"/>
      <c r="DM271" s="136"/>
      <c r="DN271" s="136"/>
      <c r="DO271" s="136">
        <v>-42</v>
      </c>
      <c r="DP271" s="136"/>
      <c r="DQ271" s="136"/>
      <c r="DR271" s="136"/>
      <c r="DS271" s="136"/>
      <c r="DT271" s="136"/>
      <c r="DU271" s="136"/>
      <c r="DW271" s="129">
        <f>SUM(_2025_01_07T12_47_export3[[#This Row],[Ni_wt]:[H_wt]])</f>
        <v>99.99</v>
      </c>
      <c r="DY271" s="130">
        <f>SUM($AM271:BJ271)</f>
        <v>100</v>
      </c>
    </row>
    <row r="272" spans="1:129" x14ac:dyDescent="0.25">
      <c r="A272" s="129" t="s">
        <v>528</v>
      </c>
      <c r="B272" s="129">
        <v>280</v>
      </c>
      <c r="C272" s="129" t="s">
        <v>529</v>
      </c>
      <c r="D272" s="129">
        <v>2012</v>
      </c>
      <c r="E272" s="129" t="s">
        <v>530</v>
      </c>
      <c r="F272" s="129" t="s">
        <v>531</v>
      </c>
      <c r="G272" s="129" t="s">
        <v>226</v>
      </c>
      <c r="H272" s="129">
        <v>0</v>
      </c>
      <c r="I272" s="129">
        <v>850</v>
      </c>
      <c r="J272" s="129">
        <v>1000</v>
      </c>
      <c r="K272" s="129" t="s">
        <v>227</v>
      </c>
      <c r="L272" s="129" t="s">
        <v>227</v>
      </c>
      <c r="N272" s="129">
        <v>7980000</v>
      </c>
      <c r="O272" s="130">
        <v>10.27</v>
      </c>
      <c r="P272" s="130">
        <v>17.23</v>
      </c>
      <c r="Q272" s="130">
        <v>2.2200000000000002</v>
      </c>
      <c r="R272" s="130">
        <f>100-SUM(_2025_01_07T12_47_export3[[#This Row],[Ni_wt]:[Mo_wt]],_2025_01_07T12_47_export3[[#This Row],[W_wt]:[H_wt]])</f>
        <v>68.05</v>
      </c>
      <c r="S272" s="130"/>
      <c r="T272" s="130"/>
      <c r="U272" s="130">
        <v>1.64</v>
      </c>
      <c r="V272" s="130"/>
      <c r="W272" s="130"/>
      <c r="X272" s="130">
        <v>0.52</v>
      </c>
      <c r="Y272" s="130">
        <v>0.02</v>
      </c>
      <c r="Z272" s="130"/>
      <c r="AA272" s="130"/>
      <c r="AB272" s="130"/>
      <c r="AC272" s="130">
        <v>0.03</v>
      </c>
      <c r="AD272" s="130">
        <v>0.02</v>
      </c>
      <c r="AE272" s="130"/>
      <c r="AF272" s="130"/>
      <c r="AG272" s="130"/>
      <c r="AH272" s="130"/>
      <c r="AI272" s="130"/>
      <c r="AJ272" s="130"/>
      <c r="AK272" s="130"/>
      <c r="AL272" s="130"/>
      <c r="AM272" s="130">
        <f t="shared" si="100"/>
        <v>9.7240484353809364</v>
      </c>
      <c r="AN272" s="130">
        <f t="shared" si="101"/>
        <v>18.412921987205639</v>
      </c>
      <c r="AO272" s="130">
        <f t="shared" si="102"/>
        <v>1.2855930456387075</v>
      </c>
      <c r="AP272" s="130">
        <f t="shared" si="103"/>
        <v>67.708895805837045</v>
      </c>
      <c r="AQ272" s="130">
        <f t="shared" si="104"/>
        <v>0</v>
      </c>
      <c r="AR272" s="130">
        <f t="shared" si="105"/>
        <v>0</v>
      </c>
      <c r="AS272" s="130">
        <f t="shared" si="106"/>
        <v>1.658807431215414</v>
      </c>
      <c r="AT272" s="130">
        <f t="shared" si="107"/>
        <v>0</v>
      </c>
      <c r="AU272" s="130">
        <f t="shared" si="108"/>
        <v>0</v>
      </c>
      <c r="AV272" s="130">
        <f t="shared" si="109"/>
        <v>1.0287086312485765</v>
      </c>
      <c r="AW272" s="130">
        <f t="shared" si="110"/>
        <v>9.2539631882958162E-2</v>
      </c>
      <c r="AX272" s="130">
        <f t="shared" si="111"/>
        <v>0</v>
      </c>
      <c r="AY272" s="130">
        <f t="shared" si="112"/>
        <v>0</v>
      </c>
      <c r="AZ272" s="130">
        <f t="shared" si="113"/>
        <v>0</v>
      </c>
      <c r="BA272" s="130">
        <f t="shared" si="114"/>
        <v>5.3829559844090769E-2</v>
      </c>
      <c r="BB272" s="130">
        <f t="shared" si="115"/>
        <v>3.465547174662699E-2</v>
      </c>
      <c r="BC272" s="130">
        <f t="shared" si="116"/>
        <v>0</v>
      </c>
      <c r="BD272" s="130">
        <f t="shared" si="117"/>
        <v>0</v>
      </c>
      <c r="BE272" s="130">
        <f t="shared" si="118"/>
        <v>0</v>
      </c>
      <c r="BF272" s="130">
        <f t="shared" si="119"/>
        <v>0</v>
      </c>
      <c r="BG272" s="130">
        <f t="shared" si="120"/>
        <v>0</v>
      </c>
      <c r="BH272" s="130">
        <f t="shared" si="121"/>
        <v>0</v>
      </c>
      <c r="BI272" s="130">
        <f t="shared" si="122"/>
        <v>0</v>
      </c>
      <c r="BJ272" s="130">
        <f t="shared" si="123"/>
        <v>0</v>
      </c>
      <c r="BK272" s="130">
        <f t="shared" si="124"/>
        <v>-132.63938713276048</v>
      </c>
      <c r="BL272" s="130">
        <f>IF($K272=$L272,$BK272,IF(OR($K272="graphite",$K272="vitreous carbon"),$BK$406+($BM$389+$I272)*$BJ$406,IF($K272="Pyrolytic Boron Nitride","PBN",IF(COUNTIF($BH$396:$BH$416,$K272)&gt;0,VLOOKUP($K272,$BH$396:$BK$416,4,FALSE)+($BM$389+$I272)*VLOOKUP($K272,$BH$396:$BK$416,3,FALSE),IF(COUNTIF($L$2:$L271,$K272)&gt;0,VLOOKUP($K272,$L$2:$BK271,52,FALSE),"idk")))))</f>
        <v>-132.63938713276048</v>
      </c>
      <c r="BM272" s="129">
        <v>25</v>
      </c>
      <c r="BN272" s="129">
        <v>13</v>
      </c>
      <c r="BO272" s="129">
        <v>1</v>
      </c>
      <c r="BP272" s="129" t="s">
        <v>245</v>
      </c>
      <c r="BQ272" s="129"/>
      <c r="BR272" s="129" t="s">
        <v>247</v>
      </c>
      <c r="BS272" s="129"/>
      <c r="BT272" s="129">
        <v>0</v>
      </c>
      <c r="BV272" s="129"/>
      <c r="BZ272" s="130"/>
      <c r="CA272" s="130"/>
      <c r="CB272" s="130"/>
      <c r="CH272" s="129">
        <v>19120</v>
      </c>
      <c r="CI272" s="151"/>
      <c r="CJ272" s="151"/>
      <c r="CK272" s="151"/>
      <c r="CL272" s="151"/>
      <c r="CM272" s="151"/>
      <c r="CN272" s="151"/>
      <c r="CO272" s="151"/>
      <c r="CP272" s="151"/>
      <c r="CQ272" s="151"/>
      <c r="CR272" s="151"/>
      <c r="CS272" s="151"/>
      <c r="CT272" s="151"/>
      <c r="CU272" s="151"/>
      <c r="CV272" s="151"/>
      <c r="CW272" s="151"/>
      <c r="CX272" s="151"/>
      <c r="CY272" s="151"/>
      <c r="CZ272" s="151"/>
      <c r="DA272" s="151"/>
      <c r="DB272" s="151"/>
      <c r="DC272" s="151"/>
      <c r="DD272" s="151"/>
      <c r="DE272" s="151"/>
      <c r="DF272" s="151"/>
      <c r="DG272" s="151"/>
      <c r="DH272" s="151"/>
      <c r="DI272" s="151"/>
      <c r="DJ272" s="129">
        <v>0</v>
      </c>
      <c r="DK272" s="129">
        <v>0</v>
      </c>
      <c r="DL272" s="129"/>
      <c r="DO272" s="129">
        <v>5.22</v>
      </c>
      <c r="DS272" s="129"/>
      <c r="DT272" s="4" t="s">
        <v>533</v>
      </c>
      <c r="DU272" s="129" t="s">
        <v>532</v>
      </c>
      <c r="DW272" s="129">
        <f>SUM(_2025_01_07T12_47_export3[[#This Row],[Ni_wt]:[H_wt]])</f>
        <v>99.999999999999986</v>
      </c>
      <c r="DY272" s="130">
        <f>SUM($AM272:BJ272)</f>
        <v>100</v>
      </c>
    </row>
    <row r="273" spans="1:129" ht="16.5" thickBot="1" x14ac:dyDescent="0.3">
      <c r="A273" s="136" t="s">
        <v>534</v>
      </c>
      <c r="B273" s="136">
        <v>281</v>
      </c>
      <c r="C273" s="136" t="s">
        <v>529</v>
      </c>
      <c r="D273" s="136">
        <v>2012</v>
      </c>
      <c r="E273" s="136" t="s">
        <v>530</v>
      </c>
      <c r="F273" s="136" t="s">
        <v>531</v>
      </c>
      <c r="G273" s="136" t="s">
        <v>226</v>
      </c>
      <c r="H273" s="136">
        <v>0</v>
      </c>
      <c r="I273" s="136">
        <v>850</v>
      </c>
      <c r="J273" s="136">
        <v>1000</v>
      </c>
      <c r="K273" s="136" t="s">
        <v>227</v>
      </c>
      <c r="L273" s="136" t="s">
        <v>239</v>
      </c>
      <c r="M273" s="136"/>
      <c r="N273" s="136">
        <v>8860000</v>
      </c>
      <c r="O273" s="137">
        <f>100-SUM(_2025_01_07T12_47_export3[[#This Row],[Cr_wt]:[H_wt]])</f>
        <v>69.31</v>
      </c>
      <c r="P273" s="137">
        <v>8</v>
      </c>
      <c r="Q273" s="137">
        <v>16.190000000000001</v>
      </c>
      <c r="R273" s="137">
        <v>4.12</v>
      </c>
      <c r="S273" s="137"/>
      <c r="T273" s="137"/>
      <c r="U273" s="137">
        <v>0.8</v>
      </c>
      <c r="V273" s="137"/>
      <c r="W273" s="137"/>
      <c r="X273" s="137">
        <v>1.5</v>
      </c>
      <c r="Y273" s="137">
        <v>0.08</v>
      </c>
      <c r="Z273" s="137"/>
      <c r="AA273" s="137"/>
      <c r="AB273" s="137"/>
      <c r="AC273" s="137"/>
      <c r="AD273" s="137"/>
      <c r="AE273" s="137"/>
      <c r="AF273" s="137"/>
      <c r="AG273" s="137"/>
      <c r="AH273" s="137"/>
      <c r="AI273" s="137"/>
      <c r="AJ273" s="137"/>
      <c r="AK273" s="137"/>
      <c r="AL273" s="137"/>
      <c r="AM273" s="137">
        <f t="shared" si="100"/>
        <v>71.490264372867387</v>
      </c>
      <c r="AN273" s="137">
        <f t="shared" si="101"/>
        <v>9.3132606373674278</v>
      </c>
      <c r="AO273" s="137">
        <f t="shared" si="102"/>
        <v>10.213432504932905</v>
      </c>
      <c r="AP273" s="137">
        <f t="shared" si="103"/>
        <v>4.4656959690008904</v>
      </c>
      <c r="AQ273" s="137">
        <f t="shared" si="104"/>
        <v>0</v>
      </c>
      <c r="AR273" s="137">
        <f t="shared" si="105"/>
        <v>0</v>
      </c>
      <c r="AS273" s="137">
        <f t="shared" si="106"/>
        <v>0.88148808362414688</v>
      </c>
      <c r="AT273" s="137">
        <f t="shared" si="107"/>
        <v>0</v>
      </c>
      <c r="AU273" s="137">
        <f t="shared" si="108"/>
        <v>0</v>
      </c>
      <c r="AV273" s="137">
        <f t="shared" si="109"/>
        <v>3.2326198367508869</v>
      </c>
      <c r="AW273" s="137">
        <f t="shared" si="110"/>
        <v>0.40323859545637492</v>
      </c>
      <c r="AX273" s="137">
        <f t="shared" si="111"/>
        <v>0</v>
      </c>
      <c r="AY273" s="137">
        <f t="shared" si="112"/>
        <v>0</v>
      </c>
      <c r="AZ273" s="137">
        <f t="shared" si="113"/>
        <v>0</v>
      </c>
      <c r="BA273" s="137">
        <f t="shared" si="114"/>
        <v>0</v>
      </c>
      <c r="BB273" s="137">
        <f t="shared" si="115"/>
        <v>0</v>
      </c>
      <c r="BC273" s="137">
        <f t="shared" si="116"/>
        <v>0</v>
      </c>
      <c r="BD273" s="137">
        <f t="shared" si="117"/>
        <v>0</v>
      </c>
      <c r="BE273" s="137">
        <f t="shared" si="118"/>
        <v>0</v>
      </c>
      <c r="BF273" s="137">
        <f t="shared" si="119"/>
        <v>0</v>
      </c>
      <c r="BG273" s="137">
        <f t="shared" si="120"/>
        <v>0</v>
      </c>
      <c r="BH273" s="137">
        <f t="shared" si="121"/>
        <v>0</v>
      </c>
      <c r="BI273" s="137">
        <f t="shared" si="122"/>
        <v>0</v>
      </c>
      <c r="BJ273" s="137">
        <f t="shared" si="123"/>
        <v>0</v>
      </c>
      <c r="BK273" s="137">
        <f t="shared" si="124"/>
        <v>-120.94893252609708</v>
      </c>
      <c r="BL273" s="137">
        <f>IF($K273=$L273,$BK273,IF(OR($K273="graphite",$K273="vitreous carbon"),$BK$406+($BM$389+$I273)*$BJ$406,IF($K273="Pyrolytic Boron Nitride","PBN",IF(COUNTIF($BH$396:$BH$416,$K273)&gt;0,VLOOKUP($K273,$BH$396:$BK$416,4,FALSE)+($BM$389+$I273)*VLOOKUP($K273,$BH$396:$BK$416,3,FALSE),IF(COUNTIF($L$2:$L272,$K273)&gt;0,VLOOKUP($K273,$L$2:$BK272,52,FALSE),"idk")))))</f>
        <v>-136.54295506071665</v>
      </c>
      <c r="BM273" s="136">
        <v>25</v>
      </c>
      <c r="BN273" s="136">
        <v>13</v>
      </c>
      <c r="BO273" s="136">
        <v>1</v>
      </c>
      <c r="BP273" s="136" t="s">
        <v>245</v>
      </c>
      <c r="BQ273" s="136"/>
      <c r="BR273" s="136" t="s">
        <v>247</v>
      </c>
      <c r="BS273" s="136"/>
      <c r="BT273" s="136">
        <v>0</v>
      </c>
      <c r="BU273" s="136"/>
      <c r="BV273" s="136"/>
      <c r="BW273" s="136"/>
      <c r="BX273" s="136"/>
      <c r="BY273" s="136"/>
      <c r="BZ273" s="137"/>
      <c r="CA273" s="137"/>
      <c r="CB273" s="137"/>
      <c r="CC273" s="136"/>
      <c r="CD273" s="136"/>
      <c r="CE273" s="136"/>
      <c r="CF273" s="136"/>
      <c r="CG273" s="136"/>
      <c r="CH273" s="136">
        <v>19120</v>
      </c>
      <c r="CI273" s="152"/>
      <c r="CJ273" s="152"/>
      <c r="CK273" s="152"/>
      <c r="CL273" s="152"/>
      <c r="CM273" s="152"/>
      <c r="CN273" s="152"/>
      <c r="CO273" s="152"/>
      <c r="CP273" s="152"/>
      <c r="CQ273" s="152"/>
      <c r="CR273" s="152"/>
      <c r="CS273" s="152"/>
      <c r="CT273" s="152"/>
      <c r="CU273" s="152"/>
      <c r="CV273" s="152"/>
      <c r="CW273" s="152"/>
      <c r="CX273" s="152"/>
      <c r="CY273" s="152"/>
      <c r="CZ273" s="152"/>
      <c r="DA273" s="152"/>
      <c r="DB273" s="152"/>
      <c r="DC273" s="152"/>
      <c r="DD273" s="152"/>
      <c r="DE273" s="152"/>
      <c r="DF273" s="152"/>
      <c r="DG273" s="152"/>
      <c r="DH273" s="152"/>
      <c r="DI273" s="152"/>
      <c r="DJ273" s="136">
        <v>0</v>
      </c>
      <c r="DK273" s="136">
        <v>0</v>
      </c>
      <c r="DL273" s="136"/>
      <c r="DM273" s="136"/>
      <c r="DN273" s="136"/>
      <c r="DO273" s="136">
        <v>25.5</v>
      </c>
      <c r="DP273" s="136"/>
      <c r="DQ273" s="136"/>
      <c r="DR273" s="136"/>
      <c r="DS273" s="136"/>
      <c r="DT273" s="136"/>
      <c r="DU273" s="136" t="s">
        <v>532</v>
      </c>
      <c r="DW273" s="129">
        <f>SUM(_2025_01_07T12_47_export3[[#This Row],[Ni_wt]:[H_wt]])</f>
        <v>100</v>
      </c>
      <c r="DY273" s="130">
        <f>SUM($AM273:BJ273)</f>
        <v>100.00000000000001</v>
      </c>
    </row>
    <row r="274" spans="1:129" x14ac:dyDescent="0.25">
      <c r="A274" s="238" t="s">
        <v>535</v>
      </c>
      <c r="B274" s="238">
        <v>282</v>
      </c>
      <c r="C274" s="238" t="s">
        <v>536</v>
      </c>
      <c r="D274" s="238">
        <v>2015</v>
      </c>
      <c r="E274" s="238" t="s">
        <v>363</v>
      </c>
      <c r="F274" s="238" t="s">
        <v>537</v>
      </c>
      <c r="G274" s="238" t="s">
        <v>226</v>
      </c>
      <c r="H274" s="238">
        <v>0</v>
      </c>
      <c r="I274" s="238">
        <v>850</v>
      </c>
      <c r="J274" s="238">
        <v>500</v>
      </c>
      <c r="K274" s="238" t="s">
        <v>233</v>
      </c>
      <c r="L274" s="238" t="s">
        <v>251</v>
      </c>
      <c r="M274" s="238"/>
      <c r="N274" s="238">
        <v>8900000</v>
      </c>
      <c r="O274" s="239">
        <v>99.4</v>
      </c>
      <c r="P274" s="239"/>
      <c r="Q274" s="239"/>
      <c r="R274" s="239">
        <v>0.1</v>
      </c>
      <c r="S274" s="239"/>
      <c r="T274" s="239"/>
      <c r="U274" s="239">
        <v>0.2</v>
      </c>
      <c r="V274" s="239"/>
      <c r="W274" s="239"/>
      <c r="X274" s="239"/>
      <c r="Y274" s="239">
        <v>0.02</v>
      </c>
      <c r="Z274" s="239"/>
      <c r="AA274" s="239"/>
      <c r="AB274" s="239"/>
      <c r="AC274" s="239"/>
      <c r="AD274" s="239"/>
      <c r="AE274" s="239"/>
      <c r="AF274" s="239"/>
      <c r="AG274" s="239"/>
      <c r="AH274" s="239"/>
      <c r="AI274" s="239"/>
      <c r="AJ274" s="239"/>
      <c r="AK274" s="239"/>
      <c r="AL274" s="239"/>
      <c r="AM274" s="239">
        <f t="shared" si="100"/>
        <v>99.582762724991355</v>
      </c>
      <c r="AN274" s="239">
        <f t="shared" si="101"/>
        <v>0</v>
      </c>
      <c r="AO274" s="239">
        <f t="shared" si="102"/>
        <v>0</v>
      </c>
      <c r="AP274" s="239">
        <f t="shared" si="103"/>
        <v>0.10527826483213952</v>
      </c>
      <c r="AQ274" s="239">
        <f t="shared" si="104"/>
        <v>0</v>
      </c>
      <c r="AR274" s="239">
        <f t="shared" si="105"/>
        <v>0</v>
      </c>
      <c r="AS274" s="239">
        <f t="shared" si="106"/>
        <v>0.21404408776392403</v>
      </c>
      <c r="AT274" s="239">
        <f t="shared" si="107"/>
        <v>0</v>
      </c>
      <c r="AU274" s="239">
        <f t="shared" si="108"/>
        <v>0</v>
      </c>
      <c r="AV274" s="239">
        <f t="shared" si="109"/>
        <v>0</v>
      </c>
      <c r="AW274" s="239">
        <f t="shared" si="110"/>
        <v>9.7914922412572727E-2</v>
      </c>
      <c r="AX274" s="239">
        <f t="shared" si="111"/>
        <v>0</v>
      </c>
      <c r="AY274" s="239">
        <f t="shared" si="112"/>
        <v>0</v>
      </c>
      <c r="AZ274" s="239">
        <f t="shared" si="113"/>
        <v>0</v>
      </c>
      <c r="BA274" s="239">
        <f t="shared" si="114"/>
        <v>0</v>
      </c>
      <c r="BB274" s="239">
        <f t="shared" si="115"/>
        <v>0</v>
      </c>
      <c r="BC274" s="239">
        <f t="shared" si="116"/>
        <v>0</v>
      </c>
      <c r="BD274" s="239">
        <f t="shared" si="117"/>
        <v>0</v>
      </c>
      <c r="BE274" s="239">
        <f t="shared" si="118"/>
        <v>0</v>
      </c>
      <c r="BF274" s="239">
        <f t="shared" si="119"/>
        <v>0</v>
      </c>
      <c r="BG274" s="239">
        <f t="shared" si="120"/>
        <v>0</v>
      </c>
      <c r="BH274" s="239">
        <f t="shared" si="121"/>
        <v>0</v>
      </c>
      <c r="BI274" s="239">
        <f t="shared" si="122"/>
        <v>0</v>
      </c>
      <c r="BJ274" s="239">
        <f t="shared" si="123"/>
        <v>0</v>
      </c>
      <c r="BK274" s="239">
        <f t="shared" si="124"/>
        <v>-116.42563889380685</v>
      </c>
      <c r="BL274" s="239">
        <f>IF($K274=$L274,$BK274,IF(OR($K274="graphite",$K274="vitreous carbon"),$BK$406+($BM$389+$I274)*$BJ$406,IF($K274="Pyrolytic Boron Nitride","PBN",IF(COUNTIF($BH$396:$BH$416,$K274)&gt;0,VLOOKUP($K274,$BH$396:$BK$416,4,FALSE)+($BM$389+$I274)*VLOOKUP($K274,$BH$396:$BK$416,3,FALSE),IF(COUNTIF($L$2:$L273,$K274)&gt;0,VLOOKUP($K274,$L$2:$BK273,52,FALSE),"idk")))))</f>
        <v>-60.821750226979574</v>
      </c>
      <c r="BM274" s="238"/>
      <c r="BN274" s="238"/>
      <c r="BO274" s="238"/>
      <c r="BP274" s="238" t="s">
        <v>245</v>
      </c>
      <c r="BQ274" s="238" t="s">
        <v>351</v>
      </c>
      <c r="BR274" s="238" t="s">
        <v>230</v>
      </c>
      <c r="BS274" s="238"/>
      <c r="BT274" s="238">
        <v>0</v>
      </c>
      <c r="BU274" s="238"/>
      <c r="BV274" s="238"/>
      <c r="BW274" s="238"/>
      <c r="BX274" s="238"/>
      <c r="BY274" s="238"/>
      <c r="BZ274" s="239"/>
      <c r="CA274" s="239"/>
      <c r="CB274" s="239"/>
      <c r="CC274" s="238"/>
      <c r="CD274" s="238"/>
      <c r="CE274" s="238"/>
      <c r="CF274" s="238"/>
      <c r="CG274" s="238"/>
      <c r="CH274" s="238"/>
      <c r="CI274" s="240"/>
      <c r="CJ274" s="240"/>
      <c r="CK274" s="240"/>
      <c r="CL274" s="240"/>
      <c r="CM274" s="240"/>
      <c r="CN274" s="240"/>
      <c r="CO274" s="240"/>
      <c r="CP274" s="240"/>
      <c r="CQ274" s="240"/>
      <c r="CR274" s="240"/>
      <c r="CS274" s="240"/>
      <c r="CT274" s="240"/>
      <c r="CU274" s="240"/>
      <c r="CV274" s="240"/>
      <c r="CW274" s="240"/>
      <c r="CX274" s="240"/>
      <c r="CY274" s="240"/>
      <c r="CZ274" s="240"/>
      <c r="DA274" s="240"/>
      <c r="DB274" s="240"/>
      <c r="DC274" s="240"/>
      <c r="DD274" s="240"/>
      <c r="DE274" s="240"/>
      <c r="DF274" s="240"/>
      <c r="DG274" s="240"/>
      <c r="DH274" s="240"/>
      <c r="DI274" s="240"/>
      <c r="DJ274" s="238">
        <v>0</v>
      </c>
      <c r="DK274" s="238">
        <v>0</v>
      </c>
      <c r="DL274" s="238"/>
      <c r="DM274" s="238"/>
      <c r="DN274" s="238"/>
      <c r="DO274" s="238">
        <v>-0.1</v>
      </c>
      <c r="DP274" s="238"/>
      <c r="DQ274" s="238"/>
      <c r="DR274" s="238"/>
      <c r="DS274" s="238"/>
      <c r="DT274" s="155" t="s">
        <v>539</v>
      </c>
      <c r="DU274" s="238" t="s">
        <v>538</v>
      </c>
      <c r="DW274" s="129">
        <f>SUM(_2025_01_07T12_47_export3[[#This Row],[Ni_wt]:[H_wt]])</f>
        <v>99.72</v>
      </c>
      <c r="DY274" s="130">
        <f>SUM($AM274:BJ274)</f>
        <v>99.999999999999986</v>
      </c>
    </row>
    <row r="275" spans="1:129" x14ac:dyDescent="0.25">
      <c r="A275" s="129" t="s">
        <v>535</v>
      </c>
      <c r="B275" s="129">
        <v>283</v>
      </c>
      <c r="C275" s="129" t="s">
        <v>536</v>
      </c>
      <c r="D275" s="129">
        <v>2015</v>
      </c>
      <c r="E275" s="129" t="s">
        <v>363</v>
      </c>
      <c r="F275" s="129" t="s">
        <v>537</v>
      </c>
      <c r="G275" s="129" t="s">
        <v>226</v>
      </c>
      <c r="H275" s="129">
        <v>0</v>
      </c>
      <c r="I275" s="129">
        <v>850</v>
      </c>
      <c r="J275" s="129">
        <v>500</v>
      </c>
      <c r="K275" s="129" t="s">
        <v>48</v>
      </c>
      <c r="L275" s="129" t="s">
        <v>251</v>
      </c>
      <c r="N275" s="129">
        <v>8900000</v>
      </c>
      <c r="O275" s="130">
        <v>99.4</v>
      </c>
      <c r="P275" s="130"/>
      <c r="Q275" s="130"/>
      <c r="R275" s="130">
        <v>0.1</v>
      </c>
      <c r="S275" s="130"/>
      <c r="T275" s="130"/>
      <c r="U275" s="130">
        <v>0.2</v>
      </c>
      <c r="V275" s="130"/>
      <c r="W275" s="130"/>
      <c r="X275" s="130"/>
      <c r="Y275" s="130">
        <v>0.02</v>
      </c>
      <c r="Z275" s="130"/>
      <c r="AA275" s="130"/>
      <c r="AB275" s="130"/>
      <c r="AC275" s="130"/>
      <c r="AD275" s="130"/>
      <c r="AE275" s="130"/>
      <c r="AF275" s="130"/>
      <c r="AG275" s="130"/>
      <c r="AH275" s="130"/>
      <c r="AI275" s="130"/>
      <c r="AJ275" s="130"/>
      <c r="AK275" s="130"/>
      <c r="AL275" s="130"/>
      <c r="AM275" s="130">
        <f t="shared" si="100"/>
        <v>99.582762724991355</v>
      </c>
      <c r="AN275" s="130">
        <f t="shared" si="101"/>
        <v>0</v>
      </c>
      <c r="AO275" s="130">
        <f t="shared" si="102"/>
        <v>0</v>
      </c>
      <c r="AP275" s="130">
        <f t="shared" si="103"/>
        <v>0.10527826483213952</v>
      </c>
      <c r="AQ275" s="130">
        <f t="shared" si="104"/>
        <v>0</v>
      </c>
      <c r="AR275" s="130">
        <f t="shared" si="105"/>
        <v>0</v>
      </c>
      <c r="AS275" s="130">
        <f t="shared" si="106"/>
        <v>0.21404408776392403</v>
      </c>
      <c r="AT275" s="130">
        <f t="shared" si="107"/>
        <v>0</v>
      </c>
      <c r="AU275" s="130">
        <f t="shared" si="108"/>
        <v>0</v>
      </c>
      <c r="AV275" s="130">
        <f t="shared" si="109"/>
        <v>0</v>
      </c>
      <c r="AW275" s="130">
        <f t="shared" si="110"/>
        <v>9.7914922412572727E-2</v>
      </c>
      <c r="AX275" s="130">
        <f t="shared" si="111"/>
        <v>0</v>
      </c>
      <c r="AY275" s="130">
        <f t="shared" si="112"/>
        <v>0</v>
      </c>
      <c r="AZ275" s="130">
        <f t="shared" si="113"/>
        <v>0</v>
      </c>
      <c r="BA275" s="130">
        <f t="shared" si="114"/>
        <v>0</v>
      </c>
      <c r="BB275" s="130">
        <f t="shared" si="115"/>
        <v>0</v>
      </c>
      <c r="BC275" s="130">
        <f t="shared" si="116"/>
        <v>0</v>
      </c>
      <c r="BD275" s="130">
        <f t="shared" si="117"/>
        <v>0</v>
      </c>
      <c r="BE275" s="130">
        <f t="shared" si="118"/>
        <v>0</v>
      </c>
      <c r="BF275" s="130">
        <f t="shared" si="119"/>
        <v>0</v>
      </c>
      <c r="BG275" s="130">
        <f t="shared" si="120"/>
        <v>0</v>
      </c>
      <c r="BH275" s="130">
        <f t="shared" si="121"/>
        <v>0</v>
      </c>
      <c r="BI275" s="130">
        <f t="shared" si="122"/>
        <v>0</v>
      </c>
      <c r="BJ275" s="130">
        <f t="shared" si="123"/>
        <v>0</v>
      </c>
      <c r="BK275" s="130">
        <f t="shared" si="124"/>
        <v>-116.42563889380685</v>
      </c>
      <c r="BL275" s="130">
        <f>IF($K275=$L275,$BK275,IF(OR($K275="graphite",$K275="vitreous carbon"),$BK$406+($BM$389+$I275)*$BJ$406,IF($K275="Pyrolytic Boron Nitride","PBN",IF(COUNTIF($BH$396:$BH$416,$K275)&gt;0,VLOOKUP($K275,$BH$396:$BK$416,4,FALSE)+($BM$389+$I275)*VLOOKUP($K275,$BH$396:$BK$416,3,FALSE),IF(COUNTIF($L$2:$L274,$K275)&gt;0,VLOOKUP($K275,$L$2:$BK274,52,FALSE),"idk")))))</f>
        <v>-116.38598529672362</v>
      </c>
      <c r="BM275" s="129"/>
      <c r="BN275" s="129"/>
      <c r="BP275" s="129" t="s">
        <v>245</v>
      </c>
      <c r="BQ275" s="129" t="s">
        <v>351</v>
      </c>
      <c r="BR275" s="129" t="s">
        <v>230</v>
      </c>
      <c r="BS275" s="129"/>
      <c r="BT275" s="129">
        <v>0</v>
      </c>
      <c r="BV275" s="129"/>
      <c r="BZ275" s="130"/>
      <c r="CA275" s="130"/>
      <c r="CB275" s="130"/>
      <c r="CI275" s="151"/>
      <c r="CJ275" s="151"/>
      <c r="CK275" s="151"/>
      <c r="CL275" s="151"/>
      <c r="CM275" s="151"/>
      <c r="CN275" s="151"/>
      <c r="CO275" s="151"/>
      <c r="CP275" s="151"/>
      <c r="CQ275" s="151"/>
      <c r="CR275" s="151"/>
      <c r="CS275" s="151"/>
      <c r="CT275" s="151"/>
      <c r="CU275" s="151"/>
      <c r="CV275" s="151"/>
      <c r="CW275" s="151"/>
      <c r="CX275" s="151"/>
      <c r="CY275" s="151"/>
      <c r="CZ275" s="151"/>
      <c r="DA275" s="151"/>
      <c r="DB275" s="151"/>
      <c r="DC275" s="151"/>
      <c r="DD275" s="151"/>
      <c r="DE275" s="151"/>
      <c r="DF275" s="151"/>
      <c r="DG275" s="151"/>
      <c r="DH275" s="151"/>
      <c r="DI275" s="151"/>
      <c r="DJ275" s="129">
        <v>0</v>
      </c>
      <c r="DK275" s="129">
        <v>0</v>
      </c>
      <c r="DL275" s="129"/>
      <c r="DO275" s="129">
        <v>-0.6</v>
      </c>
      <c r="DS275" s="129"/>
      <c r="DU275" s="129" t="s">
        <v>538</v>
      </c>
      <c r="DW275" s="129">
        <f>SUM(_2025_01_07T12_47_export3[[#This Row],[Ni_wt]:[H_wt]])</f>
        <v>99.72</v>
      </c>
      <c r="DY275" s="130">
        <f>SUM($AM275:BJ275)</f>
        <v>99.999999999999986</v>
      </c>
    </row>
    <row r="276" spans="1:129" x14ac:dyDescent="0.25">
      <c r="A276" s="129" t="s">
        <v>540</v>
      </c>
      <c r="B276" s="129">
        <v>284</v>
      </c>
      <c r="C276" s="129" t="s">
        <v>536</v>
      </c>
      <c r="D276" s="129">
        <v>2015</v>
      </c>
      <c r="E276" s="129" t="s">
        <v>363</v>
      </c>
      <c r="F276" s="129" t="s">
        <v>537</v>
      </c>
      <c r="G276" s="129" t="s">
        <v>226</v>
      </c>
      <c r="H276" s="129">
        <v>0</v>
      </c>
      <c r="I276" s="129">
        <v>850</v>
      </c>
      <c r="J276" s="129">
        <v>500</v>
      </c>
      <c r="K276" s="129" t="s">
        <v>233</v>
      </c>
      <c r="L276" s="129" t="s">
        <v>239</v>
      </c>
      <c r="N276" s="129">
        <v>8860000</v>
      </c>
      <c r="O276" s="130">
        <v>72.2</v>
      </c>
      <c r="P276" s="130">
        <v>6.3</v>
      </c>
      <c r="Q276" s="130">
        <v>16.100000000000001</v>
      </c>
      <c r="R276" s="130">
        <v>4</v>
      </c>
      <c r="S276" s="130">
        <v>0.1</v>
      </c>
      <c r="T276" s="130">
        <v>0.2</v>
      </c>
      <c r="U276" s="130">
        <v>0.5</v>
      </c>
      <c r="V276" s="130"/>
      <c r="W276" s="130"/>
      <c r="X276" s="130"/>
      <c r="Y276" s="130">
        <v>0.03</v>
      </c>
      <c r="Z276" s="130"/>
      <c r="AA276" s="130"/>
      <c r="AB276" s="130"/>
      <c r="AC276" s="130"/>
      <c r="AD276" s="130"/>
      <c r="AE276" s="130"/>
      <c r="AF276" s="130"/>
      <c r="AG276" s="130"/>
      <c r="AH276" s="130"/>
      <c r="AI276" s="130"/>
      <c r="AJ276" s="130"/>
      <c r="AK276" s="130"/>
      <c r="AL276" s="130"/>
      <c r="AM276" s="130">
        <f t="shared" si="100"/>
        <v>76.58634988904754</v>
      </c>
      <c r="AN276" s="130">
        <f t="shared" si="101"/>
        <v>7.542502959840629</v>
      </c>
      <c r="AO276" s="130">
        <f t="shared" si="102"/>
        <v>10.445131698357409</v>
      </c>
      <c r="AP276" s="130">
        <f t="shared" si="103"/>
        <v>4.458770276525418</v>
      </c>
      <c r="AQ276" s="130">
        <f t="shared" si="104"/>
        <v>3.3871371047870594E-2</v>
      </c>
      <c r="AR276" s="130">
        <f t="shared" si="105"/>
        <v>0.21128654330896371</v>
      </c>
      <c r="AS276" s="130">
        <f t="shared" si="106"/>
        <v>0.56657790303955358</v>
      </c>
      <c r="AT276" s="130">
        <f t="shared" si="107"/>
        <v>0</v>
      </c>
      <c r="AU276" s="130">
        <f t="shared" si="108"/>
        <v>0</v>
      </c>
      <c r="AV276" s="130">
        <f t="shared" si="109"/>
        <v>0</v>
      </c>
      <c r="AW276" s="130">
        <f t="shared" si="110"/>
        <v>0.15550935883260486</v>
      </c>
      <c r="AX276" s="130">
        <f t="shared" si="111"/>
        <v>0</v>
      </c>
      <c r="AY276" s="130">
        <f t="shared" si="112"/>
        <v>0</v>
      </c>
      <c r="AZ276" s="130">
        <f t="shared" si="113"/>
        <v>0</v>
      </c>
      <c r="BA276" s="130">
        <f t="shared" si="114"/>
        <v>0</v>
      </c>
      <c r="BB276" s="130">
        <f t="shared" si="115"/>
        <v>0</v>
      </c>
      <c r="BC276" s="130">
        <f t="shared" si="116"/>
        <v>0</v>
      </c>
      <c r="BD276" s="130">
        <f t="shared" si="117"/>
        <v>0</v>
      </c>
      <c r="BE276" s="130">
        <f t="shared" si="118"/>
        <v>0</v>
      </c>
      <c r="BF276" s="130">
        <f t="shared" si="119"/>
        <v>0</v>
      </c>
      <c r="BG276" s="130">
        <f t="shared" si="120"/>
        <v>0</v>
      </c>
      <c r="BH276" s="130">
        <f t="shared" si="121"/>
        <v>0</v>
      </c>
      <c r="BI276" s="130">
        <f t="shared" si="122"/>
        <v>0</v>
      </c>
      <c r="BJ276" s="130">
        <f t="shared" si="123"/>
        <v>0</v>
      </c>
      <c r="BK276" s="130">
        <f t="shared" si="124"/>
        <v>-118.84917127656649</v>
      </c>
      <c r="BL276" s="130">
        <f>IF($K276=$L276,$BK276,IF(OR($K276="graphite",$K276="vitreous carbon"),$BK$406+($BM$389+$I276)*$BJ$406,IF($K276="Pyrolytic Boron Nitride","PBN",IF(COUNTIF($BH$396:$BH$416,$K276)&gt;0,VLOOKUP($K276,$BH$396:$BK$416,4,FALSE)+($BM$389+$I276)*VLOOKUP($K276,$BH$396:$BK$416,3,FALSE),IF(COUNTIF($L$2:$L275,$K276)&gt;0,VLOOKUP($K276,$L$2:$BK275,52,FALSE),"idk")))))</f>
        <v>-60.821750226979574</v>
      </c>
      <c r="BM276" s="129"/>
      <c r="BN276" s="129"/>
      <c r="BP276" s="129" t="s">
        <v>245</v>
      </c>
      <c r="BQ276" s="129" t="s">
        <v>351</v>
      </c>
      <c r="BR276" s="129" t="s">
        <v>230</v>
      </c>
      <c r="BS276" s="129"/>
      <c r="BT276" s="129">
        <v>0</v>
      </c>
      <c r="BV276" s="129"/>
      <c r="BZ276" s="130"/>
      <c r="CA276" s="130"/>
      <c r="CB276" s="130"/>
      <c r="CI276" s="151"/>
      <c r="CJ276" s="151"/>
      <c r="CK276" s="151"/>
      <c r="CL276" s="151"/>
      <c r="CM276" s="151"/>
      <c r="CN276" s="151"/>
      <c r="CO276" s="151"/>
      <c r="CP276" s="151"/>
      <c r="CQ276" s="151"/>
      <c r="CR276" s="151"/>
      <c r="CS276" s="151"/>
      <c r="CT276" s="151"/>
      <c r="CU276" s="151"/>
      <c r="CV276" s="151"/>
      <c r="CW276" s="151"/>
      <c r="CX276" s="151"/>
      <c r="CY276" s="151"/>
      <c r="CZ276" s="151"/>
      <c r="DA276" s="151"/>
      <c r="DB276" s="151"/>
      <c r="DC276" s="151"/>
      <c r="DD276" s="151"/>
      <c r="DE276" s="151"/>
      <c r="DF276" s="151"/>
      <c r="DG276" s="151"/>
      <c r="DH276" s="151"/>
      <c r="DI276" s="151"/>
      <c r="DJ276" s="129">
        <v>0</v>
      </c>
      <c r="DK276" s="129">
        <v>0</v>
      </c>
      <c r="DL276" s="129"/>
      <c r="DO276" s="129">
        <v>-2.2999999999999998</v>
      </c>
      <c r="DS276" s="129"/>
      <c r="DU276" s="129" t="s">
        <v>538</v>
      </c>
      <c r="DW276" s="129">
        <f>SUM(_2025_01_07T12_47_export3[[#This Row],[Ni_wt]:[H_wt]])</f>
        <v>99.429999999999993</v>
      </c>
      <c r="DY276" s="130">
        <f>SUM($AM276:BJ276)</f>
        <v>99.999999999999986</v>
      </c>
    </row>
    <row r="277" spans="1:129" x14ac:dyDescent="0.25">
      <c r="A277" s="129" t="s">
        <v>540</v>
      </c>
      <c r="B277" s="129">
        <v>285</v>
      </c>
      <c r="C277" s="129" t="s">
        <v>536</v>
      </c>
      <c r="D277" s="129">
        <v>2015</v>
      </c>
      <c r="E277" s="129" t="s">
        <v>363</v>
      </c>
      <c r="F277" s="129" t="s">
        <v>537</v>
      </c>
      <c r="G277" s="129" t="s">
        <v>226</v>
      </c>
      <c r="H277" s="129">
        <v>0</v>
      </c>
      <c r="I277" s="129">
        <v>850</v>
      </c>
      <c r="J277" s="129">
        <v>500</v>
      </c>
      <c r="K277" s="129" t="s">
        <v>48</v>
      </c>
      <c r="L277" s="129" t="s">
        <v>239</v>
      </c>
      <c r="N277" s="129">
        <v>8860000</v>
      </c>
      <c r="O277" s="130">
        <v>72.2</v>
      </c>
      <c r="P277" s="130">
        <v>6.3</v>
      </c>
      <c r="Q277" s="130">
        <v>16.100000000000001</v>
      </c>
      <c r="R277" s="130">
        <v>4</v>
      </c>
      <c r="S277" s="130">
        <v>0.1</v>
      </c>
      <c r="T277" s="130">
        <v>0.2</v>
      </c>
      <c r="U277" s="130">
        <v>0.5</v>
      </c>
      <c r="V277" s="130"/>
      <c r="W277" s="130"/>
      <c r="X277" s="130"/>
      <c r="Y277" s="130">
        <v>0.03</v>
      </c>
      <c r="Z277" s="130"/>
      <c r="AA277" s="130"/>
      <c r="AB277" s="130"/>
      <c r="AC277" s="130"/>
      <c r="AD277" s="130"/>
      <c r="AE277" s="130"/>
      <c r="AF277" s="130"/>
      <c r="AG277" s="130"/>
      <c r="AH277" s="130"/>
      <c r="AI277" s="130"/>
      <c r="AJ277" s="130"/>
      <c r="AK277" s="130"/>
      <c r="AL277" s="130"/>
      <c r="AM277" s="130">
        <f t="shared" si="100"/>
        <v>76.58634988904754</v>
      </c>
      <c r="AN277" s="130">
        <f t="shared" si="101"/>
        <v>7.542502959840629</v>
      </c>
      <c r="AO277" s="130">
        <f t="shared" si="102"/>
        <v>10.445131698357409</v>
      </c>
      <c r="AP277" s="130">
        <f t="shared" si="103"/>
        <v>4.458770276525418</v>
      </c>
      <c r="AQ277" s="130">
        <f t="shared" si="104"/>
        <v>3.3871371047870594E-2</v>
      </c>
      <c r="AR277" s="130">
        <f t="shared" si="105"/>
        <v>0.21128654330896371</v>
      </c>
      <c r="AS277" s="130">
        <f t="shared" si="106"/>
        <v>0.56657790303955358</v>
      </c>
      <c r="AT277" s="130">
        <f t="shared" si="107"/>
        <v>0</v>
      </c>
      <c r="AU277" s="130">
        <f t="shared" si="108"/>
        <v>0</v>
      </c>
      <c r="AV277" s="130">
        <f t="shared" si="109"/>
        <v>0</v>
      </c>
      <c r="AW277" s="130">
        <f t="shared" si="110"/>
        <v>0.15550935883260486</v>
      </c>
      <c r="AX277" s="130">
        <f t="shared" si="111"/>
        <v>0</v>
      </c>
      <c r="AY277" s="130">
        <f t="shared" si="112"/>
        <v>0</v>
      </c>
      <c r="AZ277" s="130">
        <f t="shared" si="113"/>
        <v>0</v>
      </c>
      <c r="BA277" s="130">
        <f t="shared" si="114"/>
        <v>0</v>
      </c>
      <c r="BB277" s="130">
        <f t="shared" si="115"/>
        <v>0</v>
      </c>
      <c r="BC277" s="130">
        <f t="shared" si="116"/>
        <v>0</v>
      </c>
      <c r="BD277" s="130">
        <f t="shared" si="117"/>
        <v>0</v>
      </c>
      <c r="BE277" s="130">
        <f t="shared" si="118"/>
        <v>0</v>
      </c>
      <c r="BF277" s="130">
        <f t="shared" si="119"/>
        <v>0</v>
      </c>
      <c r="BG277" s="130">
        <f t="shared" si="120"/>
        <v>0</v>
      </c>
      <c r="BH277" s="130">
        <f t="shared" si="121"/>
        <v>0</v>
      </c>
      <c r="BI277" s="130">
        <f t="shared" si="122"/>
        <v>0</v>
      </c>
      <c r="BJ277" s="130">
        <f t="shared" si="123"/>
        <v>0</v>
      </c>
      <c r="BK277" s="130">
        <f t="shared" si="124"/>
        <v>-118.84917127656649</v>
      </c>
      <c r="BL277" s="130">
        <f>IF($K277=$L277,$BK277,IF(OR($K277="graphite",$K277="vitreous carbon"),$BK$406+($BM$389+$I277)*$BJ$406,IF($K277="Pyrolytic Boron Nitride","PBN",IF(COUNTIF($BH$396:$BH$416,$K277)&gt;0,VLOOKUP($K277,$BH$396:$BK$416,4,FALSE)+($BM$389+$I277)*VLOOKUP($K277,$BH$396:$BK$416,3,FALSE),IF(COUNTIF($L$2:$L276,$K277)&gt;0,VLOOKUP($K277,$L$2:$BK276,52,FALSE),"idk")))))</f>
        <v>-116.38598529672362</v>
      </c>
      <c r="BM277" s="129"/>
      <c r="BN277" s="129"/>
      <c r="BP277" s="129" t="s">
        <v>245</v>
      </c>
      <c r="BQ277" s="129" t="s">
        <v>351</v>
      </c>
      <c r="BR277" s="129" t="s">
        <v>230</v>
      </c>
      <c r="BS277" s="129"/>
      <c r="BT277" s="129">
        <v>0</v>
      </c>
      <c r="BV277" s="129"/>
      <c r="BZ277" s="130"/>
      <c r="CA277" s="130"/>
      <c r="CB277" s="130"/>
      <c r="CI277" s="151"/>
      <c r="CJ277" s="151"/>
      <c r="CK277" s="151"/>
      <c r="CL277" s="151"/>
      <c r="CM277" s="151"/>
      <c r="CN277" s="151"/>
      <c r="CO277" s="151"/>
      <c r="CP277" s="151"/>
      <c r="CQ277" s="151"/>
      <c r="CR277" s="151"/>
      <c r="CS277" s="151"/>
      <c r="CT277" s="151"/>
      <c r="CU277" s="151"/>
      <c r="CV277" s="151"/>
      <c r="CW277" s="151"/>
      <c r="CX277" s="151"/>
      <c r="CY277" s="151"/>
      <c r="CZ277" s="151"/>
      <c r="DA277" s="151"/>
      <c r="DB277" s="151"/>
      <c r="DC277" s="151"/>
      <c r="DD277" s="151"/>
      <c r="DE277" s="151"/>
      <c r="DF277" s="151"/>
      <c r="DG277" s="151"/>
      <c r="DH277" s="151"/>
      <c r="DI277" s="151"/>
      <c r="DJ277" s="129">
        <v>0</v>
      </c>
      <c r="DK277" s="129">
        <v>0</v>
      </c>
      <c r="DL277" s="129"/>
      <c r="DO277" s="129">
        <v>-0.8</v>
      </c>
      <c r="DS277" s="129"/>
      <c r="DU277" s="129" t="s">
        <v>538</v>
      </c>
      <c r="DW277" s="129">
        <f>SUM(_2025_01_07T12_47_export3[[#This Row],[Ni_wt]:[H_wt]])</f>
        <v>99.429999999999993</v>
      </c>
      <c r="DY277" s="130">
        <f>SUM($AM277:BJ277)</f>
        <v>99.999999999999986</v>
      </c>
    </row>
    <row r="278" spans="1:129" x14ac:dyDescent="0.25">
      <c r="A278" s="129" t="s">
        <v>541</v>
      </c>
      <c r="B278" s="129">
        <v>286</v>
      </c>
      <c r="C278" s="129" t="s">
        <v>536</v>
      </c>
      <c r="D278" s="129">
        <v>2015</v>
      </c>
      <c r="E278" s="129" t="s">
        <v>363</v>
      </c>
      <c r="F278" s="129" t="s">
        <v>537</v>
      </c>
      <c r="G278" s="129" t="s">
        <v>226</v>
      </c>
      <c r="H278" s="129">
        <v>0</v>
      </c>
      <c r="I278" s="129">
        <v>850</v>
      </c>
      <c r="J278" s="129">
        <v>500</v>
      </c>
      <c r="K278" s="129" t="s">
        <v>233</v>
      </c>
      <c r="L278" s="129" t="s">
        <v>250</v>
      </c>
      <c r="N278" s="129">
        <v>7940000</v>
      </c>
      <c r="O278" s="130">
        <v>31.6</v>
      </c>
      <c r="P278" s="130">
        <v>20.399999999999999</v>
      </c>
      <c r="Q278" s="130"/>
      <c r="R278" s="130">
        <v>45.3</v>
      </c>
      <c r="S278" s="130"/>
      <c r="T278" s="130"/>
      <c r="U278" s="130">
        <v>0.8</v>
      </c>
      <c r="V278" s="130">
        <v>0.5</v>
      </c>
      <c r="W278" s="130">
        <v>0.6</v>
      </c>
      <c r="X278" s="130"/>
      <c r="Y278" s="130">
        <v>7.0000000000000007E-2</v>
      </c>
      <c r="Z278" s="130"/>
      <c r="AA278" s="130"/>
      <c r="AB278" s="130"/>
      <c r="AC278" s="130"/>
      <c r="AD278" s="130"/>
      <c r="AE278" s="130"/>
      <c r="AF278" s="130"/>
      <c r="AG278" s="130"/>
      <c r="AH278" s="130"/>
      <c r="AI278" s="130"/>
      <c r="AJ278" s="130"/>
      <c r="AK278" s="130"/>
      <c r="AL278" s="130"/>
      <c r="AM278" s="130">
        <f t="shared" si="100"/>
        <v>30.024318115593513</v>
      </c>
      <c r="AN278" s="130">
        <f t="shared" si="101"/>
        <v>21.876457823859138</v>
      </c>
      <c r="AO278" s="130">
        <f t="shared" si="102"/>
        <v>0</v>
      </c>
      <c r="AP278" s="130">
        <f t="shared" si="103"/>
        <v>45.229855925257233</v>
      </c>
      <c r="AQ278" s="130">
        <f t="shared" si="104"/>
        <v>0</v>
      </c>
      <c r="AR278" s="130">
        <f t="shared" si="105"/>
        <v>0</v>
      </c>
      <c r="AS278" s="130">
        <f t="shared" si="106"/>
        <v>0.81199155359549113</v>
      </c>
      <c r="AT278" s="130">
        <f t="shared" si="107"/>
        <v>1.0334232754479309</v>
      </c>
      <c r="AU278" s="130">
        <f t="shared" si="108"/>
        <v>0.69893695353879692</v>
      </c>
      <c r="AV278" s="130">
        <f t="shared" si="109"/>
        <v>0</v>
      </c>
      <c r="AW278" s="130">
        <f t="shared" si="110"/>
        <v>0.3250163527079038</v>
      </c>
      <c r="AX278" s="130">
        <f t="shared" si="111"/>
        <v>0</v>
      </c>
      <c r="AY278" s="130">
        <f t="shared" si="112"/>
        <v>0</v>
      </c>
      <c r="AZ278" s="130">
        <f t="shared" si="113"/>
        <v>0</v>
      </c>
      <c r="BA278" s="130">
        <f t="shared" si="114"/>
        <v>0</v>
      </c>
      <c r="BB278" s="130">
        <f t="shared" si="115"/>
        <v>0</v>
      </c>
      <c r="BC278" s="130">
        <f t="shared" si="116"/>
        <v>0</v>
      </c>
      <c r="BD278" s="130">
        <f t="shared" si="117"/>
        <v>0</v>
      </c>
      <c r="BE278" s="130">
        <f t="shared" si="118"/>
        <v>0</v>
      </c>
      <c r="BF278" s="130">
        <f t="shared" si="119"/>
        <v>0</v>
      </c>
      <c r="BG278" s="130">
        <f t="shared" si="120"/>
        <v>0</v>
      </c>
      <c r="BH278" s="130">
        <f t="shared" si="121"/>
        <v>0</v>
      </c>
      <c r="BI278" s="130">
        <f t="shared" si="122"/>
        <v>0</v>
      </c>
      <c r="BJ278" s="130">
        <f t="shared" si="123"/>
        <v>0</v>
      </c>
      <c r="BK278" s="130">
        <f t="shared" si="124"/>
        <v>-130.28483790834721</v>
      </c>
      <c r="BL278" s="130">
        <f>IF($K278=$L278,$BK278,IF(OR($K278="graphite",$K278="vitreous carbon"),$BK$406+($BM$389+$I278)*$BJ$406,IF($K278="Pyrolytic Boron Nitride","PBN",IF(COUNTIF($BH$396:$BH$416,$K278)&gt;0,VLOOKUP($K278,$BH$396:$BK$416,4,FALSE)+($BM$389+$I278)*VLOOKUP($K278,$BH$396:$BK$416,3,FALSE),IF(COUNTIF($L$2:$L277,$K278)&gt;0,VLOOKUP($K278,$L$2:$BK277,52,FALSE),"idk")))))</f>
        <v>-60.821750226979574</v>
      </c>
      <c r="BM278" s="129"/>
      <c r="BN278" s="129"/>
      <c r="BP278" s="129" t="s">
        <v>245</v>
      </c>
      <c r="BQ278" s="129" t="s">
        <v>351</v>
      </c>
      <c r="BR278" s="129" t="s">
        <v>230</v>
      </c>
      <c r="BS278" s="129"/>
      <c r="BT278" s="129">
        <v>0</v>
      </c>
      <c r="BV278" s="129"/>
      <c r="BZ278" s="130"/>
      <c r="CA278" s="130"/>
      <c r="CB278" s="130"/>
      <c r="CI278" s="151"/>
      <c r="CJ278" s="151"/>
      <c r="CK278" s="151"/>
      <c r="CL278" s="151"/>
      <c r="CM278" s="151"/>
      <c r="CN278" s="151"/>
      <c r="CO278" s="151"/>
      <c r="CP278" s="151"/>
      <c r="CQ278" s="151"/>
      <c r="CR278" s="151"/>
      <c r="CS278" s="151"/>
      <c r="CT278" s="151"/>
      <c r="CU278" s="151"/>
      <c r="CV278" s="151"/>
      <c r="CW278" s="151"/>
      <c r="CX278" s="151"/>
      <c r="CY278" s="151"/>
      <c r="CZ278" s="151"/>
      <c r="DA278" s="151"/>
      <c r="DB278" s="151"/>
      <c r="DC278" s="151"/>
      <c r="DD278" s="151"/>
      <c r="DE278" s="151"/>
      <c r="DF278" s="151"/>
      <c r="DG278" s="151"/>
      <c r="DH278" s="151"/>
      <c r="DI278" s="151"/>
      <c r="DJ278" s="129">
        <v>0</v>
      </c>
      <c r="DK278" s="129">
        <v>0</v>
      </c>
      <c r="DL278" s="129"/>
      <c r="DO278" s="129">
        <v>-28.6</v>
      </c>
      <c r="DS278" s="129"/>
      <c r="DU278" s="129" t="s">
        <v>538</v>
      </c>
      <c r="DW278" s="129">
        <f>SUM(_2025_01_07T12_47_export3[[#This Row],[Ni_wt]:[H_wt]])</f>
        <v>99.269999999999982</v>
      </c>
      <c r="DY278" s="130">
        <f>SUM($AM278:BJ278)</f>
        <v>100</v>
      </c>
    </row>
    <row r="279" spans="1:129" x14ac:dyDescent="0.25">
      <c r="A279" s="129" t="s">
        <v>541</v>
      </c>
      <c r="B279" s="129">
        <v>287</v>
      </c>
      <c r="C279" s="129" t="s">
        <v>536</v>
      </c>
      <c r="D279" s="129">
        <v>2015</v>
      </c>
      <c r="E279" s="129" t="s">
        <v>363</v>
      </c>
      <c r="F279" s="129" t="s">
        <v>537</v>
      </c>
      <c r="G279" s="129" t="s">
        <v>226</v>
      </c>
      <c r="H279" s="129">
        <v>0</v>
      </c>
      <c r="I279" s="129">
        <v>850</v>
      </c>
      <c r="J279" s="129">
        <v>500</v>
      </c>
      <c r="K279" s="129" t="s">
        <v>48</v>
      </c>
      <c r="L279" s="129" t="s">
        <v>250</v>
      </c>
      <c r="N279" s="129">
        <v>7940000</v>
      </c>
      <c r="O279" s="130">
        <v>31.6</v>
      </c>
      <c r="P279" s="130">
        <v>20.399999999999999</v>
      </c>
      <c r="Q279" s="130"/>
      <c r="R279" s="130">
        <v>45.3</v>
      </c>
      <c r="S279" s="130"/>
      <c r="T279" s="130"/>
      <c r="U279" s="130">
        <v>0.8</v>
      </c>
      <c r="V279" s="130">
        <v>0.5</v>
      </c>
      <c r="W279" s="130">
        <v>0.6</v>
      </c>
      <c r="X279" s="130"/>
      <c r="Y279" s="130">
        <v>7.0000000000000007E-2</v>
      </c>
      <c r="Z279" s="130"/>
      <c r="AA279" s="130"/>
      <c r="AB279" s="130"/>
      <c r="AC279" s="130"/>
      <c r="AD279" s="130"/>
      <c r="AE279" s="130"/>
      <c r="AF279" s="130"/>
      <c r="AG279" s="130"/>
      <c r="AH279" s="130"/>
      <c r="AI279" s="130"/>
      <c r="AJ279" s="130"/>
      <c r="AK279" s="130"/>
      <c r="AL279" s="130"/>
      <c r="AM279" s="130">
        <f t="shared" si="100"/>
        <v>30.024318115593513</v>
      </c>
      <c r="AN279" s="130">
        <f t="shared" si="101"/>
        <v>21.876457823859138</v>
      </c>
      <c r="AO279" s="130">
        <f t="shared" si="102"/>
        <v>0</v>
      </c>
      <c r="AP279" s="130">
        <f t="shared" si="103"/>
        <v>45.229855925257233</v>
      </c>
      <c r="AQ279" s="130">
        <f t="shared" si="104"/>
        <v>0</v>
      </c>
      <c r="AR279" s="130">
        <f t="shared" si="105"/>
        <v>0</v>
      </c>
      <c r="AS279" s="130">
        <f t="shared" si="106"/>
        <v>0.81199155359549113</v>
      </c>
      <c r="AT279" s="130">
        <f t="shared" si="107"/>
        <v>1.0334232754479309</v>
      </c>
      <c r="AU279" s="130">
        <f t="shared" si="108"/>
        <v>0.69893695353879692</v>
      </c>
      <c r="AV279" s="130">
        <f t="shared" si="109"/>
        <v>0</v>
      </c>
      <c r="AW279" s="130">
        <f t="shared" si="110"/>
        <v>0.3250163527079038</v>
      </c>
      <c r="AX279" s="130">
        <f t="shared" si="111"/>
        <v>0</v>
      </c>
      <c r="AY279" s="130">
        <f t="shared" si="112"/>
        <v>0</v>
      </c>
      <c r="AZ279" s="130">
        <f t="shared" si="113"/>
        <v>0</v>
      </c>
      <c r="BA279" s="130">
        <f t="shared" si="114"/>
        <v>0</v>
      </c>
      <c r="BB279" s="130">
        <f t="shared" si="115"/>
        <v>0</v>
      </c>
      <c r="BC279" s="130">
        <f t="shared" si="116"/>
        <v>0</v>
      </c>
      <c r="BD279" s="130">
        <f t="shared" si="117"/>
        <v>0</v>
      </c>
      <c r="BE279" s="130">
        <f t="shared" si="118"/>
        <v>0</v>
      </c>
      <c r="BF279" s="130">
        <f t="shared" si="119"/>
        <v>0</v>
      </c>
      <c r="BG279" s="130">
        <f t="shared" si="120"/>
        <v>0</v>
      </c>
      <c r="BH279" s="130">
        <f t="shared" si="121"/>
        <v>0</v>
      </c>
      <c r="BI279" s="130">
        <f t="shared" si="122"/>
        <v>0</v>
      </c>
      <c r="BJ279" s="130">
        <f t="shared" si="123"/>
        <v>0</v>
      </c>
      <c r="BK279" s="130">
        <f t="shared" si="124"/>
        <v>-130.28483790834721</v>
      </c>
      <c r="BL279" s="130">
        <f>IF($K279=$L279,$BK279,IF(OR($K279="graphite",$K279="vitreous carbon"),$BK$406+($BM$389+$I279)*$BJ$406,IF($K279="Pyrolytic Boron Nitride","PBN",IF(COUNTIF($BH$396:$BH$416,$K279)&gt;0,VLOOKUP($K279,$BH$396:$BK$416,4,FALSE)+($BM$389+$I279)*VLOOKUP($K279,$BH$396:$BK$416,3,FALSE),IF(COUNTIF($L$2:$L278,$K279)&gt;0,VLOOKUP($K279,$L$2:$BK278,52,FALSE),"idk")))))</f>
        <v>-116.38598529672362</v>
      </c>
      <c r="BM279" s="129"/>
      <c r="BN279" s="129"/>
      <c r="BP279" s="129" t="s">
        <v>245</v>
      </c>
      <c r="BQ279" s="129" t="s">
        <v>351</v>
      </c>
      <c r="BR279" s="129" t="s">
        <v>230</v>
      </c>
      <c r="BS279" s="129"/>
      <c r="BT279" s="129">
        <v>0</v>
      </c>
      <c r="BV279" s="129"/>
      <c r="BZ279" s="130"/>
      <c r="CA279" s="130"/>
      <c r="CB279" s="130"/>
      <c r="CI279" s="151"/>
      <c r="CJ279" s="151"/>
      <c r="CK279" s="151"/>
      <c r="CL279" s="151"/>
      <c r="CM279" s="151"/>
      <c r="CN279" s="151"/>
      <c r="CO279" s="151"/>
      <c r="CP279" s="151"/>
      <c r="CQ279" s="151"/>
      <c r="CR279" s="151"/>
      <c r="CS279" s="151"/>
      <c r="CT279" s="151"/>
      <c r="CU279" s="151"/>
      <c r="CV279" s="151"/>
      <c r="CW279" s="151"/>
      <c r="CX279" s="151"/>
      <c r="CY279" s="151"/>
      <c r="CZ279" s="151"/>
      <c r="DA279" s="151"/>
      <c r="DB279" s="151"/>
      <c r="DC279" s="151"/>
      <c r="DD279" s="151"/>
      <c r="DE279" s="151"/>
      <c r="DF279" s="151"/>
      <c r="DG279" s="151"/>
      <c r="DH279" s="151"/>
      <c r="DI279" s="151"/>
      <c r="DJ279" s="129">
        <v>0</v>
      </c>
      <c r="DK279" s="129">
        <v>0</v>
      </c>
      <c r="DL279" s="129"/>
      <c r="DO279" s="129">
        <v>-33</v>
      </c>
      <c r="DS279" s="129"/>
      <c r="DU279" s="129" t="s">
        <v>538</v>
      </c>
      <c r="DW279" s="129">
        <f>SUM(_2025_01_07T12_47_export3[[#This Row],[Ni_wt]:[H_wt]])</f>
        <v>99.269999999999982</v>
      </c>
      <c r="DY279" s="130">
        <f>SUM($AM279:BJ279)</f>
        <v>100</v>
      </c>
    </row>
    <row r="280" spans="1:129" x14ac:dyDescent="0.25">
      <c r="A280" s="129" t="s">
        <v>541</v>
      </c>
      <c r="B280" s="129">
        <v>288</v>
      </c>
      <c r="C280" s="129" t="s">
        <v>536</v>
      </c>
      <c r="D280" s="129">
        <v>2015</v>
      </c>
      <c r="E280" s="129" t="s">
        <v>363</v>
      </c>
      <c r="F280" s="129" t="s">
        <v>537</v>
      </c>
      <c r="G280" s="129" t="s">
        <v>226</v>
      </c>
      <c r="H280" s="129">
        <v>0</v>
      </c>
      <c r="I280" s="129">
        <v>850</v>
      </c>
      <c r="J280" s="129">
        <v>500</v>
      </c>
      <c r="K280" s="129" t="s">
        <v>268</v>
      </c>
      <c r="L280" s="129" t="s">
        <v>250</v>
      </c>
      <c r="N280" s="129">
        <v>7940000</v>
      </c>
      <c r="O280" s="130">
        <v>31.6</v>
      </c>
      <c r="P280" s="130">
        <v>20.399999999999999</v>
      </c>
      <c r="Q280" s="130"/>
      <c r="R280" s="130">
        <v>45.3</v>
      </c>
      <c r="S280" s="130"/>
      <c r="T280" s="130"/>
      <c r="U280" s="130">
        <v>0.8</v>
      </c>
      <c r="V280" s="130">
        <v>0.5</v>
      </c>
      <c r="W280" s="130">
        <v>0.6</v>
      </c>
      <c r="X280" s="130"/>
      <c r="Y280" s="130">
        <v>7.0000000000000007E-2</v>
      </c>
      <c r="Z280" s="130"/>
      <c r="AA280" s="130"/>
      <c r="AB280" s="130"/>
      <c r="AC280" s="130"/>
      <c r="AD280" s="130"/>
      <c r="AE280" s="130"/>
      <c r="AF280" s="130"/>
      <c r="AG280" s="130"/>
      <c r="AH280" s="130"/>
      <c r="AI280" s="130"/>
      <c r="AJ280" s="130"/>
      <c r="AK280" s="130"/>
      <c r="AL280" s="130"/>
      <c r="AM280" s="130">
        <f t="shared" si="100"/>
        <v>30.024318115593513</v>
      </c>
      <c r="AN280" s="130">
        <f t="shared" si="101"/>
        <v>21.876457823859138</v>
      </c>
      <c r="AO280" s="130">
        <f t="shared" si="102"/>
        <v>0</v>
      </c>
      <c r="AP280" s="130">
        <f t="shared" si="103"/>
        <v>45.229855925257233</v>
      </c>
      <c r="AQ280" s="130">
        <f t="shared" si="104"/>
        <v>0</v>
      </c>
      <c r="AR280" s="130">
        <f t="shared" si="105"/>
        <v>0</v>
      </c>
      <c r="AS280" s="130">
        <f t="shared" si="106"/>
        <v>0.81199155359549113</v>
      </c>
      <c r="AT280" s="130">
        <f t="shared" si="107"/>
        <v>1.0334232754479309</v>
      </c>
      <c r="AU280" s="130">
        <f t="shared" si="108"/>
        <v>0.69893695353879692</v>
      </c>
      <c r="AV280" s="130">
        <f t="shared" si="109"/>
        <v>0</v>
      </c>
      <c r="AW280" s="130">
        <f t="shared" si="110"/>
        <v>0.3250163527079038</v>
      </c>
      <c r="AX280" s="130">
        <f t="shared" si="111"/>
        <v>0</v>
      </c>
      <c r="AY280" s="130">
        <f t="shared" si="112"/>
        <v>0</v>
      </c>
      <c r="AZ280" s="130">
        <f t="shared" si="113"/>
        <v>0</v>
      </c>
      <c r="BA280" s="130">
        <f t="shared" si="114"/>
        <v>0</v>
      </c>
      <c r="BB280" s="130">
        <f t="shared" si="115"/>
        <v>0</v>
      </c>
      <c r="BC280" s="130">
        <f t="shared" si="116"/>
        <v>0</v>
      </c>
      <c r="BD280" s="130">
        <f t="shared" si="117"/>
        <v>0</v>
      </c>
      <c r="BE280" s="130">
        <f t="shared" si="118"/>
        <v>0</v>
      </c>
      <c r="BF280" s="130">
        <f t="shared" si="119"/>
        <v>0</v>
      </c>
      <c r="BG280" s="130">
        <f t="shared" si="120"/>
        <v>0</v>
      </c>
      <c r="BH280" s="130">
        <f t="shared" si="121"/>
        <v>0</v>
      </c>
      <c r="BI280" s="130">
        <f t="shared" si="122"/>
        <v>0</v>
      </c>
      <c r="BJ280" s="130">
        <f t="shared" si="123"/>
        <v>0</v>
      </c>
      <c r="BK280" s="130">
        <f t="shared" si="124"/>
        <v>-130.28483790834721</v>
      </c>
      <c r="BL280" s="130" t="str">
        <f>IF($K280=$L280,$BK280,IF(OR($K280="graphite",$K280="vitreous carbon"),$BK$406+($BM$389+$I280)*$BJ$406,IF($K280="Pyrolytic Boron Nitride","PBN",IF(COUNTIF($BH$396:$BH$416,$K280)&gt;0,VLOOKUP($K280,$BH$396:$BK$416,4,FALSE)+($BM$389+$I280)*VLOOKUP($K280,$BH$396:$BK$416,3,FALSE),IF(COUNTIF($L$2:$L279,$K280)&gt;0,VLOOKUP($K280,$L$2:$BK279,52,FALSE),"idk")))))</f>
        <v>PBN</v>
      </c>
      <c r="BM280" s="129"/>
      <c r="BN280" s="129"/>
      <c r="BP280" s="129" t="s">
        <v>245</v>
      </c>
      <c r="BQ280" s="129" t="s">
        <v>351</v>
      </c>
      <c r="BR280" s="129" t="s">
        <v>230</v>
      </c>
      <c r="BS280" s="129"/>
      <c r="BT280" s="129">
        <v>0</v>
      </c>
      <c r="BV280" s="129"/>
      <c r="BZ280" s="130"/>
      <c r="CA280" s="130"/>
      <c r="CB280" s="130"/>
      <c r="CI280" s="151"/>
      <c r="CJ280" s="151"/>
      <c r="CK280" s="151"/>
      <c r="CL280" s="151"/>
      <c r="CM280" s="151"/>
      <c r="CN280" s="151"/>
      <c r="CO280" s="151"/>
      <c r="CP280" s="151"/>
      <c r="CQ280" s="151"/>
      <c r="CR280" s="151"/>
      <c r="CS280" s="151"/>
      <c r="CT280" s="151"/>
      <c r="CU280" s="151"/>
      <c r="CV280" s="151"/>
      <c r="CW280" s="151"/>
      <c r="CX280" s="151"/>
      <c r="CY280" s="151"/>
      <c r="CZ280" s="151"/>
      <c r="DA280" s="151"/>
      <c r="DB280" s="151"/>
      <c r="DC280" s="151"/>
      <c r="DD280" s="151"/>
      <c r="DE280" s="151"/>
      <c r="DF280" s="151"/>
      <c r="DG280" s="151"/>
      <c r="DH280" s="151"/>
      <c r="DI280" s="151"/>
      <c r="DJ280" s="129">
        <v>0</v>
      </c>
      <c r="DK280" s="129">
        <v>0</v>
      </c>
      <c r="DL280" s="129"/>
      <c r="DO280" s="129">
        <v>-1</v>
      </c>
      <c r="DS280" s="129"/>
      <c r="DU280" s="129" t="s">
        <v>538</v>
      </c>
      <c r="DW280" s="129">
        <f>SUM(_2025_01_07T12_47_export3[[#This Row],[Ni_wt]:[H_wt]])</f>
        <v>99.269999999999982</v>
      </c>
      <c r="DY280" s="130">
        <f>SUM($AM280:BJ280)</f>
        <v>100</v>
      </c>
    </row>
    <row r="281" spans="1:129" ht="16.5" thickBot="1" x14ac:dyDescent="0.3">
      <c r="A281" s="146" t="s">
        <v>541</v>
      </c>
      <c r="B281" s="146">
        <v>289</v>
      </c>
      <c r="C281" s="146" t="s">
        <v>536</v>
      </c>
      <c r="D281" s="146">
        <v>2015</v>
      </c>
      <c r="E281" s="146" t="s">
        <v>363</v>
      </c>
      <c r="F281" s="146" t="s">
        <v>537</v>
      </c>
      <c r="G281" s="146" t="s">
        <v>226</v>
      </c>
      <c r="H281" s="146">
        <v>0</v>
      </c>
      <c r="I281" s="146">
        <v>850</v>
      </c>
      <c r="J281" s="146">
        <v>500</v>
      </c>
      <c r="K281" s="146" t="s">
        <v>250</v>
      </c>
      <c r="L281" s="146" t="s">
        <v>250</v>
      </c>
      <c r="M281" s="146"/>
      <c r="N281" s="146">
        <v>7940000</v>
      </c>
      <c r="O281" s="147">
        <v>31.6</v>
      </c>
      <c r="P281" s="147">
        <v>20.399999999999999</v>
      </c>
      <c r="Q281" s="147"/>
      <c r="R281" s="147">
        <v>45.3</v>
      </c>
      <c r="S281" s="147"/>
      <c r="T281" s="147"/>
      <c r="U281" s="147">
        <v>0.8</v>
      </c>
      <c r="V281" s="147">
        <v>0.5</v>
      </c>
      <c r="W281" s="147">
        <v>0.6</v>
      </c>
      <c r="X281" s="147"/>
      <c r="Y281" s="147">
        <v>7.0000000000000007E-2</v>
      </c>
      <c r="Z281" s="147"/>
      <c r="AA281" s="147"/>
      <c r="AB281" s="147"/>
      <c r="AC281" s="147"/>
      <c r="AD281" s="147"/>
      <c r="AE281" s="147"/>
      <c r="AF281" s="147"/>
      <c r="AG281" s="147"/>
      <c r="AH281" s="147"/>
      <c r="AI281" s="147"/>
      <c r="AJ281" s="147"/>
      <c r="AK281" s="147"/>
      <c r="AL281" s="147"/>
      <c r="AM281" s="147">
        <f t="shared" si="100"/>
        <v>30.024318115593513</v>
      </c>
      <c r="AN281" s="147">
        <f t="shared" si="101"/>
        <v>21.876457823859138</v>
      </c>
      <c r="AO281" s="147">
        <f t="shared" si="102"/>
        <v>0</v>
      </c>
      <c r="AP281" s="147">
        <f t="shared" si="103"/>
        <v>45.229855925257233</v>
      </c>
      <c r="AQ281" s="147">
        <f t="shared" si="104"/>
        <v>0</v>
      </c>
      <c r="AR281" s="147">
        <f t="shared" si="105"/>
        <v>0</v>
      </c>
      <c r="AS281" s="147">
        <f t="shared" si="106"/>
        <v>0.81199155359549113</v>
      </c>
      <c r="AT281" s="147">
        <f t="shared" si="107"/>
        <v>1.0334232754479309</v>
      </c>
      <c r="AU281" s="147">
        <f t="shared" si="108"/>
        <v>0.69893695353879692</v>
      </c>
      <c r="AV281" s="147">
        <f t="shared" si="109"/>
        <v>0</v>
      </c>
      <c r="AW281" s="147">
        <f t="shared" si="110"/>
        <v>0.3250163527079038</v>
      </c>
      <c r="AX281" s="147">
        <f t="shared" si="111"/>
        <v>0</v>
      </c>
      <c r="AY281" s="147">
        <f t="shared" si="112"/>
        <v>0</v>
      </c>
      <c r="AZ281" s="147">
        <f t="shared" si="113"/>
        <v>0</v>
      </c>
      <c r="BA281" s="147">
        <f t="shared" si="114"/>
        <v>0</v>
      </c>
      <c r="BB281" s="147">
        <f t="shared" si="115"/>
        <v>0</v>
      </c>
      <c r="BC281" s="147">
        <f t="shared" si="116"/>
        <v>0</v>
      </c>
      <c r="BD281" s="147">
        <f t="shared" si="117"/>
        <v>0</v>
      </c>
      <c r="BE281" s="147">
        <f t="shared" si="118"/>
        <v>0</v>
      </c>
      <c r="BF281" s="147">
        <f t="shared" si="119"/>
        <v>0</v>
      </c>
      <c r="BG281" s="147">
        <f t="shared" si="120"/>
        <v>0</v>
      </c>
      <c r="BH281" s="147">
        <f t="shared" si="121"/>
        <v>0</v>
      </c>
      <c r="BI281" s="147">
        <f t="shared" si="122"/>
        <v>0</v>
      </c>
      <c r="BJ281" s="147">
        <f t="shared" si="123"/>
        <v>0</v>
      </c>
      <c r="BK281" s="147">
        <f t="shared" si="124"/>
        <v>-130.28483790834721</v>
      </c>
      <c r="BL281" s="147">
        <f>IF($K281=$L281,$BK281,IF(OR($K281="graphite",$K281="vitreous carbon"),$BK$406+($BM$389+$I281)*$BJ$406,IF($K281="Pyrolytic Boron Nitride","PBN",IF(COUNTIF($BH$396:$BH$416,$K281)&gt;0,VLOOKUP($K281,$BH$396:$BK$416,4,FALSE)+($BM$389+$I281)*VLOOKUP($K281,$BH$396:$BK$416,3,FALSE),IF(COUNTIF($L$2:$L280,$K281)&gt;0,VLOOKUP($K281,$L$2:$BK280,52,FALSE),"idk")))))</f>
        <v>-130.28483790834721</v>
      </c>
      <c r="BM281" s="146"/>
      <c r="BN281" s="146"/>
      <c r="BO281" s="146"/>
      <c r="BP281" s="146" t="s">
        <v>245</v>
      </c>
      <c r="BQ281" s="146" t="s">
        <v>351</v>
      </c>
      <c r="BR281" s="146" t="s">
        <v>230</v>
      </c>
      <c r="BS281" s="146"/>
      <c r="BT281" s="146">
        <v>0</v>
      </c>
      <c r="BU281" s="146"/>
      <c r="BV281" s="146"/>
      <c r="BW281" s="146"/>
      <c r="BX281" s="146"/>
      <c r="BY281" s="146"/>
      <c r="BZ281" s="147"/>
      <c r="CA281" s="147"/>
      <c r="CB281" s="147"/>
      <c r="CC281" s="146"/>
      <c r="CD281" s="146"/>
      <c r="CE281" s="146"/>
      <c r="CF281" s="146"/>
      <c r="CG281" s="146"/>
      <c r="CH281" s="146"/>
      <c r="CI281" s="161"/>
      <c r="CJ281" s="161"/>
      <c r="CK281" s="161"/>
      <c r="CL281" s="161"/>
      <c r="CM281" s="161"/>
      <c r="CN281" s="161"/>
      <c r="CO281" s="161"/>
      <c r="CP281" s="161"/>
      <c r="CQ281" s="161"/>
      <c r="CR281" s="161"/>
      <c r="CS281" s="161"/>
      <c r="CT281" s="161"/>
      <c r="CU281" s="161"/>
      <c r="CV281" s="161"/>
      <c r="CW281" s="161"/>
      <c r="CX281" s="161"/>
      <c r="CY281" s="161"/>
      <c r="CZ281" s="161"/>
      <c r="DA281" s="161"/>
      <c r="DB281" s="161"/>
      <c r="DC281" s="161"/>
      <c r="DD281" s="161"/>
      <c r="DE281" s="161"/>
      <c r="DF281" s="161"/>
      <c r="DG281" s="161"/>
      <c r="DH281" s="161"/>
      <c r="DI281" s="161"/>
      <c r="DJ281" s="146">
        <v>0</v>
      </c>
      <c r="DK281" s="146">
        <v>0</v>
      </c>
      <c r="DL281" s="146"/>
      <c r="DM281" s="146"/>
      <c r="DN281" s="146"/>
      <c r="DO281" s="146">
        <v>-0.2</v>
      </c>
      <c r="DP281" s="146"/>
      <c r="DQ281" s="146"/>
      <c r="DR281" s="146"/>
      <c r="DS281" s="146"/>
      <c r="DT281" s="146"/>
      <c r="DU281" s="146" t="s">
        <v>538</v>
      </c>
      <c r="DW281" s="129">
        <f>SUM(_2025_01_07T12_47_export3[[#This Row],[Ni_wt]:[H_wt]])</f>
        <v>99.269999999999982</v>
      </c>
      <c r="DY281" s="130">
        <f>SUM($AM281:BJ281)</f>
        <v>100</v>
      </c>
    </row>
    <row r="282" spans="1:129" s="227" customFormat="1" x14ac:dyDescent="0.25">
      <c r="A282" s="227" t="s">
        <v>542</v>
      </c>
      <c r="B282" s="227">
        <v>290</v>
      </c>
      <c r="C282" s="227" t="s">
        <v>543</v>
      </c>
      <c r="D282" s="227">
        <v>2013</v>
      </c>
      <c r="E282" s="227" t="s">
        <v>421</v>
      </c>
      <c r="F282" s="227" t="s">
        <v>544</v>
      </c>
      <c r="G282" s="227" t="s">
        <v>226</v>
      </c>
      <c r="H282" s="227">
        <v>0</v>
      </c>
      <c r="I282" s="227">
        <v>750</v>
      </c>
      <c r="J282" s="227">
        <v>50</v>
      </c>
      <c r="K282" s="227" t="s">
        <v>233</v>
      </c>
      <c r="L282" s="227" t="s">
        <v>312</v>
      </c>
      <c r="N282" s="227">
        <v>8470000</v>
      </c>
      <c r="O282" s="228">
        <v>72</v>
      </c>
      <c r="P282" s="228">
        <v>15</v>
      </c>
      <c r="Q282" s="228"/>
      <c r="R282" s="228">
        <v>10</v>
      </c>
      <c r="S282" s="228"/>
      <c r="T282" s="228"/>
      <c r="U282" s="228">
        <v>1</v>
      </c>
      <c r="V282" s="228"/>
      <c r="W282" s="228">
        <v>0.3</v>
      </c>
      <c r="X282" s="228">
        <v>0.5</v>
      </c>
      <c r="Y282" s="228">
        <v>0.15</v>
      </c>
      <c r="Z282" s="228">
        <v>0.5</v>
      </c>
      <c r="AA282" s="228"/>
      <c r="AB282" s="228"/>
      <c r="AC282" s="228"/>
      <c r="AD282" s="228"/>
      <c r="AE282" s="228"/>
      <c r="AF282" s="228"/>
      <c r="AG282" s="228"/>
      <c r="AH282" s="228"/>
      <c r="AI282" s="228"/>
      <c r="AJ282" s="228"/>
      <c r="AK282" s="228"/>
      <c r="AL282" s="228"/>
      <c r="AM282" s="228">
        <f t="shared" si="100"/>
        <v>69.825743709452013</v>
      </c>
      <c r="AN282" s="228">
        <f t="shared" si="101"/>
        <v>16.418561291297031</v>
      </c>
      <c r="AO282" s="228">
        <f t="shared" si="102"/>
        <v>0</v>
      </c>
      <c r="AP282" s="228">
        <f t="shared" si="103"/>
        <v>10.19116904980538</v>
      </c>
      <c r="AQ282" s="228">
        <f t="shared" si="104"/>
        <v>0</v>
      </c>
      <c r="AR282" s="228">
        <f t="shared" si="105"/>
        <v>0</v>
      </c>
      <c r="AS282" s="228">
        <f t="shared" si="106"/>
        <v>1.035997072136204</v>
      </c>
      <c r="AT282" s="228">
        <f t="shared" si="107"/>
        <v>0</v>
      </c>
      <c r="AU282" s="228">
        <f t="shared" si="108"/>
        <v>0.35670156137348891</v>
      </c>
      <c r="AV282" s="228">
        <f t="shared" si="109"/>
        <v>1.0131306362257573</v>
      </c>
      <c r="AW282" s="228">
        <f t="shared" si="110"/>
        <v>0.71087859046415114</v>
      </c>
      <c r="AX282" s="228">
        <f t="shared" si="111"/>
        <v>0.447818089245972</v>
      </c>
      <c r="AY282" s="228">
        <f t="shared" si="112"/>
        <v>0</v>
      </c>
      <c r="AZ282" s="228">
        <f t="shared" si="113"/>
        <v>0</v>
      </c>
      <c r="BA282" s="228">
        <f t="shared" si="114"/>
        <v>0</v>
      </c>
      <c r="BB282" s="228">
        <f t="shared" si="115"/>
        <v>0</v>
      </c>
      <c r="BC282" s="228">
        <f t="shared" si="116"/>
        <v>0</v>
      </c>
      <c r="BD282" s="228">
        <f t="shared" si="117"/>
        <v>0</v>
      </c>
      <c r="BE282" s="228">
        <f t="shared" si="118"/>
        <v>0</v>
      </c>
      <c r="BF282" s="228">
        <f t="shared" si="119"/>
        <v>0</v>
      </c>
      <c r="BG282" s="228">
        <f t="shared" si="120"/>
        <v>0</v>
      </c>
      <c r="BH282" s="228">
        <f t="shared" si="121"/>
        <v>0</v>
      </c>
      <c r="BI282" s="228">
        <f t="shared" si="122"/>
        <v>0</v>
      </c>
      <c r="BJ282" s="228">
        <f t="shared" si="123"/>
        <v>0</v>
      </c>
      <c r="BK282" s="228">
        <f t="shared" si="124"/>
        <v>-126.53474420015233</v>
      </c>
      <c r="BL282" s="228">
        <f>IF($K282=$L282,$BK282,IF(OR($K282="graphite",$K282="vitreous carbon"),$BK$406+($BM$389+$I282)*$BJ$406,IF($K282="Pyrolytic Boron Nitride","PBN",IF(COUNTIF($BH$396:$BH$416,$K282)&gt;0,VLOOKUP($K282,$BH$396:$BK$416,4,FALSE)+($BM$389+$I282)*VLOOKUP($K282,$BH$396:$BK$416,3,FALSE),IF(COUNTIF($L$2:$L281,$K282)&gt;0,VLOOKUP($K282,$L$2:$BK281,52,FALSE),"idk")))))</f>
        <v>-62.627031133800095</v>
      </c>
      <c r="BP282" s="227" t="s">
        <v>245</v>
      </c>
      <c r="BR282" s="227" t="s">
        <v>247</v>
      </c>
      <c r="BT282" s="227">
        <v>0</v>
      </c>
      <c r="BZ282" s="228"/>
      <c r="CA282" s="228"/>
      <c r="CB282" s="228"/>
      <c r="CI282" s="229"/>
      <c r="CJ282" s="229"/>
      <c r="CK282" s="229"/>
      <c r="CL282" s="229"/>
      <c r="CM282" s="229"/>
      <c r="CN282" s="229"/>
      <c r="CO282" s="229"/>
      <c r="CP282" s="229"/>
      <c r="CQ282" s="229"/>
      <c r="CR282" s="229"/>
      <c r="CS282" s="229"/>
      <c r="CT282" s="229"/>
      <c r="CU282" s="229"/>
      <c r="CV282" s="229"/>
      <c r="CW282" s="229"/>
      <c r="CX282" s="229"/>
      <c r="CY282" s="229"/>
      <c r="CZ282" s="229"/>
      <c r="DA282" s="229"/>
      <c r="DB282" s="229"/>
      <c r="DC282" s="229"/>
      <c r="DD282" s="229"/>
      <c r="DE282" s="229"/>
      <c r="DF282" s="229"/>
      <c r="DG282" s="229"/>
      <c r="DH282" s="229"/>
      <c r="DI282" s="229"/>
      <c r="DJ282" s="227">
        <v>0</v>
      </c>
      <c r="DK282" s="227">
        <v>0</v>
      </c>
      <c r="DM282" s="227">
        <v>-190</v>
      </c>
      <c r="DT282" s="230" t="s">
        <v>546</v>
      </c>
      <c r="DU282" s="227" t="s">
        <v>545</v>
      </c>
      <c r="DW282" s="227">
        <f>SUM(_2025_01_07T12_47_export3[[#This Row],[Ni_wt]:[H_wt]])</f>
        <v>99.45</v>
      </c>
      <c r="DY282" s="228">
        <f>SUM($AM282:BJ282)</f>
        <v>99.999999999999986</v>
      </c>
    </row>
    <row r="283" spans="1:129" s="227" customFormat="1" x14ac:dyDescent="0.25">
      <c r="A283" s="227" t="s">
        <v>542</v>
      </c>
      <c r="B283" s="227">
        <v>291</v>
      </c>
      <c r="C283" s="227" t="s">
        <v>543</v>
      </c>
      <c r="D283" s="227">
        <v>2013</v>
      </c>
      <c r="E283" s="227" t="s">
        <v>421</v>
      </c>
      <c r="F283" s="227" t="s">
        <v>544</v>
      </c>
      <c r="G283" s="227" t="s">
        <v>226</v>
      </c>
      <c r="H283" s="227">
        <v>0</v>
      </c>
      <c r="I283" s="227">
        <v>750</v>
      </c>
      <c r="J283" s="227">
        <v>100</v>
      </c>
      <c r="K283" s="227" t="s">
        <v>233</v>
      </c>
      <c r="L283" s="227" t="s">
        <v>312</v>
      </c>
      <c r="N283" s="227">
        <v>8470000</v>
      </c>
      <c r="O283" s="228">
        <v>72</v>
      </c>
      <c r="P283" s="228">
        <v>15</v>
      </c>
      <c r="Q283" s="228"/>
      <c r="R283" s="228">
        <v>10</v>
      </c>
      <c r="S283" s="228"/>
      <c r="T283" s="228"/>
      <c r="U283" s="228">
        <v>1</v>
      </c>
      <c r="V283" s="228"/>
      <c r="W283" s="228">
        <v>0.3</v>
      </c>
      <c r="X283" s="228">
        <v>0.5</v>
      </c>
      <c r="Y283" s="228">
        <v>0.15</v>
      </c>
      <c r="Z283" s="228">
        <v>0.5</v>
      </c>
      <c r="AA283" s="228"/>
      <c r="AB283" s="228"/>
      <c r="AC283" s="228"/>
      <c r="AD283" s="228"/>
      <c r="AE283" s="228"/>
      <c r="AF283" s="228"/>
      <c r="AG283" s="228"/>
      <c r="AH283" s="228"/>
      <c r="AI283" s="228"/>
      <c r="AJ283" s="228"/>
      <c r="AK283" s="228"/>
      <c r="AL283" s="228"/>
      <c r="AM283" s="228">
        <f t="shared" si="100"/>
        <v>69.825743709452013</v>
      </c>
      <c r="AN283" s="228">
        <f t="shared" si="101"/>
        <v>16.418561291297031</v>
      </c>
      <c r="AO283" s="228">
        <f t="shared" si="102"/>
        <v>0</v>
      </c>
      <c r="AP283" s="228">
        <f t="shared" si="103"/>
        <v>10.19116904980538</v>
      </c>
      <c r="AQ283" s="228">
        <f t="shared" si="104"/>
        <v>0</v>
      </c>
      <c r="AR283" s="228">
        <f t="shared" si="105"/>
        <v>0</v>
      </c>
      <c r="AS283" s="228">
        <f t="shared" si="106"/>
        <v>1.035997072136204</v>
      </c>
      <c r="AT283" s="228">
        <f t="shared" si="107"/>
        <v>0</v>
      </c>
      <c r="AU283" s="228">
        <f t="shared" si="108"/>
        <v>0.35670156137348891</v>
      </c>
      <c r="AV283" s="228">
        <f t="shared" si="109"/>
        <v>1.0131306362257573</v>
      </c>
      <c r="AW283" s="228">
        <f t="shared" si="110"/>
        <v>0.71087859046415114</v>
      </c>
      <c r="AX283" s="228">
        <f t="shared" si="111"/>
        <v>0.447818089245972</v>
      </c>
      <c r="AY283" s="228">
        <f t="shared" si="112"/>
        <v>0</v>
      </c>
      <c r="AZ283" s="228">
        <f t="shared" si="113"/>
        <v>0</v>
      </c>
      <c r="BA283" s="228">
        <f t="shared" si="114"/>
        <v>0</v>
      </c>
      <c r="BB283" s="228">
        <f t="shared" si="115"/>
        <v>0</v>
      </c>
      <c r="BC283" s="228">
        <f t="shared" si="116"/>
        <v>0</v>
      </c>
      <c r="BD283" s="228">
        <f t="shared" si="117"/>
        <v>0</v>
      </c>
      <c r="BE283" s="228">
        <f t="shared" si="118"/>
        <v>0</v>
      </c>
      <c r="BF283" s="228">
        <f t="shared" si="119"/>
        <v>0</v>
      </c>
      <c r="BG283" s="228">
        <f t="shared" si="120"/>
        <v>0</v>
      </c>
      <c r="BH283" s="228">
        <f t="shared" si="121"/>
        <v>0</v>
      </c>
      <c r="BI283" s="228">
        <f t="shared" si="122"/>
        <v>0</v>
      </c>
      <c r="BJ283" s="228">
        <f t="shared" si="123"/>
        <v>0</v>
      </c>
      <c r="BK283" s="228">
        <f t="shared" si="124"/>
        <v>-126.53474420015233</v>
      </c>
      <c r="BL283" s="228">
        <f>IF($K283=$L283,$BK283,IF(OR($K283="graphite",$K283="vitreous carbon"),$BK$406+($BM$389+$I283)*$BJ$406,IF($K283="Pyrolytic Boron Nitride","PBN",IF(COUNTIF($BH$396:$BH$416,$K283)&gt;0,VLOOKUP($K283,$BH$396:$BK$416,4,FALSE)+($BM$389+$I283)*VLOOKUP($K283,$BH$396:$BK$416,3,FALSE),IF(COUNTIF($L$2:$L282,$K283)&gt;0,VLOOKUP($K283,$L$2:$BK282,52,FALSE),"idk")))))</f>
        <v>-62.627031133800095</v>
      </c>
      <c r="BP283" s="227" t="s">
        <v>245</v>
      </c>
      <c r="BR283" s="227" t="s">
        <v>247</v>
      </c>
      <c r="BT283" s="227">
        <v>0</v>
      </c>
      <c r="BZ283" s="228"/>
      <c r="CA283" s="228"/>
      <c r="CB283" s="228"/>
      <c r="CI283" s="229"/>
      <c r="CJ283" s="229"/>
      <c r="CK283" s="229"/>
      <c r="CL283" s="229"/>
      <c r="CM283" s="229"/>
      <c r="CN283" s="229"/>
      <c r="CO283" s="229"/>
      <c r="CP283" s="229"/>
      <c r="CQ283" s="229"/>
      <c r="CR283" s="229"/>
      <c r="CS283" s="229"/>
      <c r="CT283" s="229"/>
      <c r="CU283" s="229"/>
      <c r="CV283" s="229"/>
      <c r="CW283" s="229"/>
      <c r="CX283" s="229"/>
      <c r="CY283" s="229"/>
      <c r="CZ283" s="229"/>
      <c r="DA283" s="229"/>
      <c r="DB283" s="229"/>
      <c r="DC283" s="229"/>
      <c r="DD283" s="229"/>
      <c r="DE283" s="229"/>
      <c r="DF283" s="229"/>
      <c r="DG283" s="229"/>
      <c r="DH283" s="229"/>
      <c r="DI283" s="229"/>
      <c r="DJ283" s="227">
        <v>0</v>
      </c>
      <c r="DK283" s="227">
        <v>0</v>
      </c>
      <c r="DM283" s="227">
        <v>-390</v>
      </c>
      <c r="DU283" s="227" t="s">
        <v>547</v>
      </c>
      <c r="DW283" s="227">
        <f>SUM(_2025_01_07T12_47_export3[[#This Row],[Ni_wt]:[H_wt]])</f>
        <v>99.45</v>
      </c>
      <c r="DY283" s="228">
        <f>SUM($AM283:BJ283)</f>
        <v>99.999999999999986</v>
      </c>
    </row>
    <row r="284" spans="1:129" s="227" customFormat="1" x14ac:dyDescent="0.25">
      <c r="A284" s="227" t="s">
        <v>542</v>
      </c>
      <c r="B284" s="227">
        <v>292</v>
      </c>
      <c r="C284" s="227" t="s">
        <v>543</v>
      </c>
      <c r="D284" s="227">
        <v>2013</v>
      </c>
      <c r="E284" s="227" t="s">
        <v>421</v>
      </c>
      <c r="F284" s="227" t="s">
        <v>544</v>
      </c>
      <c r="G284" s="227" t="s">
        <v>226</v>
      </c>
      <c r="H284" s="227">
        <v>0</v>
      </c>
      <c r="I284" s="227">
        <v>750</v>
      </c>
      <c r="J284" s="227">
        <v>200</v>
      </c>
      <c r="K284" s="227" t="s">
        <v>233</v>
      </c>
      <c r="L284" s="227" t="s">
        <v>312</v>
      </c>
      <c r="N284" s="227">
        <v>8470000</v>
      </c>
      <c r="O284" s="228">
        <v>72</v>
      </c>
      <c r="P284" s="228">
        <v>15</v>
      </c>
      <c r="Q284" s="228"/>
      <c r="R284" s="228">
        <v>10</v>
      </c>
      <c r="S284" s="228"/>
      <c r="T284" s="228"/>
      <c r="U284" s="228">
        <v>1</v>
      </c>
      <c r="V284" s="228"/>
      <c r="W284" s="228">
        <v>0.3</v>
      </c>
      <c r="X284" s="228">
        <v>0.5</v>
      </c>
      <c r="Y284" s="228">
        <v>0.15</v>
      </c>
      <c r="Z284" s="228">
        <v>0.5</v>
      </c>
      <c r="AA284" s="228"/>
      <c r="AB284" s="228"/>
      <c r="AC284" s="228"/>
      <c r="AD284" s="228"/>
      <c r="AE284" s="228"/>
      <c r="AF284" s="228"/>
      <c r="AG284" s="228"/>
      <c r="AH284" s="228"/>
      <c r="AI284" s="228"/>
      <c r="AJ284" s="228"/>
      <c r="AK284" s="228"/>
      <c r="AL284" s="228"/>
      <c r="AM284" s="228">
        <f t="shared" si="100"/>
        <v>69.825743709452013</v>
      </c>
      <c r="AN284" s="228">
        <f t="shared" si="101"/>
        <v>16.418561291297031</v>
      </c>
      <c r="AO284" s="228">
        <f t="shared" si="102"/>
        <v>0</v>
      </c>
      <c r="AP284" s="228">
        <f t="shared" si="103"/>
        <v>10.19116904980538</v>
      </c>
      <c r="AQ284" s="228">
        <f t="shared" si="104"/>
        <v>0</v>
      </c>
      <c r="AR284" s="228">
        <f t="shared" si="105"/>
        <v>0</v>
      </c>
      <c r="AS284" s="228">
        <f t="shared" si="106"/>
        <v>1.035997072136204</v>
      </c>
      <c r="AT284" s="228">
        <f t="shared" si="107"/>
        <v>0</v>
      </c>
      <c r="AU284" s="228">
        <f t="shared" si="108"/>
        <v>0.35670156137348891</v>
      </c>
      <c r="AV284" s="228">
        <f t="shared" si="109"/>
        <v>1.0131306362257573</v>
      </c>
      <c r="AW284" s="228">
        <f t="shared" si="110"/>
        <v>0.71087859046415114</v>
      </c>
      <c r="AX284" s="228">
        <f t="shared" si="111"/>
        <v>0.447818089245972</v>
      </c>
      <c r="AY284" s="228">
        <f t="shared" si="112"/>
        <v>0</v>
      </c>
      <c r="AZ284" s="228">
        <f t="shared" si="113"/>
        <v>0</v>
      </c>
      <c r="BA284" s="228">
        <f t="shared" si="114"/>
        <v>0</v>
      </c>
      <c r="BB284" s="228">
        <f t="shared" si="115"/>
        <v>0</v>
      </c>
      <c r="BC284" s="228">
        <f t="shared" si="116"/>
        <v>0</v>
      </c>
      <c r="BD284" s="228">
        <f t="shared" si="117"/>
        <v>0</v>
      </c>
      <c r="BE284" s="228">
        <f t="shared" si="118"/>
        <v>0</v>
      </c>
      <c r="BF284" s="228">
        <f t="shared" si="119"/>
        <v>0</v>
      </c>
      <c r="BG284" s="228">
        <f t="shared" si="120"/>
        <v>0</v>
      </c>
      <c r="BH284" s="228">
        <f t="shared" si="121"/>
        <v>0</v>
      </c>
      <c r="BI284" s="228">
        <f t="shared" si="122"/>
        <v>0</v>
      </c>
      <c r="BJ284" s="228">
        <f t="shared" si="123"/>
        <v>0</v>
      </c>
      <c r="BK284" s="228">
        <f t="shared" si="124"/>
        <v>-126.53474420015233</v>
      </c>
      <c r="BL284" s="228">
        <f>IF($K284=$L284,$BK284,IF(OR($K284="graphite",$K284="vitreous carbon"),$BK$406+($BM$389+$I284)*$BJ$406,IF($K284="Pyrolytic Boron Nitride","PBN",IF(COUNTIF($BH$396:$BH$416,$K284)&gt;0,VLOOKUP($K284,$BH$396:$BK$416,4,FALSE)+($BM$389+$I284)*VLOOKUP($K284,$BH$396:$BK$416,3,FALSE),IF(COUNTIF($L$2:$L283,$K284)&gt;0,VLOOKUP($K284,$L$2:$BK283,52,FALSE),"idk")))))</f>
        <v>-62.627031133800095</v>
      </c>
      <c r="BP284" s="227" t="s">
        <v>245</v>
      </c>
      <c r="BR284" s="227" t="s">
        <v>247</v>
      </c>
      <c r="BT284" s="227">
        <v>0</v>
      </c>
      <c r="BZ284" s="228"/>
      <c r="CA284" s="228"/>
      <c r="CB284" s="228"/>
      <c r="CI284" s="229"/>
      <c r="CJ284" s="229"/>
      <c r="CK284" s="229"/>
      <c r="CL284" s="229"/>
      <c r="CM284" s="229"/>
      <c r="CN284" s="229"/>
      <c r="CO284" s="229"/>
      <c r="CP284" s="229"/>
      <c r="CQ284" s="229"/>
      <c r="CR284" s="229"/>
      <c r="CS284" s="229"/>
      <c r="CT284" s="229"/>
      <c r="CU284" s="229"/>
      <c r="CV284" s="229"/>
      <c r="CW284" s="229"/>
      <c r="CX284" s="229"/>
      <c r="CY284" s="229"/>
      <c r="CZ284" s="229"/>
      <c r="DA284" s="229"/>
      <c r="DB284" s="229"/>
      <c r="DC284" s="229"/>
      <c r="DD284" s="229"/>
      <c r="DE284" s="229"/>
      <c r="DF284" s="229"/>
      <c r="DG284" s="229"/>
      <c r="DH284" s="229"/>
      <c r="DI284" s="229"/>
      <c r="DJ284" s="227">
        <v>0</v>
      </c>
      <c r="DK284" s="227">
        <v>0</v>
      </c>
      <c r="DM284" s="227">
        <v>-632</v>
      </c>
      <c r="DU284" s="227" t="s">
        <v>547</v>
      </c>
      <c r="DW284" s="227">
        <f>SUM(_2025_01_07T12_47_export3[[#This Row],[Ni_wt]:[H_wt]])</f>
        <v>99.45</v>
      </c>
      <c r="DY284" s="228">
        <f>SUM($AM284:BJ284)</f>
        <v>99.999999999999986</v>
      </c>
    </row>
    <row r="285" spans="1:129" s="227" customFormat="1" x14ac:dyDescent="0.25">
      <c r="A285" s="227" t="s">
        <v>542</v>
      </c>
      <c r="B285" s="227">
        <v>293</v>
      </c>
      <c r="C285" s="227" t="s">
        <v>543</v>
      </c>
      <c r="D285" s="227">
        <v>2013</v>
      </c>
      <c r="E285" s="227" t="s">
        <v>421</v>
      </c>
      <c r="F285" s="227" t="s">
        <v>544</v>
      </c>
      <c r="G285" s="227" t="s">
        <v>226</v>
      </c>
      <c r="H285" s="227">
        <v>0</v>
      </c>
      <c r="I285" s="227">
        <v>750</v>
      </c>
      <c r="J285" s="227">
        <v>320</v>
      </c>
      <c r="K285" s="227" t="s">
        <v>233</v>
      </c>
      <c r="L285" s="227" t="s">
        <v>312</v>
      </c>
      <c r="N285" s="227">
        <v>8470000</v>
      </c>
      <c r="O285" s="228">
        <v>72</v>
      </c>
      <c r="P285" s="228">
        <v>15</v>
      </c>
      <c r="Q285" s="228"/>
      <c r="R285" s="228">
        <v>10</v>
      </c>
      <c r="S285" s="228"/>
      <c r="T285" s="228"/>
      <c r="U285" s="228">
        <v>1</v>
      </c>
      <c r="V285" s="228"/>
      <c r="W285" s="228">
        <v>0.3</v>
      </c>
      <c r="X285" s="228">
        <v>0.5</v>
      </c>
      <c r="Y285" s="228">
        <v>0.15</v>
      </c>
      <c r="Z285" s="228">
        <v>0.5</v>
      </c>
      <c r="AA285" s="228"/>
      <c r="AB285" s="228"/>
      <c r="AC285" s="228"/>
      <c r="AD285" s="228"/>
      <c r="AE285" s="228"/>
      <c r="AF285" s="228"/>
      <c r="AG285" s="228"/>
      <c r="AH285" s="228"/>
      <c r="AI285" s="228"/>
      <c r="AJ285" s="228"/>
      <c r="AK285" s="228"/>
      <c r="AL285" s="228"/>
      <c r="AM285" s="228">
        <f t="shared" si="100"/>
        <v>69.825743709452013</v>
      </c>
      <c r="AN285" s="228">
        <f t="shared" si="101"/>
        <v>16.418561291297031</v>
      </c>
      <c r="AO285" s="228">
        <f t="shared" si="102"/>
        <v>0</v>
      </c>
      <c r="AP285" s="228">
        <f t="shared" si="103"/>
        <v>10.19116904980538</v>
      </c>
      <c r="AQ285" s="228">
        <f t="shared" si="104"/>
        <v>0</v>
      </c>
      <c r="AR285" s="228">
        <f t="shared" si="105"/>
        <v>0</v>
      </c>
      <c r="AS285" s="228">
        <f t="shared" si="106"/>
        <v>1.035997072136204</v>
      </c>
      <c r="AT285" s="228">
        <f t="shared" si="107"/>
        <v>0</v>
      </c>
      <c r="AU285" s="228">
        <f t="shared" si="108"/>
        <v>0.35670156137348891</v>
      </c>
      <c r="AV285" s="228">
        <f t="shared" si="109"/>
        <v>1.0131306362257573</v>
      </c>
      <c r="AW285" s="228">
        <f t="shared" si="110"/>
        <v>0.71087859046415114</v>
      </c>
      <c r="AX285" s="228">
        <f t="shared" si="111"/>
        <v>0.447818089245972</v>
      </c>
      <c r="AY285" s="228">
        <f t="shared" si="112"/>
        <v>0</v>
      </c>
      <c r="AZ285" s="228">
        <f t="shared" si="113"/>
        <v>0</v>
      </c>
      <c r="BA285" s="228">
        <f t="shared" si="114"/>
        <v>0</v>
      </c>
      <c r="BB285" s="228">
        <f t="shared" si="115"/>
        <v>0</v>
      </c>
      <c r="BC285" s="228">
        <f t="shared" si="116"/>
        <v>0</v>
      </c>
      <c r="BD285" s="228">
        <f t="shared" si="117"/>
        <v>0</v>
      </c>
      <c r="BE285" s="228">
        <f t="shared" si="118"/>
        <v>0</v>
      </c>
      <c r="BF285" s="228">
        <f t="shared" si="119"/>
        <v>0</v>
      </c>
      <c r="BG285" s="228">
        <f t="shared" si="120"/>
        <v>0</v>
      </c>
      <c r="BH285" s="228">
        <f t="shared" si="121"/>
        <v>0</v>
      </c>
      <c r="BI285" s="228">
        <f t="shared" si="122"/>
        <v>0</v>
      </c>
      <c r="BJ285" s="228">
        <f t="shared" si="123"/>
        <v>0</v>
      </c>
      <c r="BK285" s="228">
        <f t="shared" si="124"/>
        <v>-126.53474420015233</v>
      </c>
      <c r="BL285" s="228">
        <f>IF($K285=$L285,$BK285,IF(OR($K285="graphite",$K285="vitreous carbon"),$BK$406+($BM$389+$I285)*$BJ$406,IF($K285="Pyrolytic Boron Nitride","PBN",IF(COUNTIF($BH$396:$BH$416,$K285)&gt;0,VLOOKUP($K285,$BH$396:$BK$416,4,FALSE)+($BM$389+$I285)*VLOOKUP($K285,$BH$396:$BK$416,3,FALSE),IF(COUNTIF($L$2:$L284,$K285)&gt;0,VLOOKUP($K285,$L$2:$BK284,52,FALSE),"idk")))))</f>
        <v>-62.627031133800095</v>
      </c>
      <c r="BP285" s="227" t="s">
        <v>245</v>
      </c>
      <c r="BR285" s="227" t="s">
        <v>247</v>
      </c>
      <c r="BT285" s="227">
        <v>0</v>
      </c>
      <c r="BZ285" s="228"/>
      <c r="CA285" s="228"/>
      <c r="CB285" s="228"/>
      <c r="CI285" s="229"/>
      <c r="CJ285" s="229"/>
      <c r="CK285" s="229"/>
      <c r="CL285" s="229"/>
      <c r="CM285" s="229"/>
      <c r="CN285" s="229"/>
      <c r="CO285" s="229"/>
      <c r="CP285" s="229"/>
      <c r="CQ285" s="229"/>
      <c r="CR285" s="229"/>
      <c r="CS285" s="229"/>
      <c r="CT285" s="229"/>
      <c r="CU285" s="229"/>
      <c r="CV285" s="229"/>
      <c r="CW285" s="229"/>
      <c r="CX285" s="229"/>
      <c r="CY285" s="229"/>
      <c r="CZ285" s="229"/>
      <c r="DA285" s="229"/>
      <c r="DB285" s="229"/>
      <c r="DC285" s="229"/>
      <c r="DD285" s="229"/>
      <c r="DE285" s="229"/>
      <c r="DF285" s="229"/>
      <c r="DG285" s="229"/>
      <c r="DH285" s="229"/>
      <c r="DI285" s="229"/>
      <c r="DJ285" s="227">
        <v>0</v>
      </c>
      <c r="DK285" s="227">
        <v>0</v>
      </c>
      <c r="DM285" s="227">
        <v>-701</v>
      </c>
      <c r="DU285" s="227" t="s">
        <v>547</v>
      </c>
      <c r="DW285" s="227">
        <f>SUM(_2025_01_07T12_47_export3[[#This Row],[Ni_wt]:[H_wt]])</f>
        <v>99.45</v>
      </c>
      <c r="DY285" s="228">
        <f>SUM($AM285:BJ285)</f>
        <v>99.999999999999986</v>
      </c>
    </row>
    <row r="286" spans="1:129" s="227" customFormat="1" x14ac:dyDescent="0.25">
      <c r="A286" s="227" t="s">
        <v>548</v>
      </c>
      <c r="B286" s="227">
        <v>294</v>
      </c>
      <c r="C286" s="227" t="s">
        <v>543</v>
      </c>
      <c r="D286" s="227">
        <v>2013</v>
      </c>
      <c r="E286" s="227" t="s">
        <v>421</v>
      </c>
      <c r="F286" s="227" t="s">
        <v>544</v>
      </c>
      <c r="G286" s="227" t="s">
        <v>226</v>
      </c>
      <c r="H286" s="227">
        <v>0</v>
      </c>
      <c r="I286" s="227">
        <v>750</v>
      </c>
      <c r="J286" s="227">
        <v>50</v>
      </c>
      <c r="K286" s="227" t="s">
        <v>233</v>
      </c>
      <c r="L286" s="227" t="s">
        <v>368</v>
      </c>
      <c r="N286" s="227">
        <v>8220000</v>
      </c>
      <c r="O286" s="228">
        <v>47</v>
      </c>
      <c r="P286" s="228">
        <v>21.52</v>
      </c>
      <c r="Q286" s="228">
        <v>8.2899999999999991</v>
      </c>
      <c r="R286" s="228">
        <v>19.29</v>
      </c>
      <c r="S286" s="228">
        <v>0.54</v>
      </c>
      <c r="T286" s="228">
        <v>1.3</v>
      </c>
      <c r="U286" s="228">
        <v>0.64</v>
      </c>
      <c r="V286" s="228"/>
      <c r="W286" s="228">
        <v>0.01</v>
      </c>
      <c r="X286" s="228">
        <v>0.25</v>
      </c>
      <c r="Y286" s="228">
        <v>6.8000000000000005E-2</v>
      </c>
      <c r="Z286" s="228">
        <v>0.19</v>
      </c>
      <c r="AA286" s="228"/>
      <c r="AB286" s="228"/>
      <c r="AC286" s="228"/>
      <c r="AD286" s="228"/>
      <c r="AE286" s="228"/>
      <c r="AF286" s="228"/>
      <c r="AG286" s="228"/>
      <c r="AH286" s="228"/>
      <c r="AI286" s="228"/>
      <c r="AJ286" s="228"/>
      <c r="AK286" s="228"/>
      <c r="AL286" s="228"/>
      <c r="AM286" s="228">
        <f t="shared" si="100"/>
        <v>47.083354731111712</v>
      </c>
      <c r="AN286" s="228">
        <f t="shared" si="101"/>
        <v>24.331706775333767</v>
      </c>
      <c r="AO286" s="228">
        <f t="shared" si="102"/>
        <v>5.0792307342621852</v>
      </c>
      <c r="AP286" s="228">
        <f t="shared" si="103"/>
        <v>20.306856549674841</v>
      </c>
      <c r="AQ286" s="228">
        <f t="shared" si="104"/>
        <v>0.17273562014113755</v>
      </c>
      <c r="AR286" s="228">
        <f t="shared" si="105"/>
        <v>1.2970017496126418</v>
      </c>
      <c r="AS286" s="228">
        <f t="shared" si="106"/>
        <v>0.68489653589917276</v>
      </c>
      <c r="AT286" s="228">
        <f t="shared" si="107"/>
        <v>0</v>
      </c>
      <c r="AU286" s="228">
        <f t="shared" si="108"/>
        <v>1.2282031962313476E-2</v>
      </c>
      <c r="AV286" s="228">
        <f t="shared" si="109"/>
        <v>0.52326528127086691</v>
      </c>
      <c r="AW286" s="228">
        <f t="shared" si="110"/>
        <v>0.33288908544916179</v>
      </c>
      <c r="AX286" s="228">
        <f t="shared" si="111"/>
        <v>0.17578090528218684</v>
      </c>
      <c r="AY286" s="228">
        <f t="shared" si="112"/>
        <v>0</v>
      </c>
      <c r="AZ286" s="228">
        <f t="shared" si="113"/>
        <v>0</v>
      </c>
      <c r="BA286" s="228">
        <f t="shared" si="114"/>
        <v>0</v>
      </c>
      <c r="BB286" s="228">
        <f t="shared" si="115"/>
        <v>0</v>
      </c>
      <c r="BC286" s="228">
        <f t="shared" si="116"/>
        <v>0</v>
      </c>
      <c r="BD286" s="228">
        <f t="shared" si="117"/>
        <v>0</v>
      </c>
      <c r="BE286" s="228">
        <f t="shared" si="118"/>
        <v>0</v>
      </c>
      <c r="BF286" s="228">
        <f t="shared" si="119"/>
        <v>0</v>
      </c>
      <c r="BG286" s="228">
        <f t="shared" si="120"/>
        <v>0</v>
      </c>
      <c r="BH286" s="228">
        <f t="shared" si="121"/>
        <v>0</v>
      </c>
      <c r="BI286" s="228">
        <f t="shared" si="122"/>
        <v>0</v>
      </c>
      <c r="BJ286" s="228">
        <f t="shared" si="123"/>
        <v>0</v>
      </c>
      <c r="BK286" s="228">
        <f t="shared" si="124"/>
        <v>-129.75792341880393</v>
      </c>
      <c r="BL286" s="228">
        <f>IF($K286=$L286,$BK286,IF(OR($K286="graphite",$K286="vitreous carbon"),$BK$406+($BM$389+$I286)*$BJ$406,IF($K286="Pyrolytic Boron Nitride","PBN",IF(COUNTIF($BH$396:$BH$416,$K286)&gt;0,VLOOKUP($K286,$BH$396:$BK$416,4,FALSE)+($BM$389+$I286)*VLOOKUP($K286,$BH$396:$BK$416,3,FALSE),IF(COUNTIF($L$2:$L285,$K286)&gt;0,VLOOKUP($K286,$L$2:$BK285,52,FALSE),"idk")))))</f>
        <v>-62.627031133800095</v>
      </c>
      <c r="BP286" s="227" t="s">
        <v>245</v>
      </c>
      <c r="BR286" s="227" t="s">
        <v>247</v>
      </c>
      <c r="BT286" s="227">
        <v>0</v>
      </c>
      <c r="BZ286" s="228"/>
      <c r="CA286" s="228"/>
      <c r="CB286" s="228"/>
      <c r="CI286" s="229"/>
      <c r="CJ286" s="229"/>
      <c r="CK286" s="229"/>
      <c r="CL286" s="229"/>
      <c r="CM286" s="229"/>
      <c r="CN286" s="229"/>
      <c r="CO286" s="229"/>
      <c r="CP286" s="229"/>
      <c r="CQ286" s="229"/>
      <c r="CR286" s="229"/>
      <c r="CS286" s="229"/>
      <c r="CT286" s="229"/>
      <c r="CU286" s="229"/>
      <c r="CV286" s="229"/>
      <c r="CW286" s="229"/>
      <c r="CX286" s="229"/>
      <c r="CY286" s="229"/>
      <c r="CZ286" s="229"/>
      <c r="DA286" s="229"/>
      <c r="DB286" s="229"/>
      <c r="DC286" s="229"/>
      <c r="DD286" s="229"/>
      <c r="DE286" s="229"/>
      <c r="DF286" s="229"/>
      <c r="DG286" s="229"/>
      <c r="DH286" s="229"/>
      <c r="DI286" s="229"/>
      <c r="DJ286" s="227">
        <v>0</v>
      </c>
      <c r="DK286" s="227">
        <v>0</v>
      </c>
      <c r="DM286" s="227">
        <v>-99</v>
      </c>
      <c r="DU286" s="227" t="s">
        <v>547</v>
      </c>
      <c r="DW286" s="227">
        <f>SUM(_2025_01_07T12_47_export3[[#This Row],[Ni_wt]:[H_wt]])</f>
        <v>99.097999999999999</v>
      </c>
      <c r="DY286" s="228">
        <f>SUM($AM286:BJ286)</f>
        <v>100</v>
      </c>
    </row>
    <row r="287" spans="1:129" s="227" customFormat="1" x14ac:dyDescent="0.25">
      <c r="A287" s="227" t="s">
        <v>548</v>
      </c>
      <c r="B287" s="227">
        <v>295</v>
      </c>
      <c r="C287" s="227" t="s">
        <v>543</v>
      </c>
      <c r="D287" s="227">
        <v>2013</v>
      </c>
      <c r="E287" s="227" t="s">
        <v>421</v>
      </c>
      <c r="F287" s="227" t="s">
        <v>544</v>
      </c>
      <c r="G287" s="227" t="s">
        <v>226</v>
      </c>
      <c r="H287" s="227">
        <v>0</v>
      </c>
      <c r="I287" s="227">
        <v>750</v>
      </c>
      <c r="J287" s="227">
        <v>100</v>
      </c>
      <c r="K287" s="227" t="s">
        <v>233</v>
      </c>
      <c r="L287" s="227" t="s">
        <v>368</v>
      </c>
      <c r="N287" s="227">
        <v>8220000</v>
      </c>
      <c r="O287" s="228">
        <v>47</v>
      </c>
      <c r="P287" s="228">
        <v>21.52</v>
      </c>
      <c r="Q287" s="228">
        <v>8.2899999999999991</v>
      </c>
      <c r="R287" s="228">
        <v>19.29</v>
      </c>
      <c r="S287" s="228">
        <v>0.54</v>
      </c>
      <c r="T287" s="228">
        <v>1.3</v>
      </c>
      <c r="U287" s="228">
        <v>0.64</v>
      </c>
      <c r="V287" s="228"/>
      <c r="W287" s="228">
        <v>0.01</v>
      </c>
      <c r="X287" s="228">
        <v>0.25</v>
      </c>
      <c r="Y287" s="228">
        <v>6.8000000000000005E-2</v>
      </c>
      <c r="Z287" s="228">
        <v>0.19</v>
      </c>
      <c r="AA287" s="228"/>
      <c r="AB287" s="228"/>
      <c r="AC287" s="228"/>
      <c r="AD287" s="228"/>
      <c r="AE287" s="228"/>
      <c r="AF287" s="228"/>
      <c r="AG287" s="228"/>
      <c r="AH287" s="228"/>
      <c r="AI287" s="228"/>
      <c r="AJ287" s="228"/>
      <c r="AK287" s="228"/>
      <c r="AL287" s="228"/>
      <c r="AM287" s="228">
        <f t="shared" si="100"/>
        <v>47.083354731111712</v>
      </c>
      <c r="AN287" s="228">
        <f t="shared" si="101"/>
        <v>24.331706775333767</v>
      </c>
      <c r="AO287" s="228">
        <f t="shared" si="102"/>
        <v>5.0792307342621852</v>
      </c>
      <c r="AP287" s="228">
        <f t="shared" si="103"/>
        <v>20.306856549674841</v>
      </c>
      <c r="AQ287" s="228">
        <f t="shared" si="104"/>
        <v>0.17273562014113755</v>
      </c>
      <c r="AR287" s="228">
        <f t="shared" si="105"/>
        <v>1.2970017496126418</v>
      </c>
      <c r="AS287" s="228">
        <f t="shared" si="106"/>
        <v>0.68489653589917276</v>
      </c>
      <c r="AT287" s="228">
        <f t="shared" si="107"/>
        <v>0</v>
      </c>
      <c r="AU287" s="228">
        <f t="shared" si="108"/>
        <v>1.2282031962313476E-2</v>
      </c>
      <c r="AV287" s="228">
        <f t="shared" si="109"/>
        <v>0.52326528127086691</v>
      </c>
      <c r="AW287" s="228">
        <f t="shared" si="110"/>
        <v>0.33288908544916179</v>
      </c>
      <c r="AX287" s="228">
        <f t="shared" si="111"/>
        <v>0.17578090528218684</v>
      </c>
      <c r="AY287" s="228">
        <f t="shared" si="112"/>
        <v>0</v>
      </c>
      <c r="AZ287" s="228">
        <f t="shared" si="113"/>
        <v>0</v>
      </c>
      <c r="BA287" s="228">
        <f t="shared" si="114"/>
        <v>0</v>
      </c>
      <c r="BB287" s="228">
        <f t="shared" si="115"/>
        <v>0</v>
      </c>
      <c r="BC287" s="228">
        <f t="shared" si="116"/>
        <v>0</v>
      </c>
      <c r="BD287" s="228">
        <f t="shared" si="117"/>
        <v>0</v>
      </c>
      <c r="BE287" s="228">
        <f t="shared" si="118"/>
        <v>0</v>
      </c>
      <c r="BF287" s="228">
        <f t="shared" si="119"/>
        <v>0</v>
      </c>
      <c r="BG287" s="228">
        <f t="shared" si="120"/>
        <v>0</v>
      </c>
      <c r="BH287" s="228">
        <f t="shared" si="121"/>
        <v>0</v>
      </c>
      <c r="BI287" s="228">
        <f t="shared" si="122"/>
        <v>0</v>
      </c>
      <c r="BJ287" s="228">
        <f t="shared" si="123"/>
        <v>0</v>
      </c>
      <c r="BK287" s="228">
        <f t="shared" si="124"/>
        <v>-129.75792341880393</v>
      </c>
      <c r="BL287" s="228">
        <f>IF($K287=$L287,$BK287,IF(OR($K287="graphite",$K287="vitreous carbon"),$BK$406+($BM$389+$I287)*$BJ$406,IF($K287="Pyrolytic Boron Nitride","PBN",IF(COUNTIF($BH$396:$BH$416,$K287)&gt;0,VLOOKUP($K287,$BH$396:$BK$416,4,FALSE)+($BM$389+$I287)*VLOOKUP($K287,$BH$396:$BK$416,3,FALSE),IF(COUNTIF($L$2:$L286,$K287)&gt;0,VLOOKUP($K287,$L$2:$BK286,52,FALSE),"idk")))))</f>
        <v>-62.627031133800095</v>
      </c>
      <c r="BP287" s="227" t="s">
        <v>245</v>
      </c>
      <c r="BR287" s="227" t="s">
        <v>247</v>
      </c>
      <c r="BT287" s="227">
        <v>0</v>
      </c>
      <c r="BZ287" s="228"/>
      <c r="CA287" s="228"/>
      <c r="CB287" s="228"/>
      <c r="CI287" s="229"/>
      <c r="CJ287" s="229"/>
      <c r="CK287" s="229"/>
      <c r="CL287" s="229"/>
      <c r="CM287" s="229"/>
      <c r="CN287" s="229"/>
      <c r="CO287" s="229"/>
      <c r="CP287" s="229"/>
      <c r="CQ287" s="229"/>
      <c r="CR287" s="229"/>
      <c r="CS287" s="229"/>
      <c r="CT287" s="229"/>
      <c r="CU287" s="229"/>
      <c r="CV287" s="229"/>
      <c r="CW287" s="229"/>
      <c r="CX287" s="229"/>
      <c r="CY287" s="229"/>
      <c r="CZ287" s="229"/>
      <c r="DA287" s="229"/>
      <c r="DB287" s="229"/>
      <c r="DC287" s="229"/>
      <c r="DD287" s="229"/>
      <c r="DE287" s="229"/>
      <c r="DF287" s="229"/>
      <c r="DG287" s="229"/>
      <c r="DH287" s="229"/>
      <c r="DI287" s="229"/>
      <c r="DJ287" s="227">
        <v>0</v>
      </c>
      <c r="DK287" s="227">
        <v>0</v>
      </c>
      <c r="DM287" s="227">
        <v>-190</v>
      </c>
      <c r="DU287" s="227" t="s">
        <v>547</v>
      </c>
      <c r="DW287" s="227">
        <f>SUM(_2025_01_07T12_47_export3[[#This Row],[Ni_wt]:[H_wt]])</f>
        <v>99.097999999999999</v>
      </c>
      <c r="DY287" s="228">
        <f>SUM($AM287:BJ287)</f>
        <v>100</v>
      </c>
    </row>
    <row r="288" spans="1:129" s="227" customFormat="1" x14ac:dyDescent="0.25">
      <c r="A288" s="227" t="s">
        <v>548</v>
      </c>
      <c r="B288" s="227">
        <v>296</v>
      </c>
      <c r="C288" s="227" t="s">
        <v>543</v>
      </c>
      <c r="D288" s="227">
        <v>2013</v>
      </c>
      <c r="E288" s="227" t="s">
        <v>421</v>
      </c>
      <c r="F288" s="227" t="s">
        <v>544</v>
      </c>
      <c r="G288" s="227" t="s">
        <v>226</v>
      </c>
      <c r="H288" s="227">
        <v>0</v>
      </c>
      <c r="I288" s="227">
        <v>750</v>
      </c>
      <c r="J288" s="227">
        <v>200</v>
      </c>
      <c r="K288" s="227" t="s">
        <v>233</v>
      </c>
      <c r="L288" s="227" t="s">
        <v>368</v>
      </c>
      <c r="N288" s="227">
        <v>8220000</v>
      </c>
      <c r="O288" s="228">
        <v>47</v>
      </c>
      <c r="P288" s="228">
        <v>21.52</v>
      </c>
      <c r="Q288" s="228">
        <v>8.2899999999999991</v>
      </c>
      <c r="R288" s="228">
        <v>19.29</v>
      </c>
      <c r="S288" s="228">
        <v>0.54</v>
      </c>
      <c r="T288" s="228">
        <v>1.3</v>
      </c>
      <c r="U288" s="228">
        <v>0.64</v>
      </c>
      <c r="V288" s="228"/>
      <c r="W288" s="228">
        <v>0.01</v>
      </c>
      <c r="X288" s="228">
        <v>0.25</v>
      </c>
      <c r="Y288" s="228">
        <v>6.8000000000000005E-2</v>
      </c>
      <c r="Z288" s="228">
        <v>0.19</v>
      </c>
      <c r="AA288" s="228"/>
      <c r="AB288" s="228"/>
      <c r="AC288" s="228"/>
      <c r="AD288" s="228"/>
      <c r="AE288" s="228"/>
      <c r="AF288" s="228"/>
      <c r="AG288" s="228"/>
      <c r="AH288" s="228"/>
      <c r="AI288" s="228"/>
      <c r="AJ288" s="228"/>
      <c r="AK288" s="228"/>
      <c r="AL288" s="228"/>
      <c r="AM288" s="228">
        <f t="shared" si="100"/>
        <v>47.083354731111712</v>
      </c>
      <c r="AN288" s="228">
        <f t="shared" si="101"/>
        <v>24.331706775333767</v>
      </c>
      <c r="AO288" s="228">
        <f t="shared" si="102"/>
        <v>5.0792307342621852</v>
      </c>
      <c r="AP288" s="228">
        <f t="shared" si="103"/>
        <v>20.306856549674841</v>
      </c>
      <c r="AQ288" s="228">
        <f t="shared" si="104"/>
        <v>0.17273562014113755</v>
      </c>
      <c r="AR288" s="228">
        <f t="shared" si="105"/>
        <v>1.2970017496126418</v>
      </c>
      <c r="AS288" s="228">
        <f t="shared" si="106"/>
        <v>0.68489653589917276</v>
      </c>
      <c r="AT288" s="228">
        <f t="shared" si="107"/>
        <v>0</v>
      </c>
      <c r="AU288" s="228">
        <f t="shared" si="108"/>
        <v>1.2282031962313476E-2</v>
      </c>
      <c r="AV288" s="228">
        <f t="shared" si="109"/>
        <v>0.52326528127086691</v>
      </c>
      <c r="AW288" s="228">
        <f t="shared" si="110"/>
        <v>0.33288908544916179</v>
      </c>
      <c r="AX288" s="228">
        <f t="shared" si="111"/>
        <v>0.17578090528218684</v>
      </c>
      <c r="AY288" s="228">
        <f t="shared" si="112"/>
        <v>0</v>
      </c>
      <c r="AZ288" s="228">
        <f t="shared" si="113"/>
        <v>0</v>
      </c>
      <c r="BA288" s="228">
        <f t="shared" si="114"/>
        <v>0</v>
      </c>
      <c r="BB288" s="228">
        <f t="shared" si="115"/>
        <v>0</v>
      </c>
      <c r="BC288" s="228">
        <f t="shared" si="116"/>
        <v>0</v>
      </c>
      <c r="BD288" s="228">
        <f t="shared" si="117"/>
        <v>0</v>
      </c>
      <c r="BE288" s="228">
        <f t="shared" si="118"/>
        <v>0</v>
      </c>
      <c r="BF288" s="228">
        <f t="shared" si="119"/>
        <v>0</v>
      </c>
      <c r="BG288" s="228">
        <f t="shared" si="120"/>
        <v>0</v>
      </c>
      <c r="BH288" s="228">
        <f t="shared" si="121"/>
        <v>0</v>
      </c>
      <c r="BI288" s="228">
        <f t="shared" si="122"/>
        <v>0</v>
      </c>
      <c r="BJ288" s="228">
        <f t="shared" si="123"/>
        <v>0</v>
      </c>
      <c r="BK288" s="228">
        <f t="shared" si="124"/>
        <v>-129.75792341880393</v>
      </c>
      <c r="BL288" s="228">
        <f>IF($K288=$L288,$BK288,IF(OR($K288="graphite",$K288="vitreous carbon"),$BK$406+($BM$389+$I288)*$BJ$406,IF($K288="Pyrolytic Boron Nitride","PBN",IF(COUNTIF($BH$396:$BH$416,$K288)&gt;0,VLOOKUP($K288,$BH$396:$BK$416,4,FALSE)+($BM$389+$I288)*VLOOKUP($K288,$BH$396:$BK$416,3,FALSE),IF(COUNTIF($L$2:$L287,$K288)&gt;0,VLOOKUP($K288,$L$2:$BK287,52,FALSE),"idk")))))</f>
        <v>-62.627031133800095</v>
      </c>
      <c r="BP288" s="227" t="s">
        <v>245</v>
      </c>
      <c r="BR288" s="227" t="s">
        <v>247</v>
      </c>
      <c r="BT288" s="227">
        <v>0</v>
      </c>
      <c r="BZ288" s="228"/>
      <c r="CA288" s="228"/>
      <c r="CB288" s="228"/>
      <c r="CI288" s="229"/>
      <c r="CJ288" s="229"/>
      <c r="CK288" s="229"/>
      <c r="CL288" s="229"/>
      <c r="CM288" s="229"/>
      <c r="CN288" s="229"/>
      <c r="CO288" s="229"/>
      <c r="CP288" s="229"/>
      <c r="CQ288" s="229"/>
      <c r="CR288" s="229"/>
      <c r="CS288" s="229"/>
      <c r="CT288" s="229"/>
      <c r="CU288" s="229"/>
      <c r="CV288" s="229"/>
      <c r="CW288" s="229"/>
      <c r="CX288" s="229"/>
      <c r="CY288" s="229"/>
      <c r="CZ288" s="229"/>
      <c r="DA288" s="229"/>
      <c r="DB288" s="229"/>
      <c r="DC288" s="229"/>
      <c r="DD288" s="229"/>
      <c r="DE288" s="229"/>
      <c r="DF288" s="229"/>
      <c r="DG288" s="229"/>
      <c r="DH288" s="229"/>
      <c r="DI288" s="229"/>
      <c r="DJ288" s="227">
        <v>0</v>
      </c>
      <c r="DK288" s="227">
        <v>0</v>
      </c>
      <c r="DM288" s="227">
        <v>-200</v>
      </c>
      <c r="DU288" s="227" t="s">
        <v>547</v>
      </c>
      <c r="DW288" s="227">
        <f>SUM(_2025_01_07T12_47_export3[[#This Row],[Ni_wt]:[H_wt]])</f>
        <v>99.097999999999999</v>
      </c>
      <c r="DY288" s="228">
        <f>SUM($AM288:BJ288)</f>
        <v>100</v>
      </c>
    </row>
    <row r="289" spans="1:129" s="227" customFormat="1" x14ac:dyDescent="0.25">
      <c r="A289" s="227" t="s">
        <v>548</v>
      </c>
      <c r="B289" s="227">
        <v>297</v>
      </c>
      <c r="C289" s="227" t="s">
        <v>543</v>
      </c>
      <c r="D289" s="227">
        <v>2013</v>
      </c>
      <c r="E289" s="227" t="s">
        <v>421</v>
      </c>
      <c r="F289" s="227" t="s">
        <v>544</v>
      </c>
      <c r="G289" s="227" t="s">
        <v>226</v>
      </c>
      <c r="H289" s="227">
        <v>0</v>
      </c>
      <c r="I289" s="227">
        <v>750</v>
      </c>
      <c r="J289" s="227">
        <v>320</v>
      </c>
      <c r="K289" s="227" t="s">
        <v>233</v>
      </c>
      <c r="L289" s="227" t="s">
        <v>368</v>
      </c>
      <c r="N289" s="227">
        <v>8220000</v>
      </c>
      <c r="O289" s="228">
        <v>47</v>
      </c>
      <c r="P289" s="228">
        <v>21.52</v>
      </c>
      <c r="Q289" s="228">
        <v>8.2899999999999991</v>
      </c>
      <c r="R289" s="228">
        <v>19.29</v>
      </c>
      <c r="S289" s="228">
        <v>0.54</v>
      </c>
      <c r="T289" s="228">
        <v>1.3</v>
      </c>
      <c r="U289" s="228">
        <v>0.64</v>
      </c>
      <c r="V289" s="228"/>
      <c r="W289" s="228">
        <v>0.01</v>
      </c>
      <c r="X289" s="228">
        <v>0.25</v>
      </c>
      <c r="Y289" s="228">
        <v>6.8000000000000005E-2</v>
      </c>
      <c r="Z289" s="228">
        <v>0.19</v>
      </c>
      <c r="AA289" s="228"/>
      <c r="AB289" s="228"/>
      <c r="AC289" s="228"/>
      <c r="AD289" s="228"/>
      <c r="AE289" s="228"/>
      <c r="AF289" s="228"/>
      <c r="AG289" s="228"/>
      <c r="AH289" s="228"/>
      <c r="AI289" s="228"/>
      <c r="AJ289" s="228"/>
      <c r="AK289" s="228"/>
      <c r="AL289" s="228"/>
      <c r="AM289" s="228">
        <f t="shared" si="100"/>
        <v>47.083354731111712</v>
      </c>
      <c r="AN289" s="228">
        <f t="shared" si="101"/>
        <v>24.331706775333767</v>
      </c>
      <c r="AO289" s="228">
        <f t="shared" si="102"/>
        <v>5.0792307342621852</v>
      </c>
      <c r="AP289" s="228">
        <f t="shared" si="103"/>
        <v>20.306856549674841</v>
      </c>
      <c r="AQ289" s="228">
        <f t="shared" si="104"/>
        <v>0.17273562014113755</v>
      </c>
      <c r="AR289" s="228">
        <f t="shared" si="105"/>
        <v>1.2970017496126418</v>
      </c>
      <c r="AS289" s="228">
        <f t="shared" si="106"/>
        <v>0.68489653589917276</v>
      </c>
      <c r="AT289" s="228">
        <f t="shared" si="107"/>
        <v>0</v>
      </c>
      <c r="AU289" s="228">
        <f t="shared" si="108"/>
        <v>1.2282031962313476E-2</v>
      </c>
      <c r="AV289" s="228">
        <f t="shared" si="109"/>
        <v>0.52326528127086691</v>
      </c>
      <c r="AW289" s="228">
        <f t="shared" si="110"/>
        <v>0.33288908544916179</v>
      </c>
      <c r="AX289" s="228">
        <f t="shared" si="111"/>
        <v>0.17578090528218684</v>
      </c>
      <c r="AY289" s="228">
        <f t="shared" si="112"/>
        <v>0</v>
      </c>
      <c r="AZ289" s="228">
        <f t="shared" si="113"/>
        <v>0</v>
      </c>
      <c r="BA289" s="228">
        <f t="shared" si="114"/>
        <v>0</v>
      </c>
      <c r="BB289" s="228">
        <f t="shared" si="115"/>
        <v>0</v>
      </c>
      <c r="BC289" s="228">
        <f t="shared" si="116"/>
        <v>0</v>
      </c>
      <c r="BD289" s="228">
        <f t="shared" si="117"/>
        <v>0</v>
      </c>
      <c r="BE289" s="228">
        <f t="shared" si="118"/>
        <v>0</v>
      </c>
      <c r="BF289" s="228">
        <f t="shared" si="119"/>
        <v>0</v>
      </c>
      <c r="BG289" s="228">
        <f t="shared" si="120"/>
        <v>0</v>
      </c>
      <c r="BH289" s="228">
        <f t="shared" si="121"/>
        <v>0</v>
      </c>
      <c r="BI289" s="228">
        <f t="shared" si="122"/>
        <v>0</v>
      </c>
      <c r="BJ289" s="228">
        <f t="shared" si="123"/>
        <v>0</v>
      </c>
      <c r="BK289" s="228">
        <f t="shared" si="124"/>
        <v>-129.75792341880393</v>
      </c>
      <c r="BL289" s="228">
        <f>IF($K289=$L289,$BK289,IF(OR($K289="graphite",$K289="vitreous carbon"),$BK$406+($BM$389+$I289)*$BJ$406,IF($K289="Pyrolytic Boron Nitride","PBN",IF(COUNTIF($BH$396:$BH$416,$K289)&gt;0,VLOOKUP($K289,$BH$396:$BK$416,4,FALSE)+($BM$389+$I289)*VLOOKUP($K289,$BH$396:$BK$416,3,FALSE),IF(COUNTIF($L$2:$L288,$K289)&gt;0,VLOOKUP($K289,$L$2:$BK288,52,FALSE),"idk")))))</f>
        <v>-62.627031133800095</v>
      </c>
      <c r="BP289" s="227" t="s">
        <v>245</v>
      </c>
      <c r="BR289" s="227" t="s">
        <v>247</v>
      </c>
      <c r="BT289" s="227">
        <v>0</v>
      </c>
      <c r="BZ289" s="228"/>
      <c r="CA289" s="228"/>
      <c r="CB289" s="228"/>
      <c r="CI289" s="229"/>
      <c r="CJ289" s="229"/>
      <c r="CK289" s="229"/>
      <c r="CL289" s="229"/>
      <c r="CM289" s="229"/>
      <c r="CN289" s="229"/>
      <c r="CO289" s="229"/>
      <c r="CP289" s="229"/>
      <c r="CQ289" s="229"/>
      <c r="CR289" s="229"/>
      <c r="CS289" s="229"/>
      <c r="CT289" s="229"/>
      <c r="CU289" s="229"/>
      <c r="CV289" s="229"/>
      <c r="CW289" s="229"/>
      <c r="CX289" s="229"/>
      <c r="CY289" s="229"/>
      <c r="CZ289" s="229"/>
      <c r="DA289" s="229"/>
      <c r="DB289" s="229"/>
      <c r="DC289" s="229"/>
      <c r="DD289" s="229"/>
      <c r="DE289" s="229"/>
      <c r="DF289" s="229"/>
      <c r="DG289" s="229"/>
      <c r="DH289" s="229"/>
      <c r="DI289" s="229"/>
      <c r="DJ289" s="227">
        <v>0</v>
      </c>
      <c r="DK289" s="227">
        <v>0</v>
      </c>
      <c r="DM289" s="227">
        <v>-330</v>
      </c>
      <c r="DU289" s="227" t="s">
        <v>547</v>
      </c>
      <c r="DW289" s="227">
        <f>SUM(_2025_01_07T12_47_export3[[#This Row],[Ni_wt]:[H_wt]])</f>
        <v>99.097999999999999</v>
      </c>
      <c r="DY289" s="228">
        <f>SUM($AM289:BJ289)</f>
        <v>100</v>
      </c>
    </row>
    <row r="290" spans="1:129" s="227" customFormat="1" x14ac:dyDescent="0.25">
      <c r="A290" s="227" t="s">
        <v>549</v>
      </c>
      <c r="B290" s="227">
        <v>298</v>
      </c>
      <c r="C290" s="227" t="s">
        <v>543</v>
      </c>
      <c r="D290" s="227">
        <v>2013</v>
      </c>
      <c r="E290" s="227" t="s">
        <v>421</v>
      </c>
      <c r="F290" s="227" t="s">
        <v>544</v>
      </c>
      <c r="G290" s="227" t="s">
        <v>226</v>
      </c>
      <c r="H290" s="227">
        <v>0</v>
      </c>
      <c r="I290" s="227">
        <v>750</v>
      </c>
      <c r="J290" s="227">
        <v>50</v>
      </c>
      <c r="K290" s="227" t="s">
        <v>233</v>
      </c>
      <c r="L290" s="227" t="s">
        <v>308</v>
      </c>
      <c r="N290" s="227">
        <v>8890000</v>
      </c>
      <c r="O290" s="228">
        <v>58.68</v>
      </c>
      <c r="P290" s="228">
        <v>15.25</v>
      </c>
      <c r="Q290" s="228">
        <v>15.49</v>
      </c>
      <c r="R290" s="228">
        <v>5.27</v>
      </c>
      <c r="S290" s="228">
        <v>3.43</v>
      </c>
      <c r="T290" s="228">
        <v>0.85</v>
      </c>
      <c r="U290" s="228">
        <v>0.55000000000000004</v>
      </c>
      <c r="V290" s="228"/>
      <c r="W290" s="228"/>
      <c r="X290" s="228">
        <v>0.02</v>
      </c>
      <c r="Y290" s="228">
        <v>0.01</v>
      </c>
      <c r="Z290" s="228"/>
      <c r="AA290" s="228"/>
      <c r="AB290" s="228"/>
      <c r="AC290" s="228"/>
      <c r="AD290" s="228"/>
      <c r="AE290" s="228"/>
      <c r="AF290" s="228"/>
      <c r="AG290" s="228"/>
      <c r="AH290" s="228"/>
      <c r="AI290" s="228"/>
      <c r="AJ290" s="228"/>
      <c r="AK290" s="228"/>
      <c r="AL290" s="228"/>
      <c r="AM290" s="228">
        <f t="shared" si="100"/>
        <v>62.743414550059853</v>
      </c>
      <c r="AN290" s="228">
        <f t="shared" si="101"/>
        <v>18.403848693412424</v>
      </c>
      <c r="AO290" s="228">
        <f t="shared" si="102"/>
        <v>10.12985741707258</v>
      </c>
      <c r="AP290" s="228">
        <f t="shared" si="103"/>
        <v>5.921470796709853</v>
      </c>
      <c r="AQ290" s="228">
        <f t="shared" si="104"/>
        <v>1.1710913334012523</v>
      </c>
      <c r="AR290" s="228">
        <f t="shared" si="105"/>
        <v>0.90515850953905219</v>
      </c>
      <c r="AS290" s="228">
        <f t="shared" si="106"/>
        <v>0.62822640810135111</v>
      </c>
      <c r="AT290" s="228">
        <f t="shared" si="107"/>
        <v>0</v>
      </c>
      <c r="AU290" s="228">
        <f t="shared" si="108"/>
        <v>0</v>
      </c>
      <c r="AV290" s="228">
        <f t="shared" si="109"/>
        <v>4.4680745475372305E-2</v>
      </c>
      <c r="AW290" s="228">
        <f t="shared" si="110"/>
        <v>5.2251546228276775E-2</v>
      </c>
      <c r="AX290" s="228">
        <f t="shared" si="111"/>
        <v>0</v>
      </c>
      <c r="AY290" s="228">
        <f t="shared" si="112"/>
        <v>0</v>
      </c>
      <c r="AZ290" s="228">
        <f t="shared" si="113"/>
        <v>0</v>
      </c>
      <c r="BA290" s="228">
        <f t="shared" si="114"/>
        <v>0</v>
      </c>
      <c r="BB290" s="228">
        <f t="shared" si="115"/>
        <v>0</v>
      </c>
      <c r="BC290" s="228">
        <f t="shared" si="116"/>
        <v>0</v>
      </c>
      <c r="BD290" s="228">
        <f t="shared" si="117"/>
        <v>0</v>
      </c>
      <c r="BE290" s="228">
        <f t="shared" si="118"/>
        <v>0</v>
      </c>
      <c r="BF290" s="228">
        <f t="shared" si="119"/>
        <v>0</v>
      </c>
      <c r="BG290" s="228">
        <f t="shared" si="120"/>
        <v>0</v>
      </c>
      <c r="BH290" s="228">
        <f t="shared" si="121"/>
        <v>0</v>
      </c>
      <c r="BI290" s="228">
        <f t="shared" si="122"/>
        <v>0</v>
      </c>
      <c r="BJ290" s="228">
        <f t="shared" si="123"/>
        <v>0</v>
      </c>
      <c r="BK290" s="228">
        <f t="shared" si="124"/>
        <v>-125.69536129786731</v>
      </c>
      <c r="BL290" s="228">
        <f>IF($K290=$L290,$BK290,IF(OR($K290="graphite",$K290="vitreous carbon"),$BK$406+($BM$389+$I290)*$BJ$406,IF($K290="Pyrolytic Boron Nitride","PBN",IF(COUNTIF($BH$396:$BH$416,$K290)&gt;0,VLOOKUP($K290,$BH$396:$BK$416,4,FALSE)+($BM$389+$I290)*VLOOKUP($K290,$BH$396:$BK$416,3,FALSE),IF(COUNTIF($L$2:$L289,$K290)&gt;0,VLOOKUP($K290,$L$2:$BK289,52,FALSE),"idk")))))</f>
        <v>-62.627031133800095</v>
      </c>
      <c r="BP290" s="227" t="s">
        <v>245</v>
      </c>
      <c r="BR290" s="227" t="s">
        <v>247</v>
      </c>
      <c r="BT290" s="227">
        <v>0</v>
      </c>
      <c r="BZ290" s="228"/>
      <c r="CA290" s="228"/>
      <c r="CB290" s="228"/>
      <c r="CI290" s="229"/>
      <c r="CJ290" s="229"/>
      <c r="CK290" s="229"/>
      <c r="CL290" s="229"/>
      <c r="CM290" s="229"/>
      <c r="CN290" s="229"/>
      <c r="CO290" s="229"/>
      <c r="CP290" s="229"/>
      <c r="CQ290" s="229"/>
      <c r="CR290" s="229"/>
      <c r="CS290" s="229"/>
      <c r="CT290" s="229"/>
      <c r="CU290" s="229"/>
      <c r="CV290" s="229"/>
      <c r="CW290" s="229"/>
      <c r="CX290" s="229"/>
      <c r="CY290" s="229"/>
      <c r="CZ290" s="229"/>
      <c r="DA290" s="229"/>
      <c r="DB290" s="229"/>
      <c r="DC290" s="229"/>
      <c r="DD290" s="229"/>
      <c r="DE290" s="229"/>
      <c r="DF290" s="229"/>
      <c r="DG290" s="229"/>
      <c r="DH290" s="229"/>
      <c r="DI290" s="229"/>
      <c r="DJ290" s="227">
        <v>0</v>
      </c>
      <c r="DK290" s="227">
        <v>0</v>
      </c>
      <c r="DM290" s="227">
        <v>-50</v>
      </c>
      <c r="DU290" s="227" t="s">
        <v>547</v>
      </c>
      <c r="DW290" s="227">
        <f>SUM(_2025_01_07T12_47_export3[[#This Row],[Ni_wt]:[H_wt]])</f>
        <v>99.55</v>
      </c>
      <c r="DY290" s="228">
        <f>SUM($AM290:BJ290)</f>
        <v>100.00000000000003</v>
      </c>
    </row>
    <row r="291" spans="1:129" s="227" customFormat="1" x14ac:dyDescent="0.25">
      <c r="A291" s="227" t="s">
        <v>549</v>
      </c>
      <c r="B291" s="227">
        <v>299</v>
      </c>
      <c r="C291" s="227" t="s">
        <v>543</v>
      </c>
      <c r="D291" s="227">
        <v>2013</v>
      </c>
      <c r="E291" s="227" t="s">
        <v>421</v>
      </c>
      <c r="F291" s="227" t="s">
        <v>544</v>
      </c>
      <c r="G291" s="227" t="s">
        <v>226</v>
      </c>
      <c r="H291" s="227">
        <v>0</v>
      </c>
      <c r="I291" s="227">
        <v>750</v>
      </c>
      <c r="J291" s="227">
        <v>100</v>
      </c>
      <c r="K291" s="227" t="s">
        <v>233</v>
      </c>
      <c r="L291" s="227" t="s">
        <v>308</v>
      </c>
      <c r="N291" s="227">
        <v>8890000</v>
      </c>
      <c r="O291" s="228">
        <v>58.68</v>
      </c>
      <c r="P291" s="228">
        <v>15.25</v>
      </c>
      <c r="Q291" s="228">
        <v>15.49</v>
      </c>
      <c r="R291" s="228">
        <v>5.27</v>
      </c>
      <c r="S291" s="228">
        <v>3.43</v>
      </c>
      <c r="T291" s="228">
        <v>0.85</v>
      </c>
      <c r="U291" s="228">
        <v>0.55000000000000004</v>
      </c>
      <c r="V291" s="228"/>
      <c r="W291" s="228"/>
      <c r="X291" s="228">
        <v>0.02</v>
      </c>
      <c r="Y291" s="228">
        <v>0.01</v>
      </c>
      <c r="Z291" s="228"/>
      <c r="AA291" s="228"/>
      <c r="AB291" s="228"/>
      <c r="AC291" s="228"/>
      <c r="AD291" s="228"/>
      <c r="AE291" s="228"/>
      <c r="AF291" s="228"/>
      <c r="AG291" s="228"/>
      <c r="AH291" s="228"/>
      <c r="AI291" s="228"/>
      <c r="AJ291" s="228"/>
      <c r="AK291" s="228"/>
      <c r="AL291" s="228"/>
      <c r="AM291" s="228">
        <f t="shared" si="100"/>
        <v>62.743414550059853</v>
      </c>
      <c r="AN291" s="228">
        <f t="shared" si="101"/>
        <v>18.403848693412424</v>
      </c>
      <c r="AO291" s="228">
        <f t="shared" si="102"/>
        <v>10.12985741707258</v>
      </c>
      <c r="AP291" s="228">
        <f t="shared" si="103"/>
        <v>5.921470796709853</v>
      </c>
      <c r="AQ291" s="228">
        <f t="shared" si="104"/>
        <v>1.1710913334012523</v>
      </c>
      <c r="AR291" s="228">
        <f t="shared" si="105"/>
        <v>0.90515850953905219</v>
      </c>
      <c r="AS291" s="228">
        <f t="shared" si="106"/>
        <v>0.62822640810135111</v>
      </c>
      <c r="AT291" s="228">
        <f t="shared" si="107"/>
        <v>0</v>
      </c>
      <c r="AU291" s="228">
        <f t="shared" si="108"/>
        <v>0</v>
      </c>
      <c r="AV291" s="228">
        <f t="shared" si="109"/>
        <v>4.4680745475372305E-2</v>
      </c>
      <c r="AW291" s="228">
        <f t="shared" si="110"/>
        <v>5.2251546228276775E-2</v>
      </c>
      <c r="AX291" s="228">
        <f t="shared" si="111"/>
        <v>0</v>
      </c>
      <c r="AY291" s="228">
        <f t="shared" si="112"/>
        <v>0</v>
      </c>
      <c r="AZ291" s="228">
        <f t="shared" si="113"/>
        <v>0</v>
      </c>
      <c r="BA291" s="228">
        <f t="shared" si="114"/>
        <v>0</v>
      </c>
      <c r="BB291" s="228">
        <f t="shared" si="115"/>
        <v>0</v>
      </c>
      <c r="BC291" s="228">
        <f t="shared" si="116"/>
        <v>0</v>
      </c>
      <c r="BD291" s="228">
        <f t="shared" si="117"/>
        <v>0</v>
      </c>
      <c r="BE291" s="228">
        <f t="shared" si="118"/>
        <v>0</v>
      </c>
      <c r="BF291" s="228">
        <f t="shared" si="119"/>
        <v>0</v>
      </c>
      <c r="BG291" s="228">
        <f t="shared" si="120"/>
        <v>0</v>
      </c>
      <c r="BH291" s="228">
        <f t="shared" si="121"/>
        <v>0</v>
      </c>
      <c r="BI291" s="228">
        <f t="shared" si="122"/>
        <v>0</v>
      </c>
      <c r="BJ291" s="228">
        <f t="shared" si="123"/>
        <v>0</v>
      </c>
      <c r="BK291" s="228">
        <f t="shared" si="124"/>
        <v>-125.69536129786731</v>
      </c>
      <c r="BL291" s="228">
        <f>IF($K291=$L291,$BK291,IF(OR($K291="graphite",$K291="vitreous carbon"),$BK$406+($BM$389+$I291)*$BJ$406,IF($K291="Pyrolytic Boron Nitride","PBN",IF(COUNTIF($BH$396:$BH$416,$K291)&gt;0,VLOOKUP($K291,$BH$396:$BK$416,4,FALSE)+($BM$389+$I291)*VLOOKUP($K291,$BH$396:$BK$416,3,FALSE),IF(COUNTIF($L$2:$L290,$K291)&gt;0,VLOOKUP($K291,$L$2:$BK290,52,FALSE),"idk")))))</f>
        <v>-62.627031133800095</v>
      </c>
      <c r="BP291" s="227" t="s">
        <v>245</v>
      </c>
      <c r="BR291" s="227" t="s">
        <v>247</v>
      </c>
      <c r="BT291" s="227">
        <v>0</v>
      </c>
      <c r="BZ291" s="228"/>
      <c r="CA291" s="228"/>
      <c r="CB291" s="228"/>
      <c r="CI291" s="229"/>
      <c r="CJ291" s="229"/>
      <c r="CK291" s="229"/>
      <c r="CL291" s="229"/>
      <c r="CM291" s="229"/>
      <c r="CN291" s="229"/>
      <c r="CO291" s="229"/>
      <c r="CP291" s="229"/>
      <c r="CQ291" s="229"/>
      <c r="CR291" s="229"/>
      <c r="CS291" s="229"/>
      <c r="CT291" s="229"/>
      <c r="CU291" s="229"/>
      <c r="CV291" s="229"/>
      <c r="CW291" s="229"/>
      <c r="CX291" s="229"/>
      <c r="CY291" s="229"/>
      <c r="CZ291" s="229"/>
      <c r="DA291" s="229"/>
      <c r="DB291" s="229"/>
      <c r="DC291" s="229"/>
      <c r="DD291" s="229"/>
      <c r="DE291" s="229"/>
      <c r="DF291" s="229"/>
      <c r="DG291" s="229"/>
      <c r="DH291" s="229"/>
      <c r="DI291" s="229"/>
      <c r="DJ291" s="227">
        <v>0</v>
      </c>
      <c r="DK291" s="227">
        <v>0</v>
      </c>
      <c r="DM291" s="227">
        <v>-60</v>
      </c>
      <c r="DU291" s="227" t="s">
        <v>547</v>
      </c>
      <c r="DW291" s="227">
        <f>SUM(_2025_01_07T12_47_export3[[#This Row],[Ni_wt]:[H_wt]])</f>
        <v>99.55</v>
      </c>
      <c r="DY291" s="228">
        <f>SUM($AM291:BJ291)</f>
        <v>100.00000000000003</v>
      </c>
    </row>
    <row r="292" spans="1:129" s="227" customFormat="1" x14ac:dyDescent="0.25">
      <c r="A292" s="227" t="s">
        <v>549</v>
      </c>
      <c r="B292" s="227">
        <v>300</v>
      </c>
      <c r="C292" s="227" t="s">
        <v>543</v>
      </c>
      <c r="D292" s="227">
        <v>2013</v>
      </c>
      <c r="E292" s="227" t="s">
        <v>421</v>
      </c>
      <c r="F292" s="227" t="s">
        <v>544</v>
      </c>
      <c r="G292" s="227" t="s">
        <v>226</v>
      </c>
      <c r="H292" s="227">
        <v>0</v>
      </c>
      <c r="I292" s="227">
        <v>750</v>
      </c>
      <c r="J292" s="227">
        <v>200</v>
      </c>
      <c r="K292" s="227" t="s">
        <v>233</v>
      </c>
      <c r="L292" s="227" t="s">
        <v>308</v>
      </c>
      <c r="N292" s="227">
        <v>8890000</v>
      </c>
      <c r="O292" s="228">
        <v>58.68</v>
      </c>
      <c r="P292" s="228">
        <v>15.25</v>
      </c>
      <c r="Q292" s="228">
        <v>15.49</v>
      </c>
      <c r="R292" s="228">
        <v>5.27</v>
      </c>
      <c r="S292" s="228">
        <v>3.43</v>
      </c>
      <c r="T292" s="228">
        <v>0.85</v>
      </c>
      <c r="U292" s="228">
        <v>0.55000000000000004</v>
      </c>
      <c r="V292" s="228"/>
      <c r="W292" s="228"/>
      <c r="X292" s="228">
        <v>0.02</v>
      </c>
      <c r="Y292" s="228">
        <v>0.01</v>
      </c>
      <c r="Z292" s="228"/>
      <c r="AA292" s="228"/>
      <c r="AB292" s="228"/>
      <c r="AC292" s="228"/>
      <c r="AD292" s="228"/>
      <c r="AE292" s="228"/>
      <c r="AF292" s="228"/>
      <c r="AG292" s="228"/>
      <c r="AH292" s="228"/>
      <c r="AI292" s="228"/>
      <c r="AJ292" s="228"/>
      <c r="AK292" s="228"/>
      <c r="AL292" s="228"/>
      <c r="AM292" s="228">
        <f t="shared" si="100"/>
        <v>62.743414550059853</v>
      </c>
      <c r="AN292" s="228">
        <f t="shared" si="101"/>
        <v>18.403848693412424</v>
      </c>
      <c r="AO292" s="228">
        <f t="shared" si="102"/>
        <v>10.12985741707258</v>
      </c>
      <c r="AP292" s="228">
        <f t="shared" si="103"/>
        <v>5.921470796709853</v>
      </c>
      <c r="AQ292" s="228">
        <f t="shared" si="104"/>
        <v>1.1710913334012523</v>
      </c>
      <c r="AR292" s="228">
        <f t="shared" si="105"/>
        <v>0.90515850953905219</v>
      </c>
      <c r="AS292" s="228">
        <f t="shared" si="106"/>
        <v>0.62822640810135111</v>
      </c>
      <c r="AT292" s="228">
        <f t="shared" si="107"/>
        <v>0</v>
      </c>
      <c r="AU292" s="228">
        <f t="shared" si="108"/>
        <v>0</v>
      </c>
      <c r="AV292" s="228">
        <f t="shared" si="109"/>
        <v>4.4680745475372305E-2</v>
      </c>
      <c r="AW292" s="228">
        <f t="shared" si="110"/>
        <v>5.2251546228276775E-2</v>
      </c>
      <c r="AX292" s="228">
        <f t="shared" si="111"/>
        <v>0</v>
      </c>
      <c r="AY292" s="228">
        <f t="shared" si="112"/>
        <v>0</v>
      </c>
      <c r="AZ292" s="228">
        <f t="shared" si="113"/>
        <v>0</v>
      </c>
      <c r="BA292" s="228">
        <f t="shared" si="114"/>
        <v>0</v>
      </c>
      <c r="BB292" s="228">
        <f t="shared" si="115"/>
        <v>0</v>
      </c>
      <c r="BC292" s="228">
        <f t="shared" si="116"/>
        <v>0</v>
      </c>
      <c r="BD292" s="228">
        <f t="shared" si="117"/>
        <v>0</v>
      </c>
      <c r="BE292" s="228">
        <f t="shared" si="118"/>
        <v>0</v>
      </c>
      <c r="BF292" s="228">
        <f t="shared" si="119"/>
        <v>0</v>
      </c>
      <c r="BG292" s="228">
        <f t="shared" si="120"/>
        <v>0</v>
      </c>
      <c r="BH292" s="228">
        <f t="shared" si="121"/>
        <v>0</v>
      </c>
      <c r="BI292" s="228">
        <f t="shared" si="122"/>
        <v>0</v>
      </c>
      <c r="BJ292" s="228">
        <f t="shared" si="123"/>
        <v>0</v>
      </c>
      <c r="BK292" s="228">
        <f t="shared" si="124"/>
        <v>-125.69536129786731</v>
      </c>
      <c r="BL292" s="228">
        <f>IF($K292=$L292,$BK292,IF(OR($K292="graphite",$K292="vitreous carbon"),$BK$406+($BM$389+$I292)*$BJ$406,IF($K292="Pyrolytic Boron Nitride","PBN",IF(COUNTIF($BH$396:$BH$416,$K292)&gt;0,VLOOKUP($K292,$BH$396:$BK$416,4,FALSE)+($BM$389+$I292)*VLOOKUP($K292,$BH$396:$BK$416,3,FALSE),IF(COUNTIF($L$2:$L291,$K292)&gt;0,VLOOKUP($K292,$L$2:$BK291,52,FALSE),"idk")))))</f>
        <v>-62.627031133800095</v>
      </c>
      <c r="BP292" s="227" t="s">
        <v>245</v>
      </c>
      <c r="BR292" s="227" t="s">
        <v>247</v>
      </c>
      <c r="BT292" s="227">
        <v>0</v>
      </c>
      <c r="BZ292" s="228"/>
      <c r="CA292" s="228"/>
      <c r="CB292" s="228"/>
      <c r="CI292" s="229"/>
      <c r="CJ292" s="229"/>
      <c r="CK292" s="229"/>
      <c r="CL292" s="229"/>
      <c r="CM292" s="229"/>
      <c r="CN292" s="229"/>
      <c r="CO292" s="229"/>
      <c r="CP292" s="229"/>
      <c r="CQ292" s="229"/>
      <c r="CR292" s="229"/>
      <c r="CS292" s="229"/>
      <c r="CT292" s="229"/>
      <c r="CU292" s="229"/>
      <c r="CV292" s="229"/>
      <c r="CW292" s="229"/>
      <c r="CX292" s="229"/>
      <c r="CY292" s="229"/>
      <c r="CZ292" s="229"/>
      <c r="DA292" s="229"/>
      <c r="DB292" s="229"/>
      <c r="DC292" s="229"/>
      <c r="DD292" s="229"/>
      <c r="DE292" s="229"/>
      <c r="DF292" s="229"/>
      <c r="DG292" s="229"/>
      <c r="DH292" s="229"/>
      <c r="DI292" s="229"/>
      <c r="DJ292" s="227">
        <v>0</v>
      </c>
      <c r="DK292" s="227">
        <v>0</v>
      </c>
      <c r="DM292" s="227">
        <v>-100</v>
      </c>
      <c r="DU292" s="227" t="s">
        <v>547</v>
      </c>
      <c r="DW292" s="227">
        <f>SUM(_2025_01_07T12_47_export3[[#This Row],[Ni_wt]:[H_wt]])</f>
        <v>99.55</v>
      </c>
      <c r="DY292" s="228">
        <f>SUM($AM292:BJ292)</f>
        <v>100.00000000000003</v>
      </c>
    </row>
    <row r="293" spans="1:129" s="227" customFormat="1" ht="16.5" thickBot="1" x14ac:dyDescent="0.3">
      <c r="A293" s="231" t="s">
        <v>549</v>
      </c>
      <c r="B293" s="231">
        <v>301</v>
      </c>
      <c r="C293" s="231" t="s">
        <v>543</v>
      </c>
      <c r="D293" s="231">
        <v>2013</v>
      </c>
      <c r="E293" s="231" t="s">
        <v>421</v>
      </c>
      <c r="F293" s="231" t="s">
        <v>544</v>
      </c>
      <c r="G293" s="231" t="s">
        <v>226</v>
      </c>
      <c r="H293" s="231">
        <v>0</v>
      </c>
      <c r="I293" s="231">
        <v>750</v>
      </c>
      <c r="J293" s="231">
        <v>320</v>
      </c>
      <c r="K293" s="231" t="s">
        <v>233</v>
      </c>
      <c r="L293" s="231" t="s">
        <v>308</v>
      </c>
      <c r="M293" s="231"/>
      <c r="N293" s="231">
        <v>8890000</v>
      </c>
      <c r="O293" s="232">
        <v>58.68</v>
      </c>
      <c r="P293" s="232">
        <v>15.25</v>
      </c>
      <c r="Q293" s="232">
        <v>15.49</v>
      </c>
      <c r="R293" s="232">
        <v>5.27</v>
      </c>
      <c r="S293" s="232">
        <v>3.43</v>
      </c>
      <c r="T293" s="232">
        <v>0.85</v>
      </c>
      <c r="U293" s="232">
        <v>0.55000000000000004</v>
      </c>
      <c r="V293" s="232"/>
      <c r="W293" s="232"/>
      <c r="X293" s="232">
        <v>0.02</v>
      </c>
      <c r="Y293" s="232">
        <v>0.01</v>
      </c>
      <c r="Z293" s="232"/>
      <c r="AA293" s="232"/>
      <c r="AB293" s="232"/>
      <c r="AC293" s="232"/>
      <c r="AD293" s="232"/>
      <c r="AE293" s="232"/>
      <c r="AF293" s="232"/>
      <c r="AG293" s="232"/>
      <c r="AH293" s="232"/>
      <c r="AI293" s="232"/>
      <c r="AJ293" s="232"/>
      <c r="AK293" s="232"/>
      <c r="AL293" s="232"/>
      <c r="AM293" s="232">
        <f t="shared" si="100"/>
        <v>62.743414550059853</v>
      </c>
      <c r="AN293" s="232">
        <f t="shared" si="101"/>
        <v>18.403848693412424</v>
      </c>
      <c r="AO293" s="232">
        <f t="shared" si="102"/>
        <v>10.12985741707258</v>
      </c>
      <c r="AP293" s="232">
        <f t="shared" si="103"/>
        <v>5.921470796709853</v>
      </c>
      <c r="AQ293" s="232">
        <f t="shared" si="104"/>
        <v>1.1710913334012523</v>
      </c>
      <c r="AR293" s="232">
        <f t="shared" si="105"/>
        <v>0.90515850953905219</v>
      </c>
      <c r="AS293" s="232">
        <f t="shared" si="106"/>
        <v>0.62822640810135111</v>
      </c>
      <c r="AT293" s="232">
        <f t="shared" si="107"/>
        <v>0</v>
      </c>
      <c r="AU293" s="232">
        <f t="shared" si="108"/>
        <v>0</v>
      </c>
      <c r="AV293" s="232">
        <f t="shared" si="109"/>
        <v>4.4680745475372305E-2</v>
      </c>
      <c r="AW293" s="232">
        <f t="shared" si="110"/>
        <v>5.2251546228276775E-2</v>
      </c>
      <c r="AX293" s="232">
        <f t="shared" si="111"/>
        <v>0</v>
      </c>
      <c r="AY293" s="232">
        <f t="shared" si="112"/>
        <v>0</v>
      </c>
      <c r="AZ293" s="232">
        <f t="shared" si="113"/>
        <v>0</v>
      </c>
      <c r="BA293" s="232">
        <f t="shared" si="114"/>
        <v>0</v>
      </c>
      <c r="BB293" s="232">
        <f t="shared" si="115"/>
        <v>0</v>
      </c>
      <c r="BC293" s="232">
        <f t="shared" si="116"/>
        <v>0</v>
      </c>
      <c r="BD293" s="232">
        <f t="shared" si="117"/>
        <v>0</v>
      </c>
      <c r="BE293" s="232">
        <f t="shared" si="118"/>
        <v>0</v>
      </c>
      <c r="BF293" s="232">
        <f t="shared" si="119"/>
        <v>0</v>
      </c>
      <c r="BG293" s="232">
        <f t="shared" si="120"/>
        <v>0</v>
      </c>
      <c r="BH293" s="232">
        <f t="shared" si="121"/>
        <v>0</v>
      </c>
      <c r="BI293" s="232">
        <f t="shared" si="122"/>
        <v>0</v>
      </c>
      <c r="BJ293" s="232">
        <f t="shared" si="123"/>
        <v>0</v>
      </c>
      <c r="BK293" s="232">
        <f t="shared" si="124"/>
        <v>-125.69536129786731</v>
      </c>
      <c r="BL293" s="232">
        <f>IF($K293=$L293,$BK293,IF(OR($K293="graphite",$K293="vitreous carbon"),$BK$406+($BM$389+$I293)*$BJ$406,IF($K293="Pyrolytic Boron Nitride","PBN",IF(COUNTIF($BH$396:$BH$416,$K293)&gt;0,VLOOKUP($K293,$BH$396:$BK$416,4,FALSE)+($BM$389+$I293)*VLOOKUP($K293,$BH$396:$BK$416,3,FALSE),IF(COUNTIF($L$2:$L292,$K293)&gt;0,VLOOKUP($K293,$L$2:$BK292,52,FALSE),"idk")))))</f>
        <v>-62.627031133800095</v>
      </c>
      <c r="BM293" s="231"/>
      <c r="BN293" s="231"/>
      <c r="BO293" s="231"/>
      <c r="BP293" s="231" t="s">
        <v>245</v>
      </c>
      <c r="BQ293" s="231"/>
      <c r="BR293" s="231" t="s">
        <v>247</v>
      </c>
      <c r="BS293" s="231"/>
      <c r="BT293" s="231">
        <v>0</v>
      </c>
      <c r="BU293" s="231"/>
      <c r="BV293" s="231"/>
      <c r="BW293" s="231"/>
      <c r="BX293" s="231"/>
      <c r="BY293" s="231"/>
      <c r="BZ293" s="232"/>
      <c r="CA293" s="232"/>
      <c r="CB293" s="232"/>
      <c r="CC293" s="231"/>
      <c r="CD293" s="231"/>
      <c r="CE293" s="231"/>
      <c r="CF293" s="231"/>
      <c r="CG293" s="231"/>
      <c r="CH293" s="231"/>
      <c r="CI293" s="233"/>
      <c r="CJ293" s="233"/>
      <c r="CK293" s="233"/>
      <c r="CL293" s="233"/>
      <c r="CM293" s="233"/>
      <c r="CN293" s="233"/>
      <c r="CO293" s="233"/>
      <c r="CP293" s="233"/>
      <c r="CQ293" s="233"/>
      <c r="CR293" s="233"/>
      <c r="CS293" s="233"/>
      <c r="CT293" s="233"/>
      <c r="CU293" s="233"/>
      <c r="CV293" s="233"/>
      <c r="CW293" s="233"/>
      <c r="CX293" s="233"/>
      <c r="CY293" s="233"/>
      <c r="CZ293" s="233"/>
      <c r="DA293" s="233"/>
      <c r="DB293" s="233"/>
      <c r="DC293" s="233"/>
      <c r="DD293" s="233"/>
      <c r="DE293" s="233"/>
      <c r="DF293" s="233"/>
      <c r="DG293" s="233"/>
      <c r="DH293" s="233"/>
      <c r="DI293" s="233"/>
      <c r="DJ293" s="231">
        <v>0</v>
      </c>
      <c r="DK293" s="231">
        <v>0</v>
      </c>
      <c r="DL293" s="231"/>
      <c r="DM293" s="231">
        <v>-130</v>
      </c>
      <c r="DN293" s="231"/>
      <c r="DO293" s="231"/>
      <c r="DP293" s="231"/>
      <c r="DQ293" s="231"/>
      <c r="DR293" s="231"/>
      <c r="DS293" s="231"/>
      <c r="DT293" s="231"/>
      <c r="DU293" s="231" t="s">
        <v>547</v>
      </c>
      <c r="DW293" s="227">
        <f>SUM(_2025_01_07T12_47_export3[[#This Row],[Ni_wt]:[H_wt]])</f>
        <v>99.55</v>
      </c>
      <c r="DY293" s="228">
        <f>SUM($AM293:BJ293)</f>
        <v>100.00000000000003</v>
      </c>
    </row>
    <row r="294" spans="1:129" hidden="1" x14ac:dyDescent="0.25">
      <c r="B294" s="151"/>
      <c r="C294" s="151"/>
      <c r="N294" s="151"/>
      <c r="O294" s="151"/>
      <c r="P294" s="151"/>
      <c r="AA294" s="151"/>
      <c r="AB294" s="151"/>
      <c r="AC294" s="151"/>
      <c r="AN294" s="151"/>
      <c r="AO294" s="151"/>
      <c r="AP294" s="151"/>
      <c r="AS294" s="129"/>
      <c r="AU294" s="129"/>
      <c r="AX294" s="129"/>
      <c r="AY294" s="129"/>
      <c r="AZ294" s="129"/>
      <c r="BA294" s="151"/>
      <c r="BB294" s="151"/>
      <c r="BC294" s="151"/>
      <c r="BG294" s="129"/>
      <c r="BH294" s="129"/>
      <c r="BI294" s="129"/>
      <c r="BJ294" s="129"/>
      <c r="BK294" s="130" t="e">
        <f t="shared" si="124"/>
        <v>#DIV/0!</v>
      </c>
      <c r="BL294" s="130" t="e">
        <f>IF($K294=$L294,$BK294,IF(OR($K294="graphite",$K294="vitreous carbon"),$BK$406+($BM$389+$I294)*$BJ$406,IF($K294="Pyrolytic Boron Nitride","PBN",IF(COUNTIF($BH$396:$BH$416,$K294)&gt;0,VLOOKUP($K294,$BH$396:$BK$416,4,FALSE)+($BM$389+$I294)*VLOOKUP($K294,$BH$396:$BK$416,3,FALSE),IF(COUNTIF($L$2:$L293,$K294)&gt;0,VLOOKUP($K294,$L$2:$BK293,52,FALSE),"idk")))))</f>
        <v>#DIV/0!</v>
      </c>
      <c r="BM294" s="129"/>
      <c r="BN294" s="129"/>
      <c r="BO294" s="151"/>
      <c r="BP294" s="151"/>
      <c r="BQ294" s="151"/>
      <c r="BS294" s="129"/>
      <c r="BT294" s="129"/>
      <c r="BV294" s="129"/>
      <c r="BZ294" s="129"/>
      <c r="CB294" s="151"/>
      <c r="CC294" s="151"/>
      <c r="CD294" s="151"/>
      <c r="CO294" s="151"/>
      <c r="CP294" s="151"/>
      <c r="CQ294" s="151"/>
      <c r="DB294" s="151"/>
      <c r="DC294" s="151"/>
      <c r="DD294" s="151"/>
      <c r="DJ294" s="129"/>
      <c r="DK294" s="129"/>
      <c r="DL294" s="129"/>
      <c r="DO294" s="151"/>
      <c r="DP294" s="151"/>
      <c r="DQ294" s="151"/>
      <c r="DS294" s="129"/>
      <c r="DU294" s="129"/>
      <c r="DY294" s="130"/>
    </row>
    <row r="295" spans="1:129" hidden="1" x14ac:dyDescent="0.25">
      <c r="A295" s="151"/>
      <c r="B295" s="151"/>
      <c r="C295" s="151"/>
      <c r="N295" s="151"/>
      <c r="O295" s="151"/>
      <c r="P295" s="151"/>
      <c r="AA295" s="151"/>
      <c r="AB295" s="151"/>
      <c r="AC295" s="151"/>
      <c r="AN295" s="151"/>
      <c r="AO295" s="151"/>
      <c r="AP295" s="151"/>
      <c r="AS295" s="129"/>
      <c r="AU295" s="129"/>
      <c r="AX295" s="129"/>
      <c r="AY295" s="129"/>
      <c r="AZ295" s="129"/>
      <c r="BA295" s="151"/>
      <c r="BB295" s="151"/>
      <c r="BC295" s="151"/>
      <c r="BG295" s="129"/>
      <c r="BH295" s="129"/>
      <c r="BI295" s="129"/>
      <c r="BJ295" s="129"/>
      <c r="BK295" s="130" t="e">
        <f t="shared" si="124"/>
        <v>#DIV/0!</v>
      </c>
      <c r="BL295" s="130" t="e">
        <f>IF($K295=$L295,$BK295,IF(OR($K295="graphite",$K295="vitreous carbon"),$BK$406+($BM$389+$I295)*$BJ$406,IF($K295="Pyrolytic Boron Nitride","PBN",IF(COUNTIF($BH$396:$BH$416,$K295)&gt;0,VLOOKUP($K295,$BH$396:$BK$416,4,FALSE)+($BM$389+$I295)*VLOOKUP($K295,$BH$396:$BK$416,3,FALSE),IF(COUNTIF($L$2:$L294,$K295)&gt;0,VLOOKUP($K295,$L$2:$BK294,52,FALSE),"idk")))))</f>
        <v>#DIV/0!</v>
      </c>
      <c r="BM295" s="129"/>
      <c r="BN295" s="129"/>
      <c r="BO295" s="151"/>
      <c r="BP295" s="151"/>
      <c r="BQ295" s="151"/>
      <c r="BS295" s="129"/>
      <c r="BT295" s="129"/>
      <c r="BV295" s="129"/>
      <c r="BZ295" s="129"/>
      <c r="CB295" s="151"/>
      <c r="CC295" s="151"/>
      <c r="CD295" s="151"/>
      <c r="CO295" s="151"/>
      <c r="CP295" s="151"/>
      <c r="CQ295" s="151"/>
      <c r="DB295" s="151"/>
      <c r="DC295" s="151"/>
      <c r="DD295" s="151"/>
      <c r="DJ295" s="129"/>
      <c r="DK295" s="129"/>
      <c r="DL295" s="129"/>
      <c r="DO295" s="151"/>
      <c r="DP295" s="151"/>
      <c r="DQ295" s="151"/>
      <c r="DS295" s="129"/>
      <c r="DU295" s="129"/>
      <c r="DY295" s="130"/>
    </row>
    <row r="296" spans="1:129" hidden="1" x14ac:dyDescent="0.25">
      <c r="B296" s="151"/>
      <c r="C296" s="151"/>
      <c r="N296" s="151"/>
      <c r="O296" s="151"/>
      <c r="P296" s="151"/>
      <c r="AA296" s="151"/>
      <c r="AB296" s="151"/>
      <c r="AC296" s="151"/>
      <c r="AN296" s="151"/>
      <c r="AO296" s="151"/>
      <c r="AP296" s="151"/>
      <c r="AS296" s="129"/>
      <c r="AU296" s="129"/>
      <c r="AX296" s="129"/>
      <c r="AY296" s="129"/>
      <c r="AZ296" s="129"/>
      <c r="BA296" s="151"/>
      <c r="BB296" s="151"/>
      <c r="BC296" s="151"/>
      <c r="BG296" s="129"/>
      <c r="BH296" s="129"/>
      <c r="BI296" s="129"/>
      <c r="BJ296" s="129"/>
      <c r="BK296" s="130" t="e">
        <f t="shared" si="124"/>
        <v>#DIV/0!</v>
      </c>
      <c r="BL296" s="130" t="e">
        <f>IF($K296=$L296,$BK296,IF(OR($K296="graphite",$K296="vitreous carbon"),$BK$406+($BM$389+$I296)*$BJ$406,IF($K296="Pyrolytic Boron Nitride","PBN",IF(COUNTIF($BH$396:$BH$416,$K296)&gt;0,VLOOKUP($K296,$BH$396:$BK$416,4,FALSE)+($BM$389+$I296)*VLOOKUP($K296,$BH$396:$BK$416,3,FALSE),IF(COUNTIF($L$2:$L295,$K296)&gt;0,VLOOKUP($K296,$L$2:$BK295,52,FALSE),"idk")))))</f>
        <v>#DIV/0!</v>
      </c>
      <c r="BM296" s="129"/>
      <c r="BN296" s="129"/>
      <c r="BO296" s="151"/>
      <c r="BP296" s="151"/>
      <c r="BQ296" s="151"/>
      <c r="BS296" s="129"/>
      <c r="BT296" s="129"/>
      <c r="BV296" s="129"/>
      <c r="BZ296" s="129"/>
      <c r="CB296" s="151"/>
      <c r="CC296" s="151"/>
      <c r="CD296" s="151"/>
      <c r="CO296" s="151"/>
      <c r="CP296" s="151"/>
      <c r="CQ296" s="151"/>
      <c r="DB296" s="151"/>
      <c r="DC296" s="151"/>
      <c r="DD296" s="151"/>
      <c r="DJ296" s="129"/>
      <c r="DK296" s="129"/>
      <c r="DL296" s="129"/>
      <c r="DO296" s="151"/>
      <c r="DP296" s="151"/>
      <c r="DQ296" s="151"/>
      <c r="DS296" s="129"/>
      <c r="DU296" s="129"/>
      <c r="DW296" s="129">
        <f>SUM(_2025_01_07T12_47_export3[[#This Row],[Ni_wt]:[H_wt]])</f>
        <v>0</v>
      </c>
      <c r="DY296" s="130">
        <f>SUM($AM296:BJ296)</f>
        <v>0</v>
      </c>
    </row>
    <row r="297" spans="1:129" hidden="1" x14ac:dyDescent="0.25">
      <c r="A297" s="151"/>
      <c r="B297" s="151"/>
      <c r="C297" s="151"/>
      <c r="N297" s="151"/>
      <c r="O297" s="151"/>
      <c r="P297" s="151"/>
      <c r="AA297" s="151"/>
      <c r="AB297" s="151"/>
      <c r="AC297" s="151"/>
      <c r="AN297" s="151"/>
      <c r="AO297" s="151"/>
      <c r="AP297" s="151"/>
      <c r="AS297" s="129"/>
      <c r="AU297" s="129"/>
      <c r="AX297" s="129"/>
      <c r="AY297" s="129"/>
      <c r="AZ297" s="129"/>
      <c r="BA297" s="151"/>
      <c r="BB297" s="151"/>
      <c r="BC297" s="151"/>
      <c r="BG297" s="129"/>
      <c r="BH297" s="129"/>
      <c r="BI297" s="129"/>
      <c r="BJ297" s="129"/>
      <c r="BK297" s="130" t="e">
        <f t="shared" si="124"/>
        <v>#DIV/0!</v>
      </c>
      <c r="BL297" s="130" t="e">
        <f>IF($K297=$L297,$BK297,IF(OR($K297="graphite",$K297="vitreous carbon"),$BK$406+($BM$389+$I297)*$BJ$406,IF($K297="Pyrolytic Boron Nitride","PBN",IF(COUNTIF($BH$396:$BH$416,$K297)&gt;0,VLOOKUP($K297,$BH$396:$BK$416,4,FALSE)+($BM$389+$I297)*VLOOKUP($K297,$BH$396:$BK$416,3,FALSE),IF(COUNTIF($L$2:$L296,$K297)&gt;0,VLOOKUP($K297,$L$2:$BK296,52,FALSE),"idk")))))</f>
        <v>#DIV/0!</v>
      </c>
      <c r="BM297" s="129"/>
      <c r="BN297" s="129"/>
      <c r="BO297" s="151"/>
      <c r="BP297" s="151"/>
      <c r="BQ297" s="151"/>
      <c r="BS297" s="129"/>
      <c r="BT297" s="129"/>
      <c r="BV297" s="129"/>
      <c r="BZ297" s="129"/>
      <c r="CB297" s="151"/>
      <c r="CC297" s="151"/>
      <c r="CD297" s="151"/>
      <c r="CO297" s="151"/>
      <c r="CP297" s="151"/>
      <c r="CQ297" s="151"/>
      <c r="DB297" s="151"/>
      <c r="DC297" s="151"/>
      <c r="DD297" s="151"/>
      <c r="DJ297" s="129"/>
      <c r="DK297" s="129"/>
      <c r="DL297" s="129"/>
      <c r="DO297" s="151"/>
      <c r="DP297" s="151"/>
      <c r="DQ297" s="151"/>
      <c r="DS297" s="129"/>
      <c r="DU297" s="129"/>
      <c r="DY297" s="130"/>
    </row>
    <row r="298" spans="1:129" hidden="1" x14ac:dyDescent="0.25">
      <c r="A298" s="151"/>
      <c r="B298" s="151"/>
      <c r="C298" s="151"/>
      <c r="N298" s="151"/>
      <c r="O298" s="151"/>
      <c r="P298" s="151"/>
      <c r="AA298" s="151"/>
      <c r="AB298" s="151"/>
      <c r="AC298" s="151"/>
      <c r="AN298" s="151"/>
      <c r="AO298" s="151"/>
      <c r="AP298" s="151"/>
      <c r="AS298" s="129"/>
      <c r="AU298" s="129"/>
      <c r="AX298" s="129"/>
      <c r="AY298" s="129"/>
      <c r="AZ298" s="129"/>
      <c r="BA298" s="151"/>
      <c r="BB298" s="151"/>
      <c r="BC298" s="151"/>
      <c r="BG298" s="129"/>
      <c r="BH298" s="129"/>
      <c r="BI298" s="129"/>
      <c r="BJ298" s="129"/>
      <c r="BK298" s="130" t="e">
        <f t="shared" si="124"/>
        <v>#DIV/0!</v>
      </c>
      <c r="BL298" s="130" t="e">
        <f>IF($K298=$L298,$BK298,IF(OR($K298="graphite",$K298="vitreous carbon"),$BK$406+($BM$389+$I298)*$BJ$406,IF($K298="Pyrolytic Boron Nitride","PBN",IF(COUNTIF($BH$396:$BH$416,$K298)&gt;0,VLOOKUP($K298,$BH$396:$BK$416,4,FALSE)+($BM$389+$I298)*VLOOKUP($K298,$BH$396:$BK$416,3,FALSE),IF(COUNTIF($L$2:$L297,$K298)&gt;0,VLOOKUP($K298,$L$2:$BK297,52,FALSE),"idk")))))</f>
        <v>#DIV/0!</v>
      </c>
      <c r="BM298" s="129"/>
      <c r="BN298" s="129"/>
      <c r="BO298" s="151"/>
      <c r="BP298" s="151"/>
      <c r="BQ298" s="151"/>
      <c r="BS298" s="129"/>
      <c r="BT298" s="129"/>
      <c r="BV298" s="129"/>
      <c r="BZ298" s="129"/>
      <c r="CB298" s="151"/>
      <c r="CC298" s="151"/>
      <c r="CD298" s="151"/>
      <c r="CO298" s="151"/>
      <c r="CP298" s="151"/>
      <c r="CQ298" s="151"/>
      <c r="DB298" s="151"/>
      <c r="DC298" s="151"/>
      <c r="DD298" s="151"/>
      <c r="DJ298" s="129"/>
      <c r="DK298" s="129"/>
      <c r="DL298" s="129"/>
      <c r="DO298" s="151"/>
      <c r="DP298" s="151"/>
      <c r="DQ298" s="151"/>
      <c r="DS298" s="129"/>
      <c r="DU298" s="129"/>
      <c r="DY298" s="130"/>
    </row>
    <row r="299" spans="1:129" hidden="1" x14ac:dyDescent="0.25">
      <c r="A299" s="151"/>
      <c r="B299" s="151"/>
      <c r="C299" s="151"/>
      <c r="N299" s="151"/>
      <c r="O299" s="151"/>
      <c r="P299" s="151"/>
      <c r="AA299" s="151"/>
      <c r="AB299" s="151"/>
      <c r="AC299" s="151"/>
      <c r="AN299" s="151"/>
      <c r="AO299" s="151"/>
      <c r="AP299" s="151"/>
      <c r="AS299" s="129"/>
      <c r="AU299" s="129"/>
      <c r="AX299" s="129"/>
      <c r="AY299" s="129"/>
      <c r="AZ299" s="129"/>
      <c r="BA299" s="151"/>
      <c r="BB299" s="151"/>
      <c r="BC299" s="151"/>
      <c r="BG299" s="129"/>
      <c r="BH299" s="129"/>
      <c r="BI299" s="129"/>
      <c r="BJ299" s="129"/>
      <c r="BK299" s="130" t="e">
        <f t="shared" si="124"/>
        <v>#DIV/0!</v>
      </c>
      <c r="BL299" s="130" t="e">
        <f>IF($K299=$L299,$BK299,IF(OR($K299="graphite",$K299="vitreous carbon"),$BK$406+($BM$389+$I299)*$BJ$406,IF($K299="Pyrolytic Boron Nitride","PBN",IF(COUNTIF($BH$396:$BH$416,$K299)&gt;0,VLOOKUP($K299,$BH$396:$BK$416,4,FALSE)+($BM$389+$I299)*VLOOKUP($K299,$BH$396:$BK$416,3,FALSE),IF(COUNTIF($L$2:$L298,$K299)&gt;0,VLOOKUP($K299,$L$2:$BK298,52,FALSE),"idk")))))</f>
        <v>#DIV/0!</v>
      </c>
      <c r="BM299" s="129"/>
      <c r="BN299" s="129"/>
      <c r="BO299" s="151"/>
      <c r="BP299" s="151"/>
      <c r="BQ299" s="151"/>
      <c r="BS299" s="129"/>
      <c r="BT299" s="129"/>
      <c r="BV299" s="129"/>
      <c r="BZ299" s="129"/>
      <c r="CB299" s="151"/>
      <c r="CC299" s="151"/>
      <c r="CD299" s="151"/>
      <c r="CO299" s="151"/>
      <c r="CP299" s="151"/>
      <c r="CQ299" s="151"/>
      <c r="DB299" s="151"/>
      <c r="DC299" s="151"/>
      <c r="DD299" s="151"/>
      <c r="DJ299" s="129"/>
      <c r="DK299" s="129"/>
      <c r="DL299" s="129"/>
      <c r="DO299" s="151"/>
      <c r="DP299" s="151"/>
      <c r="DQ299" s="151"/>
      <c r="DS299" s="129"/>
      <c r="DU299" s="129"/>
      <c r="DY299" s="130"/>
    </row>
    <row r="300" spans="1:129" hidden="1" x14ac:dyDescent="0.25">
      <c r="C300" s="130"/>
      <c r="D300" s="130"/>
      <c r="E300" s="130"/>
      <c r="P300" s="130"/>
      <c r="Q300" s="130"/>
      <c r="R300" s="130"/>
      <c r="AC300" s="130"/>
      <c r="AD300" s="130"/>
      <c r="AE300" s="130"/>
      <c r="AP300" s="130"/>
      <c r="AQ300" s="130"/>
      <c r="AR300" s="130"/>
      <c r="AS300" s="129"/>
      <c r="AU300" s="129"/>
      <c r="AX300" s="129"/>
      <c r="AY300" s="129"/>
      <c r="AZ300" s="129"/>
      <c r="BA300" s="129"/>
      <c r="BB300" s="129"/>
      <c r="BC300" s="130"/>
      <c r="BD300" s="130"/>
      <c r="BE300" s="130"/>
      <c r="BG300" s="129"/>
      <c r="BH300" s="129"/>
      <c r="BI300" s="129"/>
      <c r="BJ300" s="129"/>
      <c r="BK300" s="130" t="e">
        <f t="shared" si="124"/>
        <v>#DIV/0!</v>
      </c>
      <c r="BL300" s="130" t="e">
        <f>IF($K300=$L300,$BK300,IF(OR($K300="graphite",$K300="vitreous carbon"),$BK$406+($BM$389+$I300)*$BJ$406,IF($K300="Pyrolytic Boron Nitride","PBN",IF(COUNTIF($BH$396:$BH$416,$K300)&gt;0,VLOOKUP($K300,$BH$396:$BK$416,4,FALSE)+($BM$389+$I300)*VLOOKUP($K300,$BH$396:$BK$416,3,FALSE),IF(COUNTIF($L$2:$L299,$K300)&gt;0,VLOOKUP($K300,$L$2:$BK299,52,FALSE),"idk")))))</f>
        <v>#DIV/0!</v>
      </c>
      <c r="BM300" s="129"/>
      <c r="BN300" s="129"/>
      <c r="BQ300" s="130"/>
      <c r="BR300" s="130"/>
      <c r="BS300" s="129"/>
      <c r="BT300" s="130"/>
      <c r="BV300" s="129"/>
      <c r="BZ300" s="129"/>
      <c r="CD300" s="130"/>
      <c r="CE300" s="130"/>
      <c r="CF300" s="130"/>
      <c r="CQ300" s="130"/>
      <c r="CR300" s="130"/>
      <c r="CS300" s="130"/>
      <c r="DD300" s="130"/>
      <c r="DE300" s="130"/>
      <c r="DF300" s="130"/>
      <c r="DJ300" s="129"/>
      <c r="DK300" s="129"/>
      <c r="DL300" s="129"/>
      <c r="DQ300" s="130"/>
      <c r="DR300" s="130"/>
      <c r="DS300" s="129"/>
      <c r="DU300" s="130"/>
      <c r="DY300" s="130"/>
    </row>
    <row r="301" spans="1:129" hidden="1" x14ac:dyDescent="0.25">
      <c r="A301" s="151"/>
      <c r="B301" s="151"/>
      <c r="C301" s="151"/>
      <c r="N301" s="151"/>
      <c r="O301" s="151"/>
      <c r="P301" s="151"/>
      <c r="AA301" s="151"/>
      <c r="AB301" s="151"/>
      <c r="AC301" s="151"/>
      <c r="AN301" s="151"/>
      <c r="AO301" s="151"/>
      <c r="AP301" s="151"/>
      <c r="AS301" s="129"/>
      <c r="AU301" s="129"/>
      <c r="AX301" s="129"/>
      <c r="AY301" s="129"/>
      <c r="AZ301" s="129"/>
      <c r="BA301" s="151"/>
      <c r="BB301" s="151"/>
      <c r="BC301" s="151"/>
      <c r="BG301" s="129"/>
      <c r="BH301" s="129"/>
      <c r="BI301" s="129"/>
      <c r="BJ301" s="129"/>
      <c r="BK301" s="130" t="e">
        <f t="shared" si="124"/>
        <v>#DIV/0!</v>
      </c>
      <c r="BL301" s="130" t="e">
        <f>IF($K301=$L301,$BK301,IF(OR($K301="graphite",$K301="vitreous carbon"),$BK$406+($BM$389+$I301)*$BJ$406,IF($K301="Pyrolytic Boron Nitride","PBN",IF(COUNTIF($BH$396:$BH$416,$K301)&gt;0,VLOOKUP($K301,$BH$396:$BK$416,4,FALSE)+($BM$389+$I301)*VLOOKUP($K301,$BH$396:$BK$416,3,FALSE),IF(COUNTIF($L$2:$L300,$K301)&gt;0,VLOOKUP($K301,$L$2:$BK300,52,FALSE),"idk")))))</f>
        <v>#DIV/0!</v>
      </c>
      <c r="BM301" s="129"/>
      <c r="BN301" s="129"/>
      <c r="BO301" s="151"/>
      <c r="BP301" s="151"/>
      <c r="BQ301" s="151"/>
      <c r="BS301" s="129"/>
      <c r="BT301" s="129"/>
      <c r="BV301" s="129"/>
      <c r="BZ301" s="129"/>
      <c r="CB301" s="151"/>
      <c r="CC301" s="151"/>
      <c r="CD301" s="151"/>
      <c r="CO301" s="151"/>
      <c r="CP301" s="151"/>
      <c r="CQ301" s="151"/>
      <c r="DB301" s="151"/>
      <c r="DC301" s="151"/>
      <c r="DD301" s="151"/>
      <c r="DJ301" s="129"/>
      <c r="DK301" s="129"/>
      <c r="DL301" s="129"/>
      <c r="DO301" s="151"/>
      <c r="DP301" s="151"/>
      <c r="DQ301" s="151"/>
      <c r="DS301" s="129"/>
      <c r="DU301" s="129"/>
      <c r="DY301" s="130"/>
    </row>
    <row r="302" spans="1:129" hidden="1" x14ac:dyDescent="0.25">
      <c r="A302" s="151"/>
      <c r="B302" s="151"/>
      <c r="C302" s="151"/>
      <c r="N302" s="151"/>
      <c r="O302" s="151"/>
      <c r="P302" s="151"/>
      <c r="AA302" s="151"/>
      <c r="AB302" s="151"/>
      <c r="AC302" s="151"/>
      <c r="AN302" s="151"/>
      <c r="AO302" s="151"/>
      <c r="AP302" s="151"/>
      <c r="AS302" s="129"/>
      <c r="AU302" s="129"/>
      <c r="AX302" s="129"/>
      <c r="AY302" s="129"/>
      <c r="AZ302" s="129"/>
      <c r="BA302" s="151"/>
      <c r="BB302" s="151"/>
      <c r="BC302" s="151"/>
      <c r="BG302" s="129"/>
      <c r="BH302" s="129"/>
      <c r="BI302" s="129"/>
      <c r="BJ302" s="129"/>
      <c r="BK302" s="130" t="e">
        <f t="shared" si="124"/>
        <v>#DIV/0!</v>
      </c>
      <c r="BL302" s="130" t="e">
        <f>IF($K302=$L302,$BK302,IF(OR($K302="graphite",$K302="vitreous carbon"),$BK$406+($BM$389+$I302)*$BJ$406,IF($K302="Pyrolytic Boron Nitride","PBN",IF(COUNTIF($BH$396:$BH$416,$K302)&gt;0,VLOOKUP($K302,$BH$396:$BK$416,4,FALSE)+($BM$389+$I302)*VLOOKUP($K302,$BH$396:$BK$416,3,FALSE),IF(COUNTIF($L$2:$L301,$K302)&gt;0,VLOOKUP($K302,$L$2:$BK301,52,FALSE),"idk")))))</f>
        <v>#DIV/0!</v>
      </c>
      <c r="BM302" s="129"/>
      <c r="BN302" s="129"/>
      <c r="BO302" s="151"/>
      <c r="BP302" s="151"/>
      <c r="BQ302" s="151"/>
      <c r="BS302" s="129"/>
      <c r="BT302" s="129"/>
      <c r="BV302" s="129"/>
      <c r="BZ302" s="129"/>
      <c r="CB302" s="151"/>
      <c r="CC302" s="151"/>
      <c r="CD302" s="151"/>
      <c r="CO302" s="151"/>
      <c r="CP302" s="151"/>
      <c r="CQ302" s="151"/>
      <c r="DB302" s="151"/>
      <c r="DC302" s="151"/>
      <c r="DD302" s="151"/>
      <c r="DJ302" s="129"/>
      <c r="DK302" s="129"/>
      <c r="DL302" s="129"/>
      <c r="DO302" s="151"/>
      <c r="DP302" s="151"/>
      <c r="DQ302" s="151"/>
      <c r="DS302" s="129"/>
      <c r="DU302" s="129"/>
      <c r="DY302" s="130"/>
    </row>
    <row r="303" spans="1:129" hidden="1" x14ac:dyDescent="0.25">
      <c r="A303" s="151"/>
      <c r="B303" s="151"/>
      <c r="C303" s="151"/>
      <c r="N303" s="151"/>
      <c r="O303" s="151"/>
      <c r="P303" s="151"/>
      <c r="AA303" s="151"/>
      <c r="AB303" s="151"/>
      <c r="AC303" s="151"/>
      <c r="AN303" s="151"/>
      <c r="AO303" s="151"/>
      <c r="AP303" s="151"/>
      <c r="AS303" s="129"/>
      <c r="AU303" s="129"/>
      <c r="AX303" s="129"/>
      <c r="AY303" s="129"/>
      <c r="AZ303" s="129"/>
      <c r="BA303" s="151"/>
      <c r="BB303" s="151"/>
      <c r="BC303" s="151"/>
      <c r="BG303" s="129"/>
      <c r="BH303" s="129"/>
      <c r="BI303" s="129"/>
      <c r="BJ303" s="129"/>
      <c r="BK303" s="130" t="e">
        <f t="shared" si="124"/>
        <v>#DIV/0!</v>
      </c>
      <c r="BL303" s="130" t="e">
        <f>IF($K303=$L303,$BK303,IF(OR($K303="graphite",$K303="vitreous carbon"),$BK$406+($BM$389+$I303)*$BJ$406,IF($K303="Pyrolytic Boron Nitride","PBN",IF(COUNTIF($BH$396:$BH$416,$K303)&gt;0,VLOOKUP($K303,$BH$396:$BK$416,4,FALSE)+($BM$389+$I303)*VLOOKUP($K303,$BH$396:$BK$416,3,FALSE),IF(COUNTIF($L$2:$L302,$K303)&gt;0,VLOOKUP($K303,$L$2:$BK302,52,FALSE),"idk")))))</f>
        <v>#DIV/0!</v>
      </c>
      <c r="BM303" s="129"/>
      <c r="BN303" s="129"/>
      <c r="BO303" s="151"/>
      <c r="BP303" s="151"/>
      <c r="BQ303" s="151"/>
      <c r="BS303" s="129"/>
      <c r="BT303" s="129"/>
      <c r="BV303" s="129"/>
      <c r="BZ303" s="129"/>
      <c r="CB303" s="151"/>
      <c r="CC303" s="151"/>
      <c r="CD303" s="151"/>
      <c r="CO303" s="151"/>
      <c r="CP303" s="151"/>
      <c r="CQ303" s="151"/>
      <c r="DB303" s="151"/>
      <c r="DC303" s="151"/>
      <c r="DD303" s="151"/>
      <c r="DJ303" s="129"/>
      <c r="DK303" s="129"/>
      <c r="DL303" s="129"/>
      <c r="DO303" s="151"/>
      <c r="DP303" s="151"/>
      <c r="DQ303" s="151"/>
      <c r="DS303" s="129"/>
      <c r="DU303" s="129"/>
      <c r="DY303" s="130"/>
    </row>
    <row r="304" spans="1:129" ht="16.5" hidden="1" thickBot="1" x14ac:dyDescent="0.3">
      <c r="A304" s="152"/>
      <c r="B304" s="152"/>
      <c r="C304" s="152"/>
      <c r="D304" s="136"/>
      <c r="E304" s="136"/>
      <c r="F304" s="136"/>
      <c r="G304" s="136"/>
      <c r="H304" s="136"/>
      <c r="I304" s="136"/>
      <c r="J304" s="136"/>
      <c r="K304" s="136"/>
      <c r="L304" s="136"/>
      <c r="M304" s="136"/>
      <c r="N304" s="152"/>
      <c r="O304" s="152"/>
      <c r="P304" s="152"/>
      <c r="Q304" s="136"/>
      <c r="R304" s="136"/>
      <c r="S304" s="136"/>
      <c r="T304" s="136"/>
      <c r="U304" s="136"/>
      <c r="V304" s="136"/>
      <c r="W304" s="136"/>
      <c r="X304" s="136"/>
      <c r="Y304" s="136"/>
      <c r="Z304" s="136"/>
      <c r="AA304" s="152"/>
      <c r="AB304" s="152"/>
      <c r="AC304" s="152"/>
      <c r="AD304" s="136"/>
      <c r="AE304" s="136"/>
      <c r="AF304" s="136"/>
      <c r="AG304" s="136"/>
      <c r="AH304" s="136"/>
      <c r="AI304" s="136"/>
      <c r="AJ304" s="136"/>
      <c r="AK304" s="136"/>
      <c r="AL304" s="136"/>
      <c r="AM304" s="136"/>
      <c r="AN304" s="152"/>
      <c r="AO304" s="152"/>
      <c r="AP304" s="152"/>
      <c r="AQ304" s="136"/>
      <c r="AR304" s="136"/>
      <c r="AS304" s="136"/>
      <c r="AT304" s="136"/>
      <c r="AU304" s="136"/>
      <c r="AV304" s="136"/>
      <c r="AW304" s="136"/>
      <c r="AX304" s="136"/>
      <c r="AY304" s="136"/>
      <c r="AZ304" s="136"/>
      <c r="BA304" s="152"/>
      <c r="BB304" s="152"/>
      <c r="BC304" s="152"/>
      <c r="BD304" s="136"/>
      <c r="BE304" s="136"/>
      <c r="BF304" s="136"/>
      <c r="BG304" s="136"/>
      <c r="BH304" s="136"/>
      <c r="BI304" s="136"/>
      <c r="BJ304" s="136"/>
      <c r="BK304" s="137" t="e">
        <f t="shared" si="124"/>
        <v>#DIV/0!</v>
      </c>
      <c r="BL304" s="137" t="e">
        <f>IF($K304=$L304,$BK304,IF(OR($K304="graphite",$K304="vitreous carbon"),$BK$406+($BM$389+$I304)*$BJ$406,IF($K304="Pyrolytic Boron Nitride","PBN",IF(COUNTIF($BH$396:$BH$416,$K304)&gt;0,VLOOKUP($K304,$BH$396:$BK$416,4,FALSE)+($BM$389+$I304)*VLOOKUP($K304,$BH$396:$BK$416,3,FALSE),IF(COUNTIF($L$2:$L303,$K304)&gt;0,VLOOKUP($K304,$L$2:$BK303,52,FALSE),"idk")))))</f>
        <v>#DIV/0!</v>
      </c>
      <c r="BM304" s="136"/>
      <c r="BN304" s="136"/>
      <c r="BO304" s="152"/>
      <c r="BP304" s="152"/>
      <c r="BQ304" s="152"/>
      <c r="BR304" s="136"/>
      <c r="BS304" s="136"/>
      <c r="BT304" s="136"/>
      <c r="BU304" s="136"/>
      <c r="BV304" s="136"/>
      <c r="BW304" s="136"/>
      <c r="BX304" s="136"/>
      <c r="BY304" s="136"/>
      <c r="BZ304" s="136"/>
      <c r="CA304" s="136"/>
      <c r="CB304" s="152"/>
      <c r="CC304" s="152"/>
      <c r="CD304" s="152"/>
      <c r="CE304" s="136"/>
      <c r="CF304" s="136"/>
      <c r="CG304" s="136"/>
      <c r="CH304" s="136"/>
      <c r="CI304" s="136"/>
      <c r="CJ304" s="136"/>
      <c r="CK304" s="136"/>
      <c r="CL304" s="136"/>
      <c r="CM304" s="136"/>
      <c r="CN304" s="136"/>
      <c r="CO304" s="152"/>
      <c r="CP304" s="152"/>
      <c r="CQ304" s="152"/>
      <c r="CR304" s="136"/>
      <c r="CS304" s="136"/>
      <c r="CT304" s="136"/>
      <c r="CU304" s="136"/>
      <c r="CV304" s="136"/>
      <c r="CW304" s="136"/>
      <c r="CX304" s="136"/>
      <c r="CY304" s="136"/>
      <c r="CZ304" s="136"/>
      <c r="DA304" s="136"/>
      <c r="DB304" s="152"/>
      <c r="DC304" s="152"/>
      <c r="DD304" s="152"/>
      <c r="DE304" s="136"/>
      <c r="DF304" s="136"/>
      <c r="DG304" s="136"/>
      <c r="DH304" s="136"/>
      <c r="DI304" s="136"/>
      <c r="DJ304" s="136"/>
      <c r="DK304" s="136"/>
      <c r="DL304" s="136"/>
      <c r="DM304" s="136"/>
      <c r="DN304" s="136"/>
      <c r="DO304" s="152"/>
      <c r="DP304" s="152"/>
      <c r="DQ304" s="152"/>
      <c r="DR304" s="136"/>
      <c r="DS304" s="136"/>
      <c r="DT304" s="136"/>
      <c r="DU304" s="136"/>
      <c r="DY304" s="130"/>
    </row>
    <row r="305" spans="1:132" hidden="1" x14ac:dyDescent="0.25">
      <c r="A305" s="4" t="s">
        <v>550</v>
      </c>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c r="BA305" s="130"/>
      <c r="BB305" s="130"/>
      <c r="BC305" s="130"/>
      <c r="BD305" s="130"/>
      <c r="BE305" s="130"/>
      <c r="BF305" s="130"/>
      <c r="BG305" s="130"/>
      <c r="BH305" s="130"/>
      <c r="BI305" s="130"/>
      <c r="BJ305" s="130"/>
      <c r="BK305" s="130" t="e">
        <f t="shared" si="124"/>
        <v>#DIV/0!</v>
      </c>
      <c r="BL305" s="130" t="e">
        <f>IF($K305=$L305,$BK305,IF(OR($K305="graphite",$K305="vitreous carbon"),$BK$406+($BM$389+$I305)*$BJ$406,IF($K305="Pyrolytic Boron Nitride","PBN",IF(COUNTIF($BH$396:$BH$416,$K305)&gt;0,VLOOKUP($K305,$BH$396:$BK$416,4,FALSE)+($BM$389+$I305)*VLOOKUP($K305,$BH$396:$BK$416,3,FALSE),IF(COUNTIF($L$2:$L304,$K305)&gt;0,VLOOKUP($K305,$L$2:$BK304,52,FALSE),"idk")))))</f>
        <v>#DIV/0!</v>
      </c>
      <c r="BM305" s="129"/>
      <c r="BN305" s="129"/>
      <c r="BQ305" s="129"/>
      <c r="BS305" s="129"/>
      <c r="BT305" s="129"/>
      <c r="BV305" s="129"/>
      <c r="BZ305" s="130"/>
      <c r="CA305" s="130"/>
      <c r="CB305" s="130"/>
      <c r="CI305" s="151"/>
      <c r="CJ305" s="151"/>
      <c r="CK305" s="151"/>
      <c r="CL305" s="151"/>
      <c r="CM305" s="151"/>
      <c r="CN305" s="151"/>
      <c r="CO305" s="151"/>
      <c r="CP305" s="151"/>
      <c r="CQ305" s="151"/>
      <c r="CR305" s="151"/>
      <c r="CS305" s="151"/>
      <c r="CT305" s="151"/>
      <c r="CU305" s="151"/>
      <c r="CV305" s="151"/>
      <c r="CW305" s="151"/>
      <c r="CX305" s="151"/>
      <c r="CY305" s="151"/>
      <c r="CZ305" s="151"/>
      <c r="DA305" s="151"/>
      <c r="DB305" s="151"/>
      <c r="DC305" s="151"/>
      <c r="DD305" s="151"/>
      <c r="DE305" s="151"/>
      <c r="DF305" s="151"/>
      <c r="DG305" s="151"/>
      <c r="DH305" s="151"/>
      <c r="DI305" s="151"/>
      <c r="DJ305" s="129"/>
      <c r="DK305" s="129"/>
      <c r="DL305" s="129"/>
      <c r="DS305" s="129"/>
      <c r="DU305" s="129"/>
      <c r="DW305" s="129">
        <f>SUM(_2025_01_07T12_47_export3[[#This Row],[Ni_wt]:[H_wt]])</f>
        <v>0</v>
      </c>
      <c r="DY305" s="130">
        <f>SUM($AM305:BJ305)</f>
        <v>0</v>
      </c>
    </row>
    <row r="306" spans="1:132" ht="16.5" hidden="1" thickBot="1" x14ac:dyDescent="0.3">
      <c r="A306" s="136"/>
      <c r="B306" s="136"/>
      <c r="C306" s="136"/>
      <c r="D306" s="136"/>
      <c r="E306" s="136"/>
      <c r="F306" s="136"/>
      <c r="G306" s="136"/>
      <c r="H306" s="136"/>
      <c r="I306" s="136"/>
      <c r="J306" s="136"/>
      <c r="K306" s="136"/>
      <c r="L306" s="136"/>
      <c r="M306" s="136"/>
      <c r="N306" s="136"/>
      <c r="O306" s="137"/>
      <c r="P306" s="137"/>
      <c r="Q306" s="137"/>
      <c r="R306" s="137"/>
      <c r="S306" s="137"/>
      <c r="T306" s="137"/>
      <c r="U306" s="137"/>
      <c r="V306" s="137"/>
      <c r="W306" s="137"/>
      <c r="X306" s="137"/>
      <c r="Y306" s="137"/>
      <c r="Z306" s="137"/>
      <c r="AA306" s="137"/>
      <c r="AB306" s="137"/>
      <c r="AC306" s="137"/>
      <c r="AD306" s="137"/>
      <c r="AE306" s="137"/>
      <c r="AF306" s="137"/>
      <c r="AG306" s="137"/>
      <c r="AH306" s="137"/>
      <c r="AI306" s="137"/>
      <c r="AJ306" s="137"/>
      <c r="AK306" s="137"/>
      <c r="AL306" s="137"/>
      <c r="AM306" s="137"/>
      <c r="AN306" s="137"/>
      <c r="AO306" s="137"/>
      <c r="AP306" s="137"/>
      <c r="AQ306" s="137"/>
      <c r="AR306" s="137"/>
      <c r="AS306" s="137"/>
      <c r="AT306" s="137"/>
      <c r="AU306" s="137"/>
      <c r="AV306" s="137"/>
      <c r="AW306" s="137"/>
      <c r="AX306" s="137"/>
      <c r="AY306" s="137"/>
      <c r="AZ306" s="137"/>
      <c r="BA306" s="137"/>
      <c r="BB306" s="137"/>
      <c r="BC306" s="137"/>
      <c r="BD306" s="137"/>
      <c r="BE306" s="137"/>
      <c r="BF306" s="137"/>
      <c r="BG306" s="137"/>
      <c r="BH306" s="137"/>
      <c r="BI306" s="137"/>
      <c r="BJ306" s="137"/>
      <c r="BK306" s="137" t="e">
        <f t="shared" si="124"/>
        <v>#DIV/0!</v>
      </c>
      <c r="BL306" s="137" t="e">
        <f>IF($K306=$L306,$BK306,IF(OR($K306="graphite",$K306="vitreous carbon"),$BK$406+($BM$389+$I306)*$BJ$406,IF($K306="Pyrolytic Boron Nitride","PBN",IF(COUNTIF($BH$396:$BH$416,$K306)&gt;0,VLOOKUP($K306,$BH$396:$BK$416,4,FALSE)+($BM$389+$I306)*VLOOKUP($K306,$BH$396:$BK$416,3,FALSE),IF(COUNTIF($L$2:$L305,$K306)&gt;0,VLOOKUP($K306,$L$2:$BK305,52,FALSE),"idk")))))</f>
        <v>#DIV/0!</v>
      </c>
      <c r="BM306" s="136"/>
      <c r="BN306" s="136"/>
      <c r="BO306" s="136"/>
      <c r="BP306" s="136"/>
      <c r="BQ306" s="136"/>
      <c r="BR306" s="136"/>
      <c r="BS306" s="136"/>
      <c r="BT306" s="136"/>
      <c r="BU306" s="136"/>
      <c r="BV306" s="136"/>
      <c r="BW306" s="136"/>
      <c r="BX306" s="136"/>
      <c r="BY306" s="136"/>
      <c r="BZ306" s="137"/>
      <c r="CA306" s="137"/>
      <c r="CB306" s="137"/>
      <c r="CC306" s="136"/>
      <c r="CD306" s="136"/>
      <c r="CE306" s="136"/>
      <c r="CF306" s="136"/>
      <c r="CG306" s="136"/>
      <c r="CH306" s="136"/>
      <c r="CI306" s="152"/>
      <c r="CJ306" s="152"/>
      <c r="CK306" s="152"/>
      <c r="CL306" s="152"/>
      <c r="CM306" s="152"/>
      <c r="CN306" s="152"/>
      <c r="CO306" s="152"/>
      <c r="CP306" s="152"/>
      <c r="CQ306" s="152"/>
      <c r="CR306" s="152"/>
      <c r="CS306" s="152"/>
      <c r="CT306" s="152"/>
      <c r="CU306" s="152"/>
      <c r="CV306" s="152"/>
      <c r="CW306" s="152"/>
      <c r="CX306" s="152"/>
      <c r="CY306" s="152"/>
      <c r="CZ306" s="152"/>
      <c r="DA306" s="152"/>
      <c r="DB306" s="152"/>
      <c r="DC306" s="152"/>
      <c r="DD306" s="152"/>
      <c r="DE306" s="152"/>
      <c r="DF306" s="152"/>
      <c r="DG306" s="152"/>
      <c r="DH306" s="152"/>
      <c r="DI306" s="152"/>
      <c r="DJ306" s="136"/>
      <c r="DK306" s="136"/>
      <c r="DL306" s="136"/>
      <c r="DM306" s="136"/>
      <c r="DN306" s="136"/>
      <c r="DO306" s="136"/>
      <c r="DP306" s="136"/>
      <c r="DQ306" s="136"/>
      <c r="DR306" s="136"/>
      <c r="DS306" s="136"/>
      <c r="DT306" s="136"/>
      <c r="DU306" s="136"/>
      <c r="DW306" s="129">
        <f>SUM(_2025_01_07T12_47_export3[[#This Row],[Ni_wt]:[H_wt]])</f>
        <v>0</v>
      </c>
      <c r="DY306" s="130">
        <f>SUM($AM306:BJ306)</f>
        <v>0</v>
      </c>
    </row>
    <row r="307" spans="1:132" hidden="1" x14ac:dyDescent="0.25">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c r="AZ307" s="130"/>
      <c r="BA307" s="130"/>
      <c r="BB307" s="130"/>
      <c r="BC307" s="130"/>
      <c r="BD307" s="130"/>
      <c r="BE307" s="130"/>
      <c r="BF307" s="130"/>
      <c r="BG307" s="130"/>
      <c r="BH307" s="130"/>
      <c r="BI307" s="130"/>
      <c r="BJ307" s="130"/>
      <c r="BK307" s="130" t="e">
        <f t="shared" si="124"/>
        <v>#DIV/0!</v>
      </c>
      <c r="BL307" s="130" t="e">
        <f>IF($K307=$L307,$BK307,IF(OR($K307="graphite",$K307="vitreous carbon"),$BK$406+($BM$389+$I307)*$BJ$406,IF($K307="Pyrolytic Boron Nitride","PBN",IF(COUNTIF($BH$396:$BH$416,$K307)&gt;0,VLOOKUP($K307,$BH$396:$BK$416,4,FALSE)+($BM$389+$I307)*VLOOKUP($K307,$BH$396:$BK$416,3,FALSE),IF(COUNTIF($L$2:$L306,$K307)&gt;0,VLOOKUP($K307,$L$2:$BK306,52,FALSE),"idk")))))</f>
        <v>#DIV/0!</v>
      </c>
      <c r="BM307" s="129"/>
      <c r="BN307" s="129"/>
      <c r="BQ307" s="129"/>
      <c r="BS307" s="129"/>
      <c r="BT307" s="129"/>
      <c r="BV307" s="129"/>
      <c r="BZ307" s="130"/>
      <c r="CA307" s="130"/>
      <c r="CB307" s="130"/>
      <c r="CI307" s="151"/>
      <c r="CJ307" s="151"/>
      <c r="CK307" s="151"/>
      <c r="CL307" s="151"/>
      <c r="CM307" s="151"/>
      <c r="CN307" s="151"/>
      <c r="CO307" s="151"/>
      <c r="CP307" s="151"/>
      <c r="CQ307" s="151"/>
      <c r="CR307" s="151"/>
      <c r="CS307" s="151"/>
      <c r="CT307" s="151"/>
      <c r="CU307" s="151"/>
      <c r="CV307" s="151"/>
      <c r="CW307" s="151"/>
      <c r="CX307" s="151"/>
      <c r="CY307" s="151"/>
      <c r="CZ307" s="151"/>
      <c r="DA307" s="151"/>
      <c r="DB307" s="151"/>
      <c r="DC307" s="151"/>
      <c r="DD307" s="151"/>
      <c r="DE307" s="151"/>
      <c r="DF307" s="151"/>
      <c r="DG307" s="151"/>
      <c r="DH307" s="151"/>
      <c r="DI307" s="151"/>
      <c r="DJ307" s="129"/>
      <c r="DK307" s="129"/>
      <c r="DL307" s="129"/>
      <c r="DS307" s="129"/>
      <c r="DU307" s="129"/>
      <c r="DW307" s="129">
        <f>SUM(_2025_01_07T12_47_export3[[#This Row],[Ni_wt]:[H_wt]])</f>
        <v>0</v>
      </c>
      <c r="DY307" s="130">
        <f>SUM($AM307:BJ307)</f>
        <v>0</v>
      </c>
    </row>
    <row r="308" spans="1:132" ht="16.5" hidden="1" thickBot="1" x14ac:dyDescent="0.3">
      <c r="A308" s="136"/>
      <c r="B308" s="136"/>
      <c r="C308" s="136"/>
      <c r="D308" s="136"/>
      <c r="E308" s="136"/>
      <c r="F308" s="136"/>
      <c r="G308" s="136"/>
      <c r="H308" s="136"/>
      <c r="I308" s="136"/>
      <c r="J308" s="136"/>
      <c r="K308" s="136"/>
      <c r="L308" s="136"/>
      <c r="M308" s="136"/>
      <c r="N308" s="136"/>
      <c r="O308" s="137"/>
      <c r="P308" s="137"/>
      <c r="Q308" s="137"/>
      <c r="R308" s="137"/>
      <c r="S308" s="137"/>
      <c r="T308" s="137"/>
      <c r="U308" s="137"/>
      <c r="V308" s="137"/>
      <c r="W308" s="137"/>
      <c r="X308" s="137"/>
      <c r="Y308" s="137"/>
      <c r="Z308" s="137"/>
      <c r="AA308" s="137"/>
      <c r="AB308" s="137"/>
      <c r="AC308" s="137"/>
      <c r="AD308" s="137"/>
      <c r="AE308" s="137"/>
      <c r="AF308" s="137"/>
      <c r="AG308" s="137"/>
      <c r="AH308" s="137"/>
      <c r="AI308" s="137"/>
      <c r="AJ308" s="137"/>
      <c r="AK308" s="137"/>
      <c r="AL308" s="137"/>
      <c r="AM308" s="137"/>
      <c r="AN308" s="137"/>
      <c r="AO308" s="137"/>
      <c r="AP308" s="137"/>
      <c r="AQ308" s="137"/>
      <c r="AR308" s="137"/>
      <c r="AS308" s="137"/>
      <c r="AT308" s="137"/>
      <c r="AU308" s="137"/>
      <c r="AV308" s="137"/>
      <c r="AW308" s="137"/>
      <c r="AX308" s="137"/>
      <c r="AY308" s="137"/>
      <c r="AZ308" s="137"/>
      <c r="BA308" s="137"/>
      <c r="BB308" s="137"/>
      <c r="BC308" s="137"/>
      <c r="BD308" s="137"/>
      <c r="BE308" s="137"/>
      <c r="BF308" s="137"/>
      <c r="BG308" s="137"/>
      <c r="BH308" s="137"/>
      <c r="BI308" s="137"/>
      <c r="BJ308" s="137"/>
      <c r="BK308" s="137" t="e">
        <f t="shared" si="124"/>
        <v>#DIV/0!</v>
      </c>
      <c r="BL308" s="137" t="e">
        <f>IF($K308=$L308,$BK308,IF(OR($K308="graphite",$K308="vitreous carbon"),$BK$406+($BM$389+$I308)*$BJ$406,IF($K308="Pyrolytic Boron Nitride","PBN",IF(COUNTIF($BH$396:$BH$416,$K308)&gt;0,VLOOKUP($K308,$BH$396:$BK$416,4,FALSE)+($BM$389+$I308)*VLOOKUP($K308,$BH$396:$BK$416,3,FALSE),IF(COUNTIF($L$2:$L307,$K308)&gt;0,VLOOKUP($K308,$L$2:$BK307,52,FALSE),"idk")))))</f>
        <v>#DIV/0!</v>
      </c>
      <c r="BM308" s="136"/>
      <c r="BN308" s="136"/>
      <c r="BO308" s="136"/>
      <c r="BP308" s="136"/>
      <c r="BQ308" s="136"/>
      <c r="BR308" s="136"/>
      <c r="BS308" s="136"/>
      <c r="BT308" s="136"/>
      <c r="BU308" s="136"/>
      <c r="BV308" s="136"/>
      <c r="BW308" s="136"/>
      <c r="BX308" s="136"/>
      <c r="BY308" s="136"/>
      <c r="BZ308" s="137"/>
      <c r="CA308" s="137"/>
      <c r="CB308" s="137"/>
      <c r="CC308" s="136"/>
      <c r="CD308" s="136"/>
      <c r="CE308" s="136"/>
      <c r="CF308" s="136"/>
      <c r="CG308" s="136"/>
      <c r="CH308" s="136"/>
      <c r="CI308" s="152"/>
      <c r="CJ308" s="152"/>
      <c r="CK308" s="152"/>
      <c r="CL308" s="152"/>
      <c r="CM308" s="152"/>
      <c r="CN308" s="152"/>
      <c r="CO308" s="152"/>
      <c r="CP308" s="152"/>
      <c r="CQ308" s="152"/>
      <c r="CR308" s="152"/>
      <c r="CS308" s="152"/>
      <c r="CT308" s="152"/>
      <c r="CU308" s="152"/>
      <c r="CV308" s="152"/>
      <c r="CW308" s="152"/>
      <c r="CX308" s="152"/>
      <c r="CY308" s="152"/>
      <c r="CZ308" s="152"/>
      <c r="DA308" s="152"/>
      <c r="DB308" s="152"/>
      <c r="DC308" s="152"/>
      <c r="DD308" s="152"/>
      <c r="DE308" s="152"/>
      <c r="DF308" s="152"/>
      <c r="DG308" s="152"/>
      <c r="DH308" s="152"/>
      <c r="DI308" s="152"/>
      <c r="DJ308" s="136"/>
      <c r="DK308" s="136"/>
      <c r="DL308" s="136"/>
      <c r="DM308" s="136"/>
      <c r="DN308" s="136"/>
      <c r="DO308" s="136"/>
      <c r="DP308" s="136"/>
      <c r="DQ308" s="136"/>
      <c r="DR308" s="136"/>
      <c r="DS308" s="136"/>
      <c r="DT308" s="136"/>
      <c r="DU308" s="136"/>
      <c r="DY308" s="130"/>
    </row>
    <row r="309" spans="1:132" hidden="1" x14ac:dyDescent="0.25">
      <c r="A309" s="155" t="s">
        <v>551</v>
      </c>
      <c r="BK309" s="130" t="e">
        <f t="shared" si="124"/>
        <v>#DIV/0!</v>
      </c>
      <c r="BL309" s="130" t="e">
        <f>IF($K309=$L309,$BK309,IF(OR($K309="graphite",$K309="vitreous carbon"),$BK$406+($BM$389+$I309)*$BJ$406,IF($K309="Pyrolytic Boron Nitride","PBN",IF(COUNTIF($BH$396:$BH$416,$K309)&gt;0,VLOOKUP($K309,$BH$396:$BK$416,4,FALSE)+($BM$389+$I309)*VLOOKUP($K309,$BH$396:$BK$416,3,FALSE),IF(COUNTIF($L$2:$L308,$K309)&gt;0,VLOOKUP($K309,$L$2:$BK308,52,FALSE),"idk")))))</f>
        <v>#DIV/0!</v>
      </c>
      <c r="BS309" s="25"/>
      <c r="BT309" s="129"/>
      <c r="BU309" s="25"/>
      <c r="BV309" s="129"/>
      <c r="BY309" s="25"/>
      <c r="BZ309" s="129"/>
      <c r="DI309" s="130"/>
      <c r="DL309" s="129"/>
      <c r="DS309" s="129"/>
      <c r="DU309" s="129"/>
    </row>
    <row r="310" spans="1:132" ht="16.5" hidden="1" thickBot="1" x14ac:dyDescent="0.3">
      <c r="A310" s="136"/>
      <c r="B310" s="136"/>
      <c r="C310" s="136"/>
      <c r="D310" s="136"/>
      <c r="E310" s="136"/>
      <c r="F310" s="136"/>
      <c r="G310" s="136"/>
      <c r="H310" s="136"/>
      <c r="I310" s="136"/>
      <c r="J310" s="136"/>
      <c r="K310" s="136"/>
      <c r="L310" s="136"/>
      <c r="M310" s="136"/>
      <c r="N310" s="136"/>
      <c r="O310" s="137"/>
      <c r="P310" s="137"/>
      <c r="Q310" s="137"/>
      <c r="R310" s="137"/>
      <c r="S310" s="137"/>
      <c r="T310" s="137"/>
      <c r="U310" s="137"/>
      <c r="V310" s="137"/>
      <c r="W310" s="137"/>
      <c r="X310" s="137"/>
      <c r="Y310" s="137"/>
      <c r="Z310" s="137"/>
      <c r="AA310" s="137"/>
      <c r="AB310" s="137"/>
      <c r="AC310" s="137"/>
      <c r="AD310" s="137"/>
      <c r="AE310" s="137"/>
      <c r="AF310" s="137"/>
      <c r="AG310" s="137"/>
      <c r="AH310" s="137"/>
      <c r="AI310" s="137"/>
      <c r="AJ310" s="137"/>
      <c r="AK310" s="137"/>
      <c r="AL310" s="137"/>
      <c r="AM310" s="137"/>
      <c r="AN310" s="137"/>
      <c r="AO310" s="137"/>
      <c r="AP310" s="137"/>
      <c r="AQ310" s="137"/>
      <c r="AR310" s="137"/>
      <c r="AS310" s="137"/>
      <c r="AT310" s="137"/>
      <c r="AU310" s="137"/>
      <c r="AV310" s="137"/>
      <c r="AW310" s="137"/>
      <c r="AX310" s="137"/>
      <c r="AY310" s="137"/>
      <c r="AZ310" s="137"/>
      <c r="BA310" s="137"/>
      <c r="BB310" s="137"/>
      <c r="BC310" s="137"/>
      <c r="BD310" s="137"/>
      <c r="BE310" s="137"/>
      <c r="BF310" s="137"/>
      <c r="BG310" s="137"/>
      <c r="BH310" s="137"/>
      <c r="BI310" s="137"/>
      <c r="BJ310" s="137"/>
      <c r="BK310" s="137" t="e">
        <f t="shared" si="124"/>
        <v>#DIV/0!</v>
      </c>
      <c r="BL310" s="137" t="e">
        <f>IF($K310=$L310,$BK310,IF(OR($K310="graphite",$K310="vitreous carbon"),$BK$406+($BM$389+$I310)*$BJ$406,IF($K310="Pyrolytic Boron Nitride","PBN",IF(COUNTIF($BH$396:$BH$416,$K310)&gt;0,VLOOKUP($K310,$BH$396:$BK$416,4,FALSE)+($BM$389+$I310)*VLOOKUP($K310,$BH$396:$BK$416,3,FALSE),IF(COUNTIF($L$2:$L309,$K310)&gt;0,VLOOKUP($K310,$L$2:$BK309,52,FALSE),"idk")))))</f>
        <v>#DIV/0!</v>
      </c>
      <c r="BM310" s="136"/>
      <c r="BN310" s="136"/>
      <c r="BO310" s="136"/>
      <c r="BP310" s="136"/>
      <c r="BQ310" s="136"/>
      <c r="BR310" s="136"/>
      <c r="BS310" s="136"/>
      <c r="BT310" s="136"/>
      <c r="BU310" s="136"/>
      <c r="BV310" s="136"/>
      <c r="BW310" s="136"/>
      <c r="BX310" s="136"/>
      <c r="BY310" s="136"/>
      <c r="BZ310" s="137"/>
      <c r="CA310" s="137"/>
      <c r="CB310" s="137"/>
      <c r="CC310" s="136"/>
      <c r="CD310" s="136"/>
      <c r="CE310" s="136"/>
      <c r="CF310" s="136"/>
      <c r="CG310" s="136"/>
      <c r="CH310" s="136"/>
      <c r="CI310" s="152"/>
      <c r="CJ310" s="152"/>
      <c r="CK310" s="152"/>
      <c r="CL310" s="152"/>
      <c r="CM310" s="152"/>
      <c r="CN310" s="152"/>
      <c r="CO310" s="152"/>
      <c r="CP310" s="152"/>
      <c r="CQ310" s="152"/>
      <c r="CR310" s="152"/>
      <c r="CS310" s="152"/>
      <c r="CT310" s="152"/>
      <c r="CU310" s="152"/>
      <c r="CV310" s="152"/>
      <c r="CW310" s="152"/>
      <c r="CX310" s="152"/>
      <c r="CY310" s="152"/>
      <c r="CZ310" s="152"/>
      <c r="DA310" s="152"/>
      <c r="DB310" s="152"/>
      <c r="DC310" s="152"/>
      <c r="DD310" s="152"/>
      <c r="DE310" s="152"/>
      <c r="DF310" s="152"/>
      <c r="DG310" s="152"/>
      <c r="DH310" s="152"/>
      <c r="DI310" s="152"/>
      <c r="DJ310" s="136"/>
      <c r="DK310" s="136"/>
      <c r="DL310" s="136"/>
      <c r="DM310" s="136"/>
      <c r="DN310" s="136"/>
      <c r="DO310" s="136"/>
      <c r="DP310" s="136"/>
      <c r="DQ310" s="136"/>
      <c r="DR310" s="136"/>
      <c r="DS310" s="136"/>
      <c r="DT310" s="136"/>
      <c r="DU310" s="136"/>
      <c r="DY310" s="130"/>
    </row>
    <row r="311" spans="1:132" hidden="1" x14ac:dyDescent="0.25">
      <c r="A311" s="4" t="s">
        <v>552</v>
      </c>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c r="AZ311" s="130"/>
      <c r="BA311" s="130"/>
      <c r="BB311" s="130"/>
      <c r="BC311" s="130"/>
      <c r="BD311" s="130"/>
      <c r="BE311" s="130"/>
      <c r="BF311" s="130"/>
      <c r="BG311" s="130"/>
      <c r="BH311" s="130"/>
      <c r="BI311" s="130"/>
      <c r="BJ311" s="130"/>
      <c r="BK311" s="130" t="e">
        <f t="shared" si="124"/>
        <v>#DIV/0!</v>
      </c>
      <c r="BL311" s="130" t="e">
        <f>IF($K311=$L311,$BK311,IF(OR($K311="graphite",$K311="vitreous carbon"),$BK$406+($BM$389+$I311)*$BJ$406,IF($K311="Pyrolytic Boron Nitride","PBN",IF(COUNTIF($BH$396:$BH$416,$K311)&gt;0,VLOOKUP($K311,$BH$396:$BK$416,4,FALSE)+($BM$389+$I311)*VLOOKUP($K311,$BH$396:$BK$416,3,FALSE),IF(COUNTIF($L$2:$L310,$K311)&gt;0,VLOOKUP($K311,$L$2:$BK310,52,FALSE),"idk")))))</f>
        <v>#DIV/0!</v>
      </c>
      <c r="BM311" s="129"/>
      <c r="BN311" s="129"/>
      <c r="BQ311" s="129"/>
      <c r="BS311" s="129"/>
      <c r="BT311" s="129"/>
      <c r="BV311" s="129"/>
      <c r="BZ311" s="130"/>
      <c r="CA311" s="130"/>
      <c r="CB311" s="130"/>
      <c r="CI311" s="151"/>
      <c r="CJ311" s="151"/>
      <c r="CK311" s="151"/>
      <c r="CL311" s="151"/>
      <c r="CM311" s="151"/>
      <c r="CN311" s="151"/>
      <c r="CO311" s="151"/>
      <c r="CP311" s="151"/>
      <c r="CQ311" s="151"/>
      <c r="CR311" s="151"/>
      <c r="CS311" s="151"/>
      <c r="CT311" s="151"/>
      <c r="CU311" s="151"/>
      <c r="CV311" s="151"/>
      <c r="CW311" s="151"/>
      <c r="CX311" s="151"/>
      <c r="CY311" s="151"/>
      <c r="CZ311" s="151"/>
      <c r="DA311" s="151"/>
      <c r="DB311" s="151"/>
      <c r="DC311" s="151"/>
      <c r="DD311" s="151"/>
      <c r="DE311" s="151"/>
      <c r="DF311" s="151"/>
      <c r="DG311" s="151"/>
      <c r="DH311" s="151"/>
      <c r="DI311" s="151"/>
      <c r="DJ311" s="129"/>
      <c r="DK311" s="129"/>
      <c r="DL311" s="129"/>
      <c r="DS311" s="129"/>
      <c r="DU311" s="129"/>
      <c r="DY311" s="130"/>
    </row>
    <row r="312" spans="1:132" hidden="1" x14ac:dyDescent="0.25">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c r="BA312" s="130"/>
      <c r="BB312" s="130"/>
      <c r="BC312" s="130"/>
      <c r="BD312" s="130"/>
      <c r="BE312" s="130"/>
      <c r="BF312" s="130"/>
      <c r="BG312" s="130"/>
      <c r="BH312" s="130"/>
      <c r="BI312" s="130"/>
      <c r="BJ312" s="130"/>
      <c r="BK312" s="130" t="e">
        <f t="shared" si="124"/>
        <v>#DIV/0!</v>
      </c>
      <c r="BL312" s="130" t="e">
        <f>IF($K312=$L312,$BK312,IF(OR($K312="graphite",$K312="vitreous carbon"),$BK$406+($BM$389+$I312)*$BJ$406,IF($K312="Pyrolytic Boron Nitride","PBN",IF(COUNTIF($BH$396:$BH$416,$K312)&gt;0,VLOOKUP($K312,$BH$396:$BK$416,4,FALSE)+($BM$389+$I312)*VLOOKUP($K312,$BH$396:$BK$416,3,FALSE),IF(COUNTIF($L$2:$L311,$K312)&gt;0,VLOOKUP($K312,$L$2:$BK311,52,FALSE),"idk")))))</f>
        <v>#DIV/0!</v>
      </c>
      <c r="BM312" s="129"/>
      <c r="BN312" s="129"/>
      <c r="BQ312" s="129"/>
      <c r="BS312" s="129"/>
      <c r="BT312" s="129"/>
      <c r="BV312" s="129"/>
      <c r="BZ312" s="130"/>
      <c r="CA312" s="130"/>
      <c r="CB312" s="130"/>
      <c r="CI312" s="151"/>
      <c r="CJ312" s="151"/>
      <c r="CK312" s="151"/>
      <c r="CL312" s="151"/>
      <c r="CM312" s="151"/>
      <c r="CN312" s="151"/>
      <c r="CO312" s="151"/>
      <c r="CP312" s="151"/>
      <c r="CQ312" s="151"/>
      <c r="CR312" s="151"/>
      <c r="CS312" s="151"/>
      <c r="CT312" s="151"/>
      <c r="CU312" s="151"/>
      <c r="CV312" s="151"/>
      <c r="CW312" s="151"/>
      <c r="CX312" s="151"/>
      <c r="CY312" s="151"/>
      <c r="CZ312" s="151"/>
      <c r="DA312" s="151"/>
      <c r="DB312" s="151"/>
      <c r="DC312" s="151"/>
      <c r="DD312" s="151"/>
      <c r="DE312" s="151"/>
      <c r="DF312" s="151"/>
      <c r="DG312" s="151"/>
      <c r="DH312" s="151"/>
      <c r="DI312" s="151"/>
      <c r="DJ312" s="129"/>
      <c r="DK312" s="129"/>
      <c r="DL312" s="129"/>
      <c r="DS312" s="129"/>
      <c r="DU312" s="129"/>
      <c r="DY312" s="130"/>
    </row>
    <row r="313" spans="1:132" hidden="1" x14ac:dyDescent="0.25">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c r="BA313" s="130"/>
      <c r="BB313" s="130"/>
      <c r="BC313" s="130"/>
      <c r="BD313" s="130"/>
      <c r="BE313" s="130"/>
      <c r="BF313" s="130"/>
      <c r="BG313" s="130"/>
      <c r="BH313" s="130"/>
      <c r="BI313" s="130"/>
      <c r="BJ313" s="130"/>
      <c r="BK313" s="130" t="e">
        <f t="shared" si="124"/>
        <v>#DIV/0!</v>
      </c>
      <c r="BL313" s="130" t="e">
        <f>IF($K313=$L313,$BK313,IF(OR($K313="graphite",$K313="vitreous carbon"),$BK$406+($BM$389+$I313)*$BJ$406,IF($K313="Pyrolytic Boron Nitride","PBN",IF(COUNTIF($BH$396:$BH$416,$K313)&gt;0,VLOOKUP($K313,$BH$396:$BK$416,4,FALSE)+($BM$389+$I313)*VLOOKUP($K313,$BH$396:$BK$416,3,FALSE),IF(COUNTIF($L$2:$L312,$K313)&gt;0,VLOOKUP($K313,$L$2:$BK312,52,FALSE),"idk")))))</f>
        <v>#DIV/0!</v>
      </c>
      <c r="BM313" s="129"/>
      <c r="BN313" s="129"/>
      <c r="BQ313" s="129"/>
      <c r="BS313" s="129"/>
      <c r="BT313" s="129"/>
      <c r="BV313" s="129"/>
      <c r="BZ313" s="130"/>
      <c r="CA313" s="130"/>
      <c r="CB313" s="130"/>
      <c r="CI313" s="151"/>
      <c r="CJ313" s="151"/>
      <c r="CK313" s="151"/>
      <c r="CL313" s="151"/>
      <c r="CM313" s="151"/>
      <c r="CN313" s="151"/>
      <c r="CO313" s="151"/>
      <c r="CP313" s="151"/>
      <c r="CQ313" s="151"/>
      <c r="CR313" s="151"/>
      <c r="CS313" s="151"/>
      <c r="CT313" s="151"/>
      <c r="CU313" s="151"/>
      <c r="CV313" s="151"/>
      <c r="CW313" s="151"/>
      <c r="CX313" s="151"/>
      <c r="CY313" s="151"/>
      <c r="CZ313" s="151"/>
      <c r="DA313" s="151"/>
      <c r="DB313" s="151"/>
      <c r="DC313" s="151"/>
      <c r="DD313" s="151"/>
      <c r="DE313" s="151"/>
      <c r="DF313" s="151"/>
      <c r="DG313" s="151"/>
      <c r="DH313" s="151"/>
      <c r="DI313" s="151"/>
      <c r="DJ313" s="129"/>
      <c r="DK313" s="129"/>
      <c r="DL313" s="129"/>
      <c r="DS313" s="129"/>
      <c r="DU313" s="129"/>
      <c r="DY313" s="130"/>
    </row>
    <row r="314" spans="1:132" hidden="1" x14ac:dyDescent="0.25">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c r="BA314" s="130"/>
      <c r="BB314" s="130"/>
      <c r="BC314" s="130"/>
      <c r="BD314" s="130"/>
      <c r="BE314" s="130"/>
      <c r="BF314" s="130"/>
      <c r="BG314" s="130"/>
      <c r="BH314" s="130"/>
      <c r="BI314" s="130"/>
      <c r="BJ314" s="130"/>
      <c r="BK314" s="130" t="e">
        <f t="shared" si="124"/>
        <v>#DIV/0!</v>
      </c>
      <c r="BL314" s="130" t="e">
        <f>IF($K314=$L314,$BK314,IF(OR($K314="graphite",$K314="vitreous carbon"),$BK$406+($BM$389+$I314)*$BJ$406,IF($K314="Pyrolytic Boron Nitride","PBN",IF(COUNTIF($BH$396:$BH$416,$K314)&gt;0,VLOOKUP($K314,$BH$396:$BK$416,4,FALSE)+($BM$389+$I314)*VLOOKUP($K314,$BH$396:$BK$416,3,FALSE),IF(COUNTIF($L$2:$L313,$K314)&gt;0,VLOOKUP($K314,$L$2:$BK313,52,FALSE),"idk")))))</f>
        <v>#DIV/0!</v>
      </c>
      <c r="BM314" s="129"/>
      <c r="BN314" s="129"/>
      <c r="BQ314" s="129"/>
      <c r="BS314" s="129"/>
      <c r="BT314" s="129"/>
      <c r="BV314" s="129"/>
      <c r="BZ314" s="130"/>
      <c r="CA314" s="130"/>
      <c r="CB314" s="130"/>
      <c r="CI314" s="151"/>
      <c r="CJ314" s="151"/>
      <c r="CK314" s="151"/>
      <c r="CL314" s="151"/>
      <c r="CM314" s="151"/>
      <c r="CN314" s="151"/>
      <c r="CO314" s="151"/>
      <c r="CP314" s="151"/>
      <c r="CQ314" s="151"/>
      <c r="CR314" s="151"/>
      <c r="CS314" s="151"/>
      <c r="CT314" s="151"/>
      <c r="CU314" s="151"/>
      <c r="CV314" s="151"/>
      <c r="CW314" s="151"/>
      <c r="CX314" s="151"/>
      <c r="CY314" s="151"/>
      <c r="CZ314" s="151"/>
      <c r="DA314" s="151"/>
      <c r="DB314" s="151"/>
      <c r="DC314" s="151"/>
      <c r="DD314" s="151"/>
      <c r="DE314" s="151"/>
      <c r="DF314" s="151"/>
      <c r="DG314" s="151"/>
      <c r="DH314" s="151"/>
      <c r="DI314" s="151"/>
      <c r="DJ314" s="129"/>
      <c r="DK314" s="129"/>
      <c r="DL314" s="129"/>
      <c r="DS314" s="129"/>
      <c r="DU314" s="129"/>
      <c r="DY314" s="130"/>
    </row>
    <row r="315" spans="1:132" hidden="1" x14ac:dyDescent="0.25">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c r="BA315" s="130"/>
      <c r="BB315" s="130"/>
      <c r="BC315" s="130"/>
      <c r="BD315" s="130"/>
      <c r="BE315" s="130"/>
      <c r="BF315" s="130"/>
      <c r="BG315" s="130"/>
      <c r="BH315" s="130"/>
      <c r="BI315" s="130"/>
      <c r="BJ315" s="130"/>
      <c r="BK315" s="130" t="e">
        <f t="shared" si="124"/>
        <v>#DIV/0!</v>
      </c>
      <c r="BL315" s="130" t="e">
        <f>IF($K315=$L315,$BK315,IF(OR($K315="graphite",$K315="vitreous carbon"),$BK$406+($BM$389+$I315)*$BJ$406,IF($K315="Pyrolytic Boron Nitride","PBN",IF(COUNTIF($BH$396:$BH$416,$K315)&gt;0,VLOOKUP($K315,$BH$396:$BK$416,4,FALSE)+($BM$389+$I315)*VLOOKUP($K315,$BH$396:$BK$416,3,FALSE),IF(COUNTIF($L$2:$L314,$K315)&gt;0,VLOOKUP($K315,$L$2:$BK314,52,FALSE),"idk")))))</f>
        <v>#DIV/0!</v>
      </c>
      <c r="BM315" s="129"/>
      <c r="BN315" s="129"/>
      <c r="BQ315" s="129"/>
      <c r="BS315" s="129"/>
      <c r="BT315" s="129"/>
      <c r="BV315" s="129"/>
      <c r="BZ315" s="130"/>
      <c r="CA315" s="130"/>
      <c r="CB315" s="130"/>
      <c r="CI315" s="151"/>
      <c r="CJ315" s="151"/>
      <c r="CK315" s="151"/>
      <c r="CL315" s="151"/>
      <c r="CM315" s="151"/>
      <c r="CN315" s="151"/>
      <c r="CO315" s="151"/>
      <c r="CP315" s="151"/>
      <c r="CQ315" s="151"/>
      <c r="CR315" s="151"/>
      <c r="CS315" s="151"/>
      <c r="CT315" s="151"/>
      <c r="CU315" s="151"/>
      <c r="CV315" s="151"/>
      <c r="CW315" s="151"/>
      <c r="CX315" s="151"/>
      <c r="CY315" s="151"/>
      <c r="CZ315" s="151"/>
      <c r="DA315" s="151"/>
      <c r="DB315" s="151"/>
      <c r="DC315" s="151"/>
      <c r="DD315" s="151"/>
      <c r="DE315" s="151"/>
      <c r="DF315" s="151"/>
      <c r="DG315" s="151"/>
      <c r="DH315" s="151"/>
      <c r="DI315" s="151"/>
      <c r="DJ315" s="129"/>
      <c r="DK315" s="129"/>
      <c r="DL315" s="129"/>
      <c r="DS315" s="129"/>
      <c r="DU315" s="129"/>
      <c r="DW315" s="129">
        <f>SUM(_2025_01_07T12_47_export3[[#This Row],[Ni_wt]:[H_wt]])</f>
        <v>0</v>
      </c>
      <c r="DY315" s="130">
        <f>SUM($AM315:BJ315)</f>
        <v>0</v>
      </c>
    </row>
    <row r="316" spans="1:132" hidden="1" x14ac:dyDescent="0.25">
      <c r="BK316" s="162" t="e">
        <f t="shared" si="124"/>
        <v>#DIV/0!</v>
      </c>
      <c r="BL316" s="162" t="e">
        <f>IF($K316=$L316,$BK316,IF(OR($K316="graphite",$K316="vitreous carbon"),$BK$406+($BM$389+$I316)*$BJ$406,IF($K316="Pyrolytic Boron Nitride","PBN",IF(COUNTIF($BH$396:$BH$416,$K316)&gt;0,VLOOKUP($K316,$BH$396:$BK$416,4,FALSE)+($BM$389+$I316)*VLOOKUP($K316,$BH$396:$BK$416,3,FALSE),IF(COUNTIF($L$2:$L315,$K316)&gt;0,VLOOKUP($K316,$L$2:$BK315,52,FALSE),"idk")))))</f>
        <v>#DIV/0!</v>
      </c>
      <c r="BS316" s="25"/>
      <c r="BT316" s="129"/>
      <c r="BU316" s="25"/>
      <c r="BV316" s="129"/>
      <c r="BY316" s="25"/>
      <c r="BZ316" s="129"/>
      <c r="DI316" s="130"/>
      <c r="DL316" s="129"/>
      <c r="DS316" s="129"/>
      <c r="DU316" s="129"/>
    </row>
    <row r="317" spans="1:132" hidden="1" x14ac:dyDescent="0.25">
      <c r="AS317" s="129"/>
      <c r="AU317" s="129"/>
      <c r="AX317" s="129"/>
      <c r="AY317" s="129"/>
      <c r="AZ317" s="129"/>
      <c r="BA317" s="129"/>
      <c r="BB317" s="129"/>
      <c r="BG317" s="129"/>
      <c r="BH317" s="129"/>
      <c r="BI317" s="129"/>
      <c r="BJ317" s="129"/>
      <c r="BK317" s="130" t="e">
        <f t="shared" si="124"/>
        <v>#DIV/0!</v>
      </c>
      <c r="BL317" s="130" t="e">
        <f>IF($K317=$L317,$BK317,IF(OR($K317="graphite",$K317="vitreous carbon"),$BK$406+($BM$389+$I317)*$BJ$406,IF($K317="Pyrolytic Boron Nitride","PBN",IF(COUNTIF($BH$396:$BH$416,$K317)&gt;0,VLOOKUP($K317,$BH$396:$BK$416,4,FALSE)+($BM$389+$I317)*VLOOKUP($K317,$BH$396:$BK$416,3,FALSE),IF(COUNTIF($L$2:$L316,$K317)&gt;0,VLOOKUP($K317,$L$2:$BK316,52,FALSE),"idk")))))</f>
        <v>#DIV/0!</v>
      </c>
      <c r="BM317" s="129"/>
      <c r="BN317" s="129"/>
      <c r="BQ317" s="129"/>
      <c r="BS317" s="129"/>
      <c r="BT317" s="129"/>
      <c r="BV317" s="129"/>
      <c r="BZ317" s="130"/>
      <c r="CA317" s="130"/>
      <c r="CB317" s="130"/>
      <c r="CI317" s="151"/>
      <c r="CJ317" s="151"/>
      <c r="CK317" s="151"/>
      <c r="CL317" s="151"/>
      <c r="CM317" s="151"/>
      <c r="CN317" s="151"/>
      <c r="CO317" s="151"/>
      <c r="CP317" s="151"/>
      <c r="CQ317" s="151"/>
      <c r="CR317" s="151"/>
      <c r="CS317" s="151"/>
      <c r="CT317" s="151"/>
      <c r="CU317" s="151"/>
      <c r="CV317" s="151"/>
      <c r="CW317" s="151"/>
      <c r="CX317" s="151"/>
      <c r="CY317" s="151"/>
      <c r="CZ317" s="151"/>
      <c r="DA317" s="151"/>
      <c r="DB317" s="151"/>
      <c r="DC317" s="151"/>
      <c r="DD317" s="151"/>
      <c r="DE317" s="151"/>
      <c r="DF317" s="151"/>
      <c r="DG317" s="151"/>
      <c r="DH317" s="151"/>
      <c r="DI317" s="151"/>
      <c r="DJ317" s="129"/>
      <c r="DK317" s="129"/>
      <c r="DL317" s="129"/>
      <c r="DS317" s="129"/>
      <c r="DU317" s="129"/>
      <c r="DW317" s="129">
        <f>SUM(_2025_01_07T12_47_export3[[#This Row],[Ni_wt]:[H_wt]])</f>
        <v>0</v>
      </c>
      <c r="DY317" s="130">
        <f>SUM($AM317:BJ317)</f>
        <v>0</v>
      </c>
    </row>
    <row r="318" spans="1:132" x14ac:dyDescent="0.25">
      <c r="AS318" s="129"/>
      <c r="AU318" s="129"/>
      <c r="AX318" s="129"/>
      <c r="AY318" s="129"/>
      <c r="AZ318" s="129"/>
      <c r="BA318" s="129"/>
      <c r="BB318" s="129"/>
      <c r="BG318" s="129"/>
      <c r="BH318" s="129"/>
      <c r="BI318" s="129"/>
      <c r="BJ318" s="129"/>
      <c r="BK318" s="129"/>
      <c r="BL318" s="129"/>
      <c r="BM318" s="129"/>
      <c r="BN318" s="129"/>
      <c r="BQ318" s="129"/>
      <c r="BT318" s="129"/>
      <c r="BV318" s="129"/>
      <c r="BZ318" s="129"/>
      <c r="CA318" s="130"/>
      <c r="CB318" s="130"/>
      <c r="CC318" s="130"/>
      <c r="CJ318" s="151"/>
      <c r="CK318" s="151"/>
      <c r="CL318" s="151"/>
      <c r="CM318" s="151"/>
      <c r="CN318" s="151"/>
      <c r="CO318" s="151"/>
      <c r="CP318" s="151"/>
      <c r="CQ318" s="151"/>
      <c r="CR318" s="151"/>
      <c r="CS318" s="151"/>
      <c r="CT318" s="151"/>
      <c r="CU318" s="151"/>
      <c r="CV318" s="151"/>
      <c r="CW318" s="151"/>
      <c r="CX318" s="151"/>
      <c r="CY318" s="151"/>
      <c r="CZ318" s="151"/>
      <c r="DA318" s="151"/>
      <c r="DB318" s="151"/>
      <c r="DC318" s="151"/>
      <c r="DD318" s="151"/>
      <c r="DE318" s="151"/>
      <c r="DF318" s="151"/>
      <c r="DG318" s="151"/>
      <c r="DH318" s="151"/>
      <c r="DI318" s="151"/>
      <c r="DJ318" s="151"/>
      <c r="DK318" s="129"/>
      <c r="DL318" s="129"/>
      <c r="EB318" s="130"/>
    </row>
    <row r="319" spans="1:132" x14ac:dyDescent="0.25">
      <c r="AS319" s="129"/>
      <c r="AU319" s="129"/>
      <c r="AX319" s="129"/>
      <c r="AY319" s="129"/>
      <c r="AZ319" s="129"/>
      <c r="BA319" s="129"/>
      <c r="BB319" s="129"/>
      <c r="BG319" s="129"/>
      <c r="BH319" s="129"/>
      <c r="BI319" s="129"/>
      <c r="BJ319" s="129"/>
      <c r="BK319" s="129"/>
      <c r="BL319" s="129"/>
      <c r="BM319" s="129"/>
      <c r="BN319" s="129"/>
      <c r="BQ319" s="129"/>
      <c r="BT319" s="129"/>
      <c r="BV319" s="129"/>
      <c r="BZ319" s="129"/>
      <c r="CA319" s="130"/>
      <c r="CB319" s="130"/>
      <c r="CC319" s="130"/>
      <c r="CJ319" s="151"/>
      <c r="CK319" s="151"/>
      <c r="CL319" s="151"/>
      <c r="CM319" s="151"/>
      <c r="CN319" s="151"/>
      <c r="CO319" s="151"/>
      <c r="CP319" s="151"/>
      <c r="CQ319" s="151"/>
      <c r="CR319" s="151"/>
      <c r="CS319" s="151"/>
      <c r="CT319" s="151"/>
      <c r="CU319" s="151"/>
      <c r="CV319" s="151"/>
      <c r="CW319" s="151"/>
      <c r="CX319" s="151"/>
      <c r="CY319" s="151"/>
      <c r="CZ319" s="151"/>
      <c r="DA319" s="151"/>
      <c r="DB319" s="151"/>
      <c r="DC319" s="151"/>
      <c r="DD319" s="151"/>
      <c r="DE319" s="151"/>
      <c r="DF319" s="151"/>
      <c r="DG319" s="151"/>
      <c r="DH319" s="151"/>
      <c r="DI319" s="151"/>
      <c r="DJ319" s="151"/>
      <c r="DK319" s="129"/>
      <c r="DL319" s="129"/>
      <c r="EB319" s="130"/>
    </row>
    <row r="320" spans="1:132" x14ac:dyDescent="0.25">
      <c r="AS320" s="129"/>
      <c r="AU320" s="129"/>
      <c r="AX320" s="129"/>
      <c r="AY320" s="129"/>
      <c r="AZ320" s="129"/>
      <c r="BA320" s="129"/>
      <c r="BB320" s="129"/>
      <c r="BG320" s="129"/>
      <c r="BH320" s="129"/>
      <c r="BI320" s="129"/>
      <c r="BJ320" s="129"/>
      <c r="BK320" s="129"/>
      <c r="BL320" s="129"/>
      <c r="BM320" s="129"/>
      <c r="BN320" s="129"/>
      <c r="BQ320" s="129"/>
      <c r="BT320" s="129"/>
      <c r="BV320" s="129"/>
      <c r="BZ320" s="129"/>
      <c r="CA320" s="130"/>
      <c r="CB320" s="130"/>
      <c r="CC320" s="130"/>
      <c r="CJ320" s="151"/>
      <c r="CK320" s="151"/>
      <c r="CL320" s="151"/>
      <c r="CM320" s="151"/>
      <c r="CN320" s="151"/>
      <c r="CO320" s="151"/>
      <c r="CP320" s="151"/>
      <c r="CQ320" s="151"/>
      <c r="CR320" s="151"/>
      <c r="CS320" s="151"/>
      <c r="CT320" s="151"/>
      <c r="CU320" s="151"/>
      <c r="CV320" s="151"/>
      <c r="CW320" s="151"/>
      <c r="CX320" s="151"/>
      <c r="CY320" s="151"/>
      <c r="CZ320" s="151"/>
      <c r="DA320" s="151"/>
      <c r="DB320" s="151"/>
      <c r="DC320" s="151"/>
      <c r="DD320" s="151"/>
      <c r="DE320" s="151"/>
      <c r="DF320" s="151"/>
      <c r="DG320" s="151"/>
      <c r="DH320" s="151"/>
      <c r="DI320" s="151"/>
      <c r="DJ320" s="151"/>
      <c r="DK320" s="129"/>
      <c r="DL320" s="129"/>
      <c r="EB320" s="130"/>
    </row>
    <row r="321" spans="36:132" ht="0.95" customHeight="1" x14ac:dyDescent="0.25">
      <c r="AS321" s="129"/>
      <c r="AU321" s="129"/>
      <c r="AX321" s="129"/>
      <c r="AY321" s="129"/>
      <c r="AZ321" s="129"/>
      <c r="BA321" s="129"/>
      <c r="BB321" s="129"/>
      <c r="BG321" s="129"/>
      <c r="BH321" s="129"/>
      <c r="BI321" s="129"/>
      <c r="BJ321" s="129"/>
      <c r="BK321" s="129"/>
      <c r="BL321" s="129"/>
      <c r="BM321" s="129"/>
      <c r="BN321" s="129"/>
      <c r="BQ321" s="129"/>
      <c r="BT321" s="129"/>
      <c r="BV321" s="129"/>
      <c r="BZ321" s="129"/>
      <c r="CA321" s="130"/>
      <c r="CB321" s="130"/>
      <c r="CC321" s="130"/>
      <c r="CJ321" s="151"/>
      <c r="CK321" s="151"/>
      <c r="CL321" s="151"/>
      <c r="CM321" s="151"/>
      <c r="CN321" s="151"/>
      <c r="CO321" s="151"/>
      <c r="CP321" s="151"/>
      <c r="CQ321" s="151"/>
      <c r="CR321" s="151"/>
      <c r="CS321" s="151"/>
      <c r="CT321" s="151"/>
      <c r="CU321" s="151"/>
      <c r="CV321" s="151"/>
      <c r="CW321" s="151"/>
      <c r="CX321" s="151"/>
      <c r="CY321" s="151"/>
      <c r="CZ321" s="151"/>
      <c r="DA321" s="151"/>
      <c r="DB321" s="151"/>
      <c r="DC321" s="151"/>
      <c r="DD321" s="151"/>
      <c r="DE321" s="151"/>
      <c r="DF321" s="151"/>
      <c r="DG321" s="151"/>
      <c r="DH321" s="151"/>
      <c r="DI321" s="151"/>
      <c r="DJ321" s="151"/>
      <c r="DK321" s="129"/>
      <c r="DL321" s="129"/>
      <c r="EB321" s="130"/>
    </row>
    <row r="322" spans="36:132" ht="0.95" customHeight="1" x14ac:dyDescent="0.25">
      <c r="AJ322" s="414" t="s">
        <v>606</v>
      </c>
      <c r="AK322" s="414"/>
      <c r="AL322" s="414"/>
      <c r="AM322" s="414"/>
      <c r="AN322" s="414"/>
      <c r="AO322" s="414"/>
      <c r="AP322" s="414"/>
      <c r="AQ322" s="414"/>
      <c r="AR322" s="414"/>
      <c r="AS322" s="414"/>
      <c r="AT322" s="414"/>
      <c r="AU322" s="414"/>
      <c r="AV322" s="414"/>
      <c r="AW322" s="414"/>
      <c r="AX322" s="414"/>
      <c r="AY322" s="414"/>
      <c r="AZ322" s="414"/>
      <c r="BA322" s="129"/>
      <c r="BB322" s="129"/>
      <c r="BE322" s="129" t="s">
        <v>553</v>
      </c>
      <c r="BG322" s="129"/>
      <c r="BH322" s="129"/>
      <c r="BI322" s="129"/>
      <c r="BJ322" s="129"/>
      <c r="BK322" s="129"/>
      <c r="BL322" s="129"/>
      <c r="BM322" s="129"/>
      <c r="BN322" s="129"/>
      <c r="BQ322" s="129"/>
      <c r="BT322" s="129"/>
      <c r="BV322" s="129"/>
      <c r="BZ322" s="129"/>
      <c r="CA322" s="130"/>
      <c r="CB322" s="130"/>
      <c r="CC322" s="130"/>
      <c r="CJ322" s="151"/>
      <c r="CK322" s="151"/>
      <c r="CL322" s="151"/>
      <c r="CM322" s="151"/>
      <c r="CN322" s="151"/>
      <c r="CO322" s="151"/>
      <c r="CP322" s="151"/>
      <c r="CQ322" s="151"/>
      <c r="CR322" s="151"/>
      <c r="CS322" s="151"/>
      <c r="CT322" s="151"/>
      <c r="CU322" s="151"/>
      <c r="CV322" s="151"/>
      <c r="CW322" s="151"/>
      <c r="CX322" s="151"/>
      <c r="CY322" s="151"/>
      <c r="CZ322" s="151"/>
      <c r="DA322" s="151"/>
      <c r="DB322" s="151"/>
      <c r="DC322" s="151"/>
      <c r="DD322" s="151"/>
      <c r="DE322" s="151"/>
      <c r="DF322" s="151"/>
      <c r="DG322" s="151"/>
      <c r="DH322" s="151"/>
      <c r="DI322" s="151"/>
      <c r="DJ322" s="151"/>
      <c r="DK322" s="129"/>
      <c r="DL322" s="129"/>
      <c r="EB322" s="130"/>
    </row>
    <row r="323" spans="36:132" ht="0.95" customHeight="1" x14ac:dyDescent="0.25">
      <c r="AJ323" s="414"/>
      <c r="AK323" s="414"/>
      <c r="AL323" s="414"/>
      <c r="AM323" s="414"/>
      <c r="AN323" s="414"/>
      <c r="AO323" s="414"/>
      <c r="AP323" s="414"/>
      <c r="AQ323" s="414"/>
      <c r="AR323" s="414"/>
      <c r="AS323" s="414"/>
      <c r="AT323" s="414"/>
      <c r="AU323" s="414"/>
      <c r="AV323" s="414"/>
      <c r="AW323" s="414"/>
      <c r="AX323" s="414"/>
      <c r="AY323" s="414"/>
      <c r="AZ323" s="414"/>
      <c r="BA323" s="129"/>
      <c r="BB323" s="129"/>
      <c r="BG323" s="129"/>
      <c r="BH323" s="129"/>
      <c r="BI323" s="129"/>
      <c r="BJ323" s="129"/>
      <c r="BK323" s="129"/>
      <c r="BL323" s="129"/>
      <c r="BM323" s="129"/>
      <c r="BN323" s="129"/>
      <c r="BQ323" s="129"/>
      <c r="BT323" s="129"/>
      <c r="BV323" s="129"/>
      <c r="BZ323" s="129"/>
      <c r="CA323" s="130"/>
      <c r="CB323" s="130"/>
      <c r="CC323" s="130"/>
      <c r="CJ323" s="151"/>
      <c r="CK323" s="151"/>
      <c r="CL323" s="151"/>
      <c r="CM323" s="151"/>
      <c r="CN323" s="151"/>
      <c r="CO323" s="151"/>
      <c r="CP323" s="151"/>
      <c r="CQ323" s="151"/>
      <c r="CR323" s="151"/>
      <c r="CS323" s="151"/>
      <c r="CT323" s="151"/>
      <c r="CU323" s="151"/>
      <c r="CV323" s="151"/>
      <c r="CW323" s="151"/>
      <c r="CX323" s="151"/>
      <c r="CY323" s="151"/>
      <c r="CZ323" s="151"/>
      <c r="DA323" s="151"/>
      <c r="DB323" s="151"/>
      <c r="DC323" s="151"/>
      <c r="DD323" s="151"/>
      <c r="DE323" s="151"/>
      <c r="DF323" s="151"/>
      <c r="DG323" s="151"/>
      <c r="DH323" s="151"/>
      <c r="DI323" s="151"/>
      <c r="DJ323" s="151"/>
      <c r="DK323" s="129"/>
      <c r="DL323" s="129"/>
      <c r="EB323" s="130"/>
    </row>
    <row r="324" spans="36:132" ht="0.95" customHeight="1" x14ac:dyDescent="0.25">
      <c r="AJ324" s="414"/>
      <c r="AK324" s="414"/>
      <c r="AL324" s="414"/>
      <c r="AM324" s="414"/>
      <c r="AN324" s="414"/>
      <c r="AO324" s="414"/>
      <c r="AP324" s="414"/>
      <c r="AQ324" s="414"/>
      <c r="AR324" s="414"/>
      <c r="AS324" s="414"/>
      <c r="AT324" s="414"/>
      <c r="AU324" s="414"/>
      <c r="AV324" s="414"/>
      <c r="AW324" s="414"/>
      <c r="AX324" s="414"/>
      <c r="AY324" s="414"/>
      <c r="AZ324" s="414"/>
      <c r="BA324" s="129"/>
      <c r="BB324" s="129"/>
      <c r="BD324" s="348"/>
      <c r="BE324" s="25"/>
      <c r="BF324" s="25"/>
      <c r="BG324" s="129"/>
      <c r="BH324" s="129"/>
      <c r="BJ324" s="129"/>
      <c r="BK324" s="129"/>
      <c r="BL324" s="129"/>
      <c r="BQ324" s="129"/>
      <c r="BT324" s="129"/>
      <c r="BV324" s="129"/>
      <c r="BZ324" s="129"/>
      <c r="CA324" s="130"/>
      <c r="CB324" s="130"/>
      <c r="CC324" s="130"/>
      <c r="CJ324" s="151"/>
      <c r="CK324" s="151"/>
      <c r="CL324" s="151"/>
      <c r="CM324" s="151"/>
      <c r="CN324" s="151"/>
      <c r="CO324" s="151"/>
      <c r="CP324" s="151"/>
      <c r="CQ324" s="151"/>
      <c r="CR324" s="151"/>
      <c r="CS324" s="151"/>
      <c r="CT324" s="151"/>
      <c r="CU324" s="151"/>
      <c r="CV324" s="151"/>
      <c r="CW324" s="151"/>
      <c r="CX324" s="151"/>
      <c r="CY324" s="151"/>
      <c r="CZ324" s="151"/>
      <c r="DA324" s="151"/>
      <c r="DB324" s="151"/>
      <c r="DC324" s="151"/>
      <c r="DD324" s="151"/>
      <c r="DE324" s="151"/>
      <c r="DF324" s="151"/>
      <c r="DG324" s="151"/>
      <c r="DH324" s="151"/>
      <c r="DI324" s="151"/>
      <c r="DJ324" s="151"/>
      <c r="DK324" s="129"/>
      <c r="DL324" s="129"/>
      <c r="EB324" s="130"/>
    </row>
    <row r="325" spans="36:132" ht="0.95" customHeight="1" x14ac:dyDescent="0.25">
      <c r="AJ325" s="414"/>
      <c r="AK325" s="414"/>
      <c r="AL325" s="414"/>
      <c r="AM325" s="414"/>
      <c r="AN325" s="414"/>
      <c r="AO325" s="414"/>
      <c r="AP325" s="414"/>
      <c r="AQ325" s="414"/>
      <c r="AR325" s="414"/>
      <c r="AS325" s="414"/>
      <c r="AT325" s="414"/>
      <c r="AU325" s="414"/>
      <c r="AV325" s="414"/>
      <c r="AW325" s="414"/>
      <c r="AX325" s="414"/>
      <c r="AY325" s="414"/>
      <c r="AZ325" s="414"/>
      <c r="BA325" s="129"/>
      <c r="BB325" s="129"/>
      <c r="BD325" s="348"/>
      <c r="BE325" s="32"/>
      <c r="BF325" s="32"/>
      <c r="BG325" s="32"/>
      <c r="BH325" s="32"/>
      <c r="BI325" s="32"/>
      <c r="BJ325" s="163"/>
      <c r="BK325" s="163"/>
      <c r="BL325" s="163"/>
      <c r="BM325" s="32"/>
      <c r="BN325" s="32"/>
      <c r="BO325" s="163"/>
      <c r="BQ325" s="129"/>
      <c r="BT325" s="129"/>
      <c r="BV325" s="129"/>
      <c r="BZ325" s="129"/>
      <c r="CA325" s="130"/>
      <c r="CB325" s="130"/>
      <c r="CC325" s="130"/>
      <c r="CJ325" s="151"/>
      <c r="CK325" s="151"/>
      <c r="CL325" s="151"/>
      <c r="CM325" s="151"/>
      <c r="CN325" s="151"/>
      <c r="CO325" s="151"/>
      <c r="CP325" s="151"/>
      <c r="CQ325" s="151"/>
      <c r="CR325" s="151"/>
      <c r="CS325" s="151"/>
      <c r="CT325" s="151"/>
      <c r="CU325" s="151"/>
      <c r="CV325" s="151"/>
      <c r="CW325" s="151"/>
      <c r="CX325" s="151"/>
      <c r="CY325" s="151"/>
      <c r="CZ325" s="151"/>
      <c r="DA325" s="151"/>
      <c r="DB325" s="151"/>
      <c r="DC325" s="151"/>
      <c r="DD325" s="151"/>
      <c r="DE325" s="151"/>
      <c r="DF325" s="151"/>
      <c r="DG325" s="151"/>
      <c r="DH325" s="151"/>
      <c r="DI325" s="151"/>
      <c r="DJ325" s="151"/>
      <c r="DK325" s="129"/>
      <c r="DL325" s="129"/>
      <c r="EB325" s="130"/>
    </row>
    <row r="326" spans="36:132" ht="0.95" customHeight="1" x14ac:dyDescent="0.25">
      <c r="AJ326" s="414"/>
      <c r="AK326" s="414"/>
      <c r="AL326" s="414"/>
      <c r="AM326" s="414"/>
      <c r="AN326" s="414"/>
      <c r="AO326" s="414"/>
      <c r="AP326" s="414"/>
      <c r="AQ326" s="414"/>
      <c r="AR326" s="414"/>
      <c r="AS326" s="414"/>
      <c r="AT326" s="414"/>
      <c r="AU326" s="414"/>
      <c r="AV326" s="414"/>
      <c r="AW326" s="414"/>
      <c r="AX326" s="414"/>
      <c r="AY326" s="414"/>
      <c r="AZ326" s="414"/>
      <c r="BA326" s="129"/>
      <c r="BB326" s="129"/>
      <c r="BD326" s="348"/>
      <c r="BE326" s="32"/>
      <c r="BF326" s="32"/>
      <c r="BG326" s="32"/>
      <c r="BH326" s="32"/>
      <c r="BI326" s="32"/>
      <c r="BJ326" s="163"/>
      <c r="BK326" s="163"/>
      <c r="BL326" s="163"/>
      <c r="BM326" s="32"/>
      <c r="BN326" s="32"/>
      <c r="BO326" s="163"/>
      <c r="BQ326" s="129"/>
      <c r="BT326" s="129"/>
      <c r="BV326" s="129"/>
      <c r="BZ326" s="129"/>
      <c r="CA326" s="130"/>
      <c r="CB326" s="130"/>
      <c r="CC326" s="130"/>
      <c r="CJ326" s="151"/>
      <c r="CK326" s="151"/>
      <c r="CL326" s="151"/>
      <c r="CM326" s="151"/>
      <c r="CN326" s="151"/>
      <c r="CO326" s="151"/>
      <c r="CP326" s="151"/>
      <c r="CQ326" s="151"/>
      <c r="CR326" s="151"/>
      <c r="CS326" s="151"/>
      <c r="CT326" s="151"/>
      <c r="CU326" s="151"/>
      <c r="CV326" s="151"/>
      <c r="CW326" s="151"/>
      <c r="CX326" s="151"/>
      <c r="CY326" s="151"/>
      <c r="CZ326" s="151"/>
      <c r="DA326" s="151"/>
      <c r="DB326" s="151"/>
      <c r="DC326" s="151"/>
      <c r="DD326" s="151"/>
      <c r="DE326" s="151"/>
      <c r="DF326" s="151"/>
      <c r="DG326" s="151"/>
      <c r="DH326" s="151"/>
      <c r="DI326" s="151"/>
      <c r="DJ326" s="151"/>
      <c r="DK326" s="129"/>
      <c r="DL326" s="129"/>
      <c r="EB326" s="130"/>
    </row>
    <row r="327" spans="36:132" ht="0.95" customHeight="1" x14ac:dyDescent="0.25">
      <c r="AJ327" s="414"/>
      <c r="AK327" s="414"/>
      <c r="AL327" s="414"/>
      <c r="AM327" s="414"/>
      <c r="AN327" s="414"/>
      <c r="AO327" s="414"/>
      <c r="AP327" s="414"/>
      <c r="AQ327" s="414"/>
      <c r="AR327" s="414"/>
      <c r="AS327" s="414"/>
      <c r="AT327" s="414"/>
      <c r="AU327" s="414"/>
      <c r="AV327" s="414"/>
      <c r="AW327" s="414"/>
      <c r="AX327" s="414"/>
      <c r="AY327" s="414"/>
      <c r="AZ327" s="414"/>
      <c r="BA327" s="129"/>
      <c r="BB327" s="129"/>
      <c r="BD327" s="348"/>
      <c r="BE327" s="32"/>
      <c r="BF327" s="32"/>
      <c r="BG327" s="32"/>
      <c r="BH327" s="32"/>
      <c r="BI327" s="32"/>
      <c r="BJ327" s="163"/>
      <c r="BK327" s="163"/>
      <c r="BL327" s="163"/>
      <c r="BM327" s="32"/>
      <c r="BN327" s="32"/>
      <c r="BO327" s="163"/>
      <c r="BQ327" s="129"/>
      <c r="BT327" s="129"/>
      <c r="BV327" s="129"/>
      <c r="BZ327" s="129"/>
      <c r="CA327" s="130"/>
      <c r="CB327" s="130"/>
      <c r="CC327" s="130"/>
      <c r="CJ327" s="151"/>
      <c r="CK327" s="151"/>
      <c r="CL327" s="151"/>
      <c r="CM327" s="151"/>
      <c r="CN327" s="151"/>
      <c r="CO327" s="151"/>
      <c r="CP327" s="151"/>
      <c r="CQ327" s="151"/>
      <c r="CR327" s="151"/>
      <c r="CS327" s="151"/>
      <c r="CT327" s="151"/>
      <c r="CU327" s="151"/>
      <c r="CV327" s="151"/>
      <c r="CW327" s="151"/>
      <c r="CX327" s="151"/>
      <c r="CY327" s="151"/>
      <c r="CZ327" s="151"/>
      <c r="DA327" s="151"/>
      <c r="DB327" s="151"/>
      <c r="DC327" s="151"/>
      <c r="DD327" s="151"/>
      <c r="DE327" s="151"/>
      <c r="DF327" s="151"/>
      <c r="DG327" s="151"/>
      <c r="DH327" s="151"/>
      <c r="DI327" s="151"/>
      <c r="DJ327" s="151"/>
      <c r="DK327" s="129"/>
      <c r="DL327" s="129"/>
      <c r="EB327" s="130"/>
    </row>
    <row r="328" spans="36:132" ht="0.95" customHeight="1" x14ac:dyDescent="0.25">
      <c r="AJ328" s="414"/>
      <c r="AK328" s="414"/>
      <c r="AL328" s="414"/>
      <c r="AM328" s="414"/>
      <c r="AN328" s="414"/>
      <c r="AO328" s="414"/>
      <c r="AP328" s="414"/>
      <c r="AQ328" s="414"/>
      <c r="AR328" s="414"/>
      <c r="AS328" s="414"/>
      <c r="AT328" s="414"/>
      <c r="AU328" s="414"/>
      <c r="AV328" s="414"/>
      <c r="AW328" s="414"/>
      <c r="AX328" s="414"/>
      <c r="AY328" s="414"/>
      <c r="AZ328" s="414"/>
      <c r="BA328" s="129"/>
      <c r="BB328" s="129"/>
      <c r="BD328" s="348"/>
      <c r="BE328" s="32"/>
      <c r="BF328" s="32"/>
      <c r="BG328" s="32"/>
      <c r="BH328" s="32"/>
      <c r="BI328" s="32"/>
      <c r="BJ328" s="163"/>
      <c r="BK328" s="163"/>
      <c r="BL328" s="163"/>
      <c r="BM328" s="32"/>
      <c r="BN328" s="32"/>
      <c r="BO328" s="163"/>
      <c r="BQ328" s="129"/>
      <c r="BT328" s="129"/>
      <c r="BV328" s="129"/>
      <c r="BZ328" s="129"/>
      <c r="CA328" s="130"/>
      <c r="CB328" s="130"/>
      <c r="CC328" s="130"/>
      <c r="CJ328" s="151"/>
      <c r="CK328" s="151"/>
      <c r="CL328" s="151"/>
      <c r="CM328" s="151"/>
      <c r="CN328" s="151"/>
      <c r="CO328" s="151"/>
      <c r="CP328" s="151"/>
      <c r="CQ328" s="151"/>
      <c r="CR328" s="151"/>
      <c r="CS328" s="151"/>
      <c r="CT328" s="151"/>
      <c r="CU328" s="151"/>
      <c r="CV328" s="151"/>
      <c r="CW328" s="151"/>
      <c r="CX328" s="151"/>
      <c r="CY328" s="151"/>
      <c r="CZ328" s="151"/>
      <c r="DA328" s="151"/>
      <c r="DB328" s="151"/>
      <c r="DC328" s="151"/>
      <c r="DD328" s="151"/>
      <c r="DE328" s="151"/>
      <c r="DF328" s="151"/>
      <c r="DG328" s="151"/>
      <c r="DH328" s="151"/>
      <c r="DI328" s="151"/>
      <c r="DJ328" s="151"/>
      <c r="DK328" s="129"/>
      <c r="DL328" s="129"/>
      <c r="EB328" s="130"/>
    </row>
    <row r="329" spans="36:132" ht="0.95" customHeight="1" x14ac:dyDescent="0.25">
      <c r="AJ329" s="414"/>
      <c r="AK329" s="414"/>
      <c r="AL329" s="414"/>
      <c r="AM329" s="414"/>
      <c r="AN329" s="414"/>
      <c r="AO329" s="414"/>
      <c r="AP329" s="414"/>
      <c r="AQ329" s="414"/>
      <c r="AR329" s="414"/>
      <c r="AS329" s="414"/>
      <c r="AT329" s="414"/>
      <c r="AU329" s="414"/>
      <c r="AV329" s="414"/>
      <c r="AW329" s="414"/>
      <c r="AX329" s="414"/>
      <c r="AY329" s="414"/>
      <c r="AZ329" s="414"/>
      <c r="BA329" s="129"/>
      <c r="BB329" s="129"/>
      <c r="BD329" s="348"/>
      <c r="BE329" s="32"/>
      <c r="BF329" s="32"/>
      <c r="BG329" s="32"/>
      <c r="BH329" s="32"/>
      <c r="BI329" s="32"/>
      <c r="BJ329" s="163"/>
      <c r="BK329" s="163"/>
      <c r="BL329" s="163"/>
      <c r="BM329" s="32"/>
      <c r="BN329" s="32"/>
      <c r="BO329" s="163"/>
      <c r="BQ329" s="129"/>
      <c r="BT329" s="129"/>
      <c r="BV329" s="129"/>
      <c r="BZ329" s="129"/>
      <c r="CA329" s="130"/>
      <c r="CB329" s="130"/>
      <c r="CC329" s="130"/>
      <c r="CJ329" s="151"/>
      <c r="CK329" s="151"/>
      <c r="CL329" s="151"/>
      <c r="CM329" s="151"/>
      <c r="CN329" s="151"/>
      <c r="CO329" s="151"/>
      <c r="CP329" s="151"/>
      <c r="CQ329" s="151"/>
      <c r="CR329" s="151"/>
      <c r="CS329" s="151"/>
      <c r="CT329" s="151"/>
      <c r="CU329" s="151"/>
      <c r="CV329" s="151"/>
      <c r="CW329" s="151"/>
      <c r="CX329" s="151"/>
      <c r="CY329" s="151"/>
      <c r="CZ329" s="151"/>
      <c r="DA329" s="151"/>
      <c r="DB329" s="151"/>
      <c r="DC329" s="151"/>
      <c r="DD329" s="151"/>
      <c r="DE329" s="151"/>
      <c r="DF329" s="151"/>
      <c r="DG329" s="151"/>
      <c r="DH329" s="151"/>
      <c r="DI329" s="151"/>
      <c r="DJ329" s="151"/>
      <c r="DK329" s="129"/>
      <c r="DL329" s="129"/>
      <c r="EB329" s="130"/>
    </row>
    <row r="330" spans="36:132" ht="0.95" customHeight="1" x14ac:dyDescent="0.35">
      <c r="AJ330" s="414"/>
      <c r="AK330" s="414"/>
      <c r="AL330" s="414"/>
      <c r="AM330" s="414"/>
      <c r="AN330" s="414"/>
      <c r="AO330" s="414"/>
      <c r="AP330" s="414"/>
      <c r="AQ330" s="414"/>
      <c r="AR330" s="414"/>
      <c r="AS330" s="414"/>
      <c r="AT330" s="414"/>
      <c r="AU330" s="414"/>
      <c r="AV330" s="414"/>
      <c r="AW330" s="414"/>
      <c r="AX330" s="414"/>
      <c r="AY330" s="414"/>
      <c r="AZ330" s="414"/>
      <c r="BA330" s="129"/>
      <c r="BB330" s="129"/>
      <c r="BD330" s="348"/>
      <c r="BE330" s="32"/>
      <c r="BF330" s="32"/>
      <c r="BG330" s="32"/>
      <c r="BH330" s="32"/>
      <c r="BI330" s="32"/>
      <c r="BJ330" s="163"/>
      <c r="BK330" s="349">
        <v>4184</v>
      </c>
      <c r="BL330" s="197"/>
      <c r="BM330" s="32"/>
      <c r="BN330" s="32"/>
      <c r="BO330" s="163"/>
      <c r="BQ330" s="129"/>
      <c r="BT330" s="129"/>
      <c r="BV330" s="129"/>
      <c r="BZ330" s="129"/>
      <c r="CA330" s="130"/>
      <c r="CB330" s="130"/>
      <c r="CC330" s="130"/>
      <c r="CJ330" s="151"/>
      <c r="CK330" s="151"/>
      <c r="CL330" s="151"/>
      <c r="CM330" s="151"/>
      <c r="CN330" s="151"/>
      <c r="CO330" s="151"/>
      <c r="CP330" s="151"/>
      <c r="CQ330" s="151"/>
      <c r="CR330" s="151"/>
      <c r="CS330" s="151"/>
      <c r="CT330" s="151"/>
      <c r="CU330" s="151"/>
      <c r="CV330" s="151"/>
      <c r="CW330" s="151"/>
      <c r="CX330" s="151"/>
      <c r="CY330" s="151"/>
      <c r="CZ330" s="151"/>
      <c r="DA330" s="151"/>
      <c r="DB330" s="151"/>
      <c r="DC330" s="151"/>
      <c r="DD330" s="151"/>
      <c r="DE330" s="151"/>
      <c r="DF330" s="151"/>
      <c r="DG330" s="151"/>
      <c r="DH330" s="151"/>
      <c r="DI330" s="151"/>
      <c r="DJ330" s="151"/>
      <c r="DK330" s="129"/>
      <c r="DL330" s="129"/>
      <c r="EB330" s="130"/>
    </row>
    <row r="331" spans="36:132" ht="0.95" customHeight="1" x14ac:dyDescent="0.35">
      <c r="AJ331" s="414"/>
      <c r="AK331" s="414"/>
      <c r="AL331" s="414"/>
      <c r="AM331" s="414"/>
      <c r="AN331" s="414"/>
      <c r="AO331" s="414"/>
      <c r="AP331" s="414"/>
      <c r="AQ331" s="414"/>
      <c r="AR331" s="414"/>
      <c r="AS331" s="414"/>
      <c r="AT331" s="414"/>
      <c r="AU331" s="414"/>
      <c r="AV331" s="414"/>
      <c r="AW331" s="414"/>
      <c r="AX331" s="414"/>
      <c r="AY331" s="414"/>
      <c r="AZ331" s="414"/>
      <c r="BA331" s="129"/>
      <c r="BB331" s="129"/>
      <c r="BD331" s="348"/>
      <c r="BE331" s="363">
        <f>9.648533212331*10^4</f>
        <v>96485.33212331</v>
      </c>
      <c r="BF331" s="363"/>
      <c r="BG331" s="363"/>
      <c r="BH331" s="363"/>
      <c r="BI331" s="164"/>
      <c r="BJ331" s="163"/>
      <c r="BK331" s="349"/>
      <c r="BL331" s="197"/>
      <c r="BM331" s="196"/>
      <c r="BN331" s="196"/>
      <c r="BO331" s="163"/>
      <c r="BQ331" s="129"/>
      <c r="BT331" s="129"/>
      <c r="BV331" s="129"/>
      <c r="BZ331" s="129"/>
      <c r="CA331" s="130"/>
      <c r="CB331" s="130"/>
      <c r="CC331" s="130"/>
      <c r="CJ331" s="151"/>
      <c r="CK331" s="151"/>
      <c r="CL331" s="151"/>
      <c r="CM331" s="151"/>
      <c r="CN331" s="151"/>
      <c r="CO331" s="151"/>
      <c r="CP331" s="151"/>
      <c r="CQ331" s="151"/>
      <c r="CR331" s="151"/>
      <c r="CS331" s="151"/>
      <c r="CT331" s="151"/>
      <c r="CU331" s="151"/>
      <c r="CV331" s="151"/>
      <c r="CW331" s="151"/>
      <c r="CX331" s="151"/>
      <c r="CY331" s="151"/>
      <c r="CZ331" s="151"/>
      <c r="DA331" s="151"/>
      <c r="DB331" s="151"/>
      <c r="DC331" s="151"/>
      <c r="DD331" s="151"/>
      <c r="DE331" s="151"/>
      <c r="DF331" s="151"/>
      <c r="DG331" s="151"/>
      <c r="DH331" s="151"/>
      <c r="DI331" s="151"/>
      <c r="DJ331" s="151"/>
      <c r="DK331" s="129"/>
      <c r="DL331" s="129"/>
      <c r="EB331" s="130"/>
    </row>
    <row r="332" spans="36:132" ht="0.95" customHeight="1" x14ac:dyDescent="0.25">
      <c r="AJ332" s="414"/>
      <c r="AK332" s="414"/>
      <c r="AL332" s="414"/>
      <c r="AM332" s="414"/>
      <c r="AN332" s="414"/>
      <c r="AO332" s="414"/>
      <c r="AP332" s="414"/>
      <c r="AQ332" s="414"/>
      <c r="AR332" s="414"/>
      <c r="AS332" s="414"/>
      <c r="AT332" s="414"/>
      <c r="AU332" s="414"/>
      <c r="AV332" s="414"/>
      <c r="AW332" s="414"/>
      <c r="AX332" s="414"/>
      <c r="AY332" s="414"/>
      <c r="AZ332" s="414"/>
      <c r="BA332" s="129"/>
      <c r="BB332" s="129"/>
      <c r="BG332" s="129"/>
      <c r="BH332" s="129"/>
      <c r="BI332" s="129"/>
      <c r="BJ332" s="129"/>
      <c r="BK332" s="129"/>
      <c r="BL332" s="129"/>
      <c r="BM332" s="129"/>
      <c r="BN332" s="129"/>
      <c r="BQ332" s="129"/>
      <c r="BT332" s="129"/>
      <c r="BV332" s="129"/>
      <c r="BZ332" s="129"/>
      <c r="CA332" s="130"/>
      <c r="CB332" s="130"/>
      <c r="CC332" s="130"/>
      <c r="CJ332" s="151"/>
      <c r="CK332" s="151"/>
      <c r="CL332" s="151"/>
      <c r="CM332" s="151"/>
      <c r="CN332" s="151"/>
      <c r="CO332" s="151"/>
      <c r="CP332" s="151"/>
      <c r="CQ332" s="151"/>
      <c r="CR332" s="151"/>
      <c r="CS332" s="151"/>
      <c r="CT332" s="151"/>
      <c r="CU332" s="151"/>
      <c r="CV332" s="151"/>
      <c r="CW332" s="151"/>
      <c r="CX332" s="151"/>
      <c r="CY332" s="151"/>
      <c r="CZ332" s="151"/>
      <c r="DA332" s="151"/>
      <c r="DB332" s="151"/>
      <c r="DC332" s="151"/>
      <c r="DD332" s="151"/>
      <c r="DE332" s="151"/>
      <c r="DF332" s="151"/>
      <c r="DG332" s="151"/>
      <c r="DH332" s="151"/>
      <c r="DI332" s="151"/>
      <c r="DJ332" s="151"/>
      <c r="DK332" s="129"/>
      <c r="DL332" s="129"/>
      <c r="EB332" s="130"/>
    </row>
    <row r="333" spans="36:132" ht="0.95" customHeight="1" thickBot="1" x14ac:dyDescent="0.3">
      <c r="AJ333" s="414"/>
      <c r="AK333" s="414"/>
      <c r="AL333" s="414"/>
      <c r="AM333" s="414"/>
      <c r="AN333" s="414"/>
      <c r="AO333" s="414"/>
      <c r="AP333" s="414"/>
      <c r="AQ333" s="414"/>
      <c r="AR333" s="414"/>
      <c r="AS333" s="414"/>
      <c r="AT333" s="414"/>
      <c r="AU333" s="414"/>
      <c r="AV333" s="414"/>
      <c r="AW333" s="414"/>
      <c r="AX333" s="414"/>
      <c r="AY333" s="414"/>
      <c r="AZ333" s="414"/>
    </row>
    <row r="334" spans="36:132" ht="0.95" customHeight="1" x14ac:dyDescent="0.25">
      <c r="AJ334" s="414"/>
      <c r="AK334" s="414"/>
      <c r="AL334" s="414"/>
      <c r="AM334" s="414"/>
      <c r="AN334" s="414"/>
      <c r="AO334" s="414"/>
      <c r="AP334" s="414"/>
      <c r="AQ334" s="414"/>
      <c r="AR334" s="414"/>
      <c r="AS334" s="414"/>
      <c r="AT334" s="414"/>
      <c r="AU334" s="414"/>
      <c r="AV334" s="414"/>
      <c r="AW334" s="414"/>
      <c r="AX334" s="414"/>
      <c r="AY334" s="414"/>
      <c r="AZ334" s="414"/>
      <c r="BB334" s="129"/>
      <c r="BC334" s="25"/>
      <c r="BD334" s="364" t="s">
        <v>554</v>
      </c>
      <c r="BF334" s="25"/>
      <c r="BG334" s="296" t="s">
        <v>40</v>
      </c>
      <c r="BH334" s="298"/>
      <c r="BJ334" s="390"/>
      <c r="BK334" s="390"/>
      <c r="BL334" s="180"/>
      <c r="BM334" s="406" t="s">
        <v>91</v>
      </c>
      <c r="BN334" s="407"/>
      <c r="BO334" s="35"/>
      <c r="BR334" s="202"/>
      <c r="BS334" s="199"/>
      <c r="BT334" s="199" t="s">
        <v>555</v>
      </c>
      <c r="BU334" s="200">
        <v>700</v>
      </c>
      <c r="BV334" s="199" t="s">
        <v>556</v>
      </c>
      <c r="BW334" s="201"/>
      <c r="BX334" s="199"/>
      <c r="BY334" s="204"/>
    </row>
    <row r="335" spans="36:132" ht="0.95" customHeight="1" thickBot="1" x14ac:dyDescent="0.3">
      <c r="AJ335" s="414"/>
      <c r="AK335" s="414"/>
      <c r="AL335" s="414"/>
      <c r="AM335" s="414"/>
      <c r="AN335" s="414"/>
      <c r="AO335" s="414"/>
      <c r="AP335" s="414"/>
      <c r="AQ335" s="414"/>
      <c r="AR335" s="414"/>
      <c r="AS335" s="414"/>
      <c r="AT335" s="414"/>
      <c r="AU335" s="414"/>
      <c r="AV335" s="414"/>
      <c r="AW335" s="414"/>
      <c r="AX335" s="414"/>
      <c r="AY335" s="414"/>
      <c r="AZ335" s="414"/>
      <c r="BB335" s="129"/>
      <c r="BC335" s="25"/>
      <c r="BD335" s="365"/>
      <c r="BF335" s="25"/>
      <c r="BG335" s="410" t="s">
        <v>41</v>
      </c>
      <c r="BH335" s="411"/>
      <c r="BJ335" s="390"/>
      <c r="BK335" s="390"/>
      <c r="BL335" s="181"/>
      <c r="BM335" s="408"/>
      <c r="BN335" s="409"/>
      <c r="BO335" s="35"/>
      <c r="BR335" s="203"/>
      <c r="BS335" s="198"/>
      <c r="BT335" s="198"/>
      <c r="BU335" s="198"/>
      <c r="BV335" s="198"/>
      <c r="BW335" s="198"/>
      <c r="BX335" s="198"/>
      <c r="BY335" s="205"/>
      <c r="CA335" s="25"/>
      <c r="CB335" s="25"/>
      <c r="CC335" s="25"/>
    </row>
    <row r="336" spans="36:132" ht="0.95" customHeight="1" x14ac:dyDescent="0.25">
      <c r="AJ336" s="414"/>
      <c r="AK336" s="414"/>
      <c r="AL336" s="414"/>
      <c r="AM336" s="414"/>
      <c r="AN336" s="414"/>
      <c r="AO336" s="414"/>
      <c r="AP336" s="414"/>
      <c r="AQ336" s="414"/>
      <c r="AR336" s="414"/>
      <c r="AS336" s="414"/>
      <c r="AT336" s="414"/>
      <c r="AU336" s="414"/>
      <c r="AV336" s="414"/>
      <c r="AW336" s="414"/>
      <c r="AX336" s="414"/>
      <c r="AY336" s="414"/>
      <c r="AZ336" s="414"/>
      <c r="BB336" s="383" t="s">
        <v>557</v>
      </c>
      <c r="BC336" s="367" t="s">
        <v>44</v>
      </c>
      <c r="BD336" s="373" t="s">
        <v>558</v>
      </c>
      <c r="BE336" s="389" t="s">
        <v>559</v>
      </c>
      <c r="BF336" s="371" t="s">
        <v>560</v>
      </c>
      <c r="BG336" s="393" t="s">
        <v>561</v>
      </c>
      <c r="BH336" s="394"/>
      <c r="BI336" s="402" t="s">
        <v>47</v>
      </c>
      <c r="BJ336" s="371" t="s">
        <v>562</v>
      </c>
      <c r="BK336" s="391" t="s">
        <v>563</v>
      </c>
      <c r="BL336" s="392"/>
      <c r="BM336" s="398" t="s">
        <v>564</v>
      </c>
      <c r="BN336" s="399"/>
      <c r="BR336" s="348" t="s">
        <v>565</v>
      </c>
      <c r="BS336" s="348"/>
      <c r="BT336" s="397">
        <f>BH343+BG343*BU334</f>
        <v>-3.0598520000000002</v>
      </c>
      <c r="BU336" s="397"/>
      <c r="BV336" s="348" t="s">
        <v>566</v>
      </c>
      <c r="BW336" s="348"/>
      <c r="BX336" s="350">
        <f>BN343+BM343*(273.15+BU334)</f>
        <v>-121.67744916666666</v>
      </c>
      <c r="BY336" s="350"/>
      <c r="BZ336" s="388"/>
      <c r="CA336" s="388"/>
      <c r="CB336" s="388"/>
      <c r="CC336" s="388"/>
    </row>
    <row r="337" spans="14:81" ht="0.95" customHeight="1" x14ac:dyDescent="0.25">
      <c r="AJ337" s="414"/>
      <c r="AK337" s="414"/>
      <c r="AL337" s="414"/>
      <c r="AM337" s="414"/>
      <c r="AN337" s="414"/>
      <c r="AO337" s="414"/>
      <c r="AP337" s="414"/>
      <c r="AQ337" s="414"/>
      <c r="AR337" s="414"/>
      <c r="AS337" s="414"/>
      <c r="AT337" s="414"/>
      <c r="AU337" s="414"/>
      <c r="AV337" s="414"/>
      <c r="AW337" s="414"/>
      <c r="AX337" s="414"/>
      <c r="AY337" s="414"/>
      <c r="AZ337" s="414"/>
      <c r="BB337" s="384"/>
      <c r="BC337" s="368"/>
      <c r="BD337" s="374"/>
      <c r="BE337" s="330"/>
      <c r="BF337" s="372"/>
      <c r="BG337" s="393"/>
      <c r="BH337" s="394"/>
      <c r="BI337" s="403"/>
      <c r="BJ337" s="372"/>
      <c r="BK337" s="393"/>
      <c r="BL337" s="394"/>
      <c r="BM337" s="398"/>
      <c r="BN337" s="399"/>
      <c r="BR337" s="348"/>
      <c r="BS337" s="348"/>
      <c r="BT337" s="350"/>
      <c r="BU337" s="350"/>
      <c r="BV337" s="348"/>
      <c r="BW337" s="348"/>
      <c r="BX337" s="350"/>
      <c r="BY337" s="350"/>
      <c r="BZ337" s="388"/>
      <c r="CA337" s="388"/>
      <c r="CB337" s="388"/>
      <c r="CC337" s="388"/>
    </row>
    <row r="338" spans="14:81" ht="0.95" customHeight="1" x14ac:dyDescent="0.25">
      <c r="AJ338" s="414"/>
      <c r="AK338" s="414"/>
      <c r="AL338" s="414"/>
      <c r="AM338" s="414"/>
      <c r="AN338" s="414"/>
      <c r="AO338" s="414"/>
      <c r="AP338" s="414"/>
      <c r="AQ338" s="414"/>
      <c r="AR338" s="414"/>
      <c r="AS338" s="414"/>
      <c r="AT338" s="414"/>
      <c r="AU338" s="414"/>
      <c r="AV338" s="414"/>
      <c r="AW338" s="414"/>
      <c r="AX338" s="414"/>
      <c r="AY338" s="414"/>
      <c r="AZ338" s="414"/>
      <c r="BB338" s="353"/>
      <c r="BC338" s="369"/>
      <c r="BD338" s="375"/>
      <c r="BE338" s="330"/>
      <c r="BF338" s="355"/>
      <c r="BG338" s="395"/>
      <c r="BH338" s="396"/>
      <c r="BI338" s="404"/>
      <c r="BJ338" s="355"/>
      <c r="BK338" s="395"/>
      <c r="BL338" s="396"/>
      <c r="BM338" s="400"/>
      <c r="BN338" s="401"/>
      <c r="BR338" s="348"/>
      <c r="BS338" s="348"/>
      <c r="BT338" s="350"/>
      <c r="BU338" s="350"/>
      <c r="BV338" s="348"/>
      <c r="BW338" s="348"/>
      <c r="BX338" s="350"/>
      <c r="BY338" s="350"/>
      <c r="BZ338" s="388"/>
      <c r="CA338" s="388"/>
      <c r="CB338" s="388"/>
      <c r="CC338" s="388"/>
    </row>
    <row r="339" spans="14:81" ht="0.95" customHeight="1" x14ac:dyDescent="0.25">
      <c r="AJ339" s="414"/>
      <c r="AK339" s="414"/>
      <c r="AL339" s="414"/>
      <c r="AM339" s="414"/>
      <c r="AN339" s="414"/>
      <c r="AO339" s="414"/>
      <c r="AP339" s="414"/>
      <c r="AQ339" s="414"/>
      <c r="AR339" s="414"/>
      <c r="AS339" s="414"/>
      <c r="AT339" s="414"/>
      <c r="AU339" s="414"/>
      <c r="AV339" s="414"/>
      <c r="AW339" s="414"/>
      <c r="AX339" s="414"/>
      <c r="AY339" s="414"/>
      <c r="AZ339" s="414"/>
      <c r="BB339" s="353"/>
      <c r="BC339" s="369"/>
      <c r="BD339" s="375"/>
      <c r="BE339" s="330"/>
      <c r="BF339" s="355"/>
      <c r="BG339" s="353" t="s">
        <v>45</v>
      </c>
      <c r="BH339" s="355" t="s">
        <v>46</v>
      </c>
      <c r="BI339" s="404"/>
      <c r="BJ339" s="355"/>
      <c r="BK339" s="353" t="s">
        <v>45</v>
      </c>
      <c r="BL339" s="355" t="s">
        <v>46</v>
      </c>
      <c r="BM339" s="353" t="s">
        <v>45</v>
      </c>
      <c r="BN339" s="355" t="s">
        <v>46</v>
      </c>
      <c r="BR339" s="351" t="s">
        <v>567</v>
      </c>
      <c r="BS339" s="351"/>
      <c r="BT339" s="352">
        <f>BT336*BE331*BF343</f>
        <v>-590461.67293634871</v>
      </c>
      <c r="BU339" s="352"/>
      <c r="BV339" s="351" t="s">
        <v>568</v>
      </c>
      <c r="BW339" s="351"/>
      <c r="BX339" s="352">
        <f>4184*BX336</f>
        <v>-509098.44731333334</v>
      </c>
      <c r="BY339" s="352"/>
      <c r="BZ339" s="388"/>
      <c r="CA339" s="388"/>
      <c r="CB339" s="388"/>
      <c r="CC339" s="388"/>
    </row>
    <row r="340" spans="14:81" ht="0.95" customHeight="1" x14ac:dyDescent="0.25">
      <c r="N340" s="34"/>
      <c r="AJ340" s="414"/>
      <c r="AK340" s="414"/>
      <c r="AL340" s="414"/>
      <c r="AM340" s="414"/>
      <c r="AN340" s="414"/>
      <c r="AO340" s="414"/>
      <c r="AP340" s="414"/>
      <c r="AQ340" s="414"/>
      <c r="AR340" s="414"/>
      <c r="AS340" s="414"/>
      <c r="AT340" s="414"/>
      <c r="AU340" s="414"/>
      <c r="AV340" s="414"/>
      <c r="AW340" s="414"/>
      <c r="AX340" s="414"/>
      <c r="AY340" s="414"/>
      <c r="AZ340" s="414"/>
      <c r="BB340" s="353"/>
      <c r="BC340" s="369"/>
      <c r="BD340" s="375"/>
      <c r="BE340" s="330"/>
      <c r="BF340" s="355"/>
      <c r="BG340" s="353"/>
      <c r="BH340" s="355"/>
      <c r="BI340" s="404"/>
      <c r="BJ340" s="355"/>
      <c r="BK340" s="353"/>
      <c r="BL340" s="355"/>
      <c r="BM340" s="353"/>
      <c r="BN340" s="355"/>
      <c r="BR340" s="351"/>
      <c r="BS340" s="351"/>
      <c r="BT340" s="352"/>
      <c r="BU340" s="352"/>
      <c r="BV340" s="351"/>
      <c r="BW340" s="351"/>
      <c r="BX340" s="352"/>
      <c r="BY340" s="352"/>
      <c r="BZ340" s="388"/>
      <c r="CA340" s="388"/>
      <c r="CB340" s="388"/>
      <c r="CC340" s="388"/>
    </row>
    <row r="341" spans="14:81" ht="0.95" customHeight="1" thickBot="1" x14ac:dyDescent="0.3">
      <c r="N341" s="34"/>
      <c r="AJ341" s="414"/>
      <c r="AK341" s="414"/>
      <c r="AL341" s="414"/>
      <c r="AM341" s="414"/>
      <c r="AN341" s="414"/>
      <c r="AO341" s="414"/>
      <c r="AP341" s="414"/>
      <c r="AQ341" s="414"/>
      <c r="AR341" s="414"/>
      <c r="AS341" s="414"/>
      <c r="AT341" s="414"/>
      <c r="AU341" s="414"/>
      <c r="AV341" s="414"/>
      <c r="AW341" s="414"/>
      <c r="AX341" s="414"/>
      <c r="AY341" s="414"/>
      <c r="AZ341" s="414"/>
      <c r="BB341" s="354"/>
      <c r="BC341" s="370"/>
      <c r="BD341" s="376"/>
      <c r="BE341" s="331"/>
      <c r="BF341" s="356"/>
      <c r="BG341" s="354"/>
      <c r="BH341" s="356"/>
      <c r="BI341" s="405"/>
      <c r="BJ341" s="356"/>
      <c r="BK341" s="354"/>
      <c r="BL341" s="356"/>
      <c r="BM341" s="354"/>
      <c r="BN341" s="356"/>
      <c r="BR341" s="351"/>
      <c r="BS341" s="351"/>
      <c r="BT341" s="352"/>
      <c r="BU341" s="352"/>
      <c r="BV341" s="351"/>
      <c r="BW341" s="351"/>
      <c r="BX341" s="352"/>
      <c r="BY341" s="352"/>
      <c r="BZ341" s="388"/>
      <c r="CA341" s="388"/>
      <c r="CB341" s="388"/>
      <c r="CC341" s="388"/>
    </row>
    <row r="342" spans="14:81" ht="0.95" customHeight="1" thickBot="1" x14ac:dyDescent="0.3">
      <c r="N342" s="34"/>
      <c r="AJ342" s="414"/>
      <c r="AK342" s="414"/>
      <c r="AL342" s="414"/>
      <c r="AM342" s="414"/>
      <c r="AN342" s="414"/>
      <c r="AO342" s="414"/>
      <c r="AP342" s="414"/>
      <c r="AQ342" s="414"/>
      <c r="AR342" s="414"/>
      <c r="AS342" s="414"/>
      <c r="AT342" s="414"/>
      <c r="AU342" s="414"/>
      <c r="AV342" s="414"/>
      <c r="AW342" s="414"/>
      <c r="AX342" s="414"/>
      <c r="AY342" s="414"/>
      <c r="AZ342" s="414"/>
      <c r="BB342" s="165" t="s">
        <v>569</v>
      </c>
      <c r="BC342" s="67" t="s">
        <v>570</v>
      </c>
      <c r="BD342" s="68">
        <v>19</v>
      </c>
      <c r="BE342" s="69" t="s">
        <v>570</v>
      </c>
      <c r="BF342" s="69" t="s">
        <v>570</v>
      </c>
      <c r="BG342" s="69" t="s">
        <v>570</v>
      </c>
      <c r="BH342" s="70" t="s">
        <v>570</v>
      </c>
      <c r="BI342" s="72" t="s">
        <v>570</v>
      </c>
      <c r="BJ342" s="69" t="s">
        <v>570</v>
      </c>
      <c r="BK342" s="69" t="s">
        <v>570</v>
      </c>
      <c r="BL342" s="70" t="s">
        <v>570</v>
      </c>
      <c r="BM342" s="71"/>
      <c r="BN342" s="70"/>
      <c r="BS342" s="129"/>
      <c r="BT342" s="129"/>
      <c r="BV342" s="348" t="s">
        <v>571</v>
      </c>
      <c r="BW342" s="348"/>
      <c r="BX342" s="348"/>
      <c r="BY342" s="348"/>
      <c r="BZ342" s="388"/>
      <c r="CA342" s="388"/>
      <c r="CB342" s="388"/>
      <c r="CC342" s="388"/>
    </row>
    <row r="343" spans="14:81" ht="0.95" customHeight="1" x14ac:dyDescent="0.25">
      <c r="N343" s="34"/>
      <c r="AJ343" s="414"/>
      <c r="AK343" s="414"/>
      <c r="AL343" s="414"/>
      <c r="AM343" s="414"/>
      <c r="AN343" s="414"/>
      <c r="AO343" s="414"/>
      <c r="AP343" s="414"/>
      <c r="AQ343" s="414"/>
      <c r="AR343" s="414"/>
      <c r="AS343" s="414"/>
      <c r="AT343" s="414"/>
      <c r="AU343" s="414"/>
      <c r="AV343" s="414"/>
      <c r="AW343" s="414"/>
      <c r="AX343" s="414"/>
      <c r="AY343" s="414"/>
      <c r="AZ343" s="414"/>
      <c r="BB343" s="166" t="s">
        <v>48</v>
      </c>
      <c r="BC343" s="59" t="s">
        <v>49</v>
      </c>
      <c r="BD343" s="60">
        <v>58.69</v>
      </c>
      <c r="BE343" s="176">
        <v>1</v>
      </c>
      <c r="BF343" s="36">
        <v>2</v>
      </c>
      <c r="BG343" s="61">
        <v>2.0000000000000002E-5</v>
      </c>
      <c r="BH343" s="62">
        <v>-3.073852</v>
      </c>
      <c r="BI343" s="19"/>
      <c r="BJ343" s="36">
        <v>2</v>
      </c>
      <c r="BK343" s="61">
        <v>2.0000000000000002E-5</v>
      </c>
      <c r="BL343" s="62">
        <v>-3.073852</v>
      </c>
      <c r="BM343" s="61">
        <v>3.5783333333333334E-2</v>
      </c>
      <c r="BN343" s="62">
        <v>-156.5</v>
      </c>
      <c r="BS343" s="129"/>
      <c r="BT343" s="129"/>
      <c r="BV343" s="348"/>
      <c r="BW343" s="348"/>
      <c r="BX343" s="348"/>
      <c r="BY343" s="348"/>
      <c r="BZ343" s="388"/>
      <c r="CA343" s="388"/>
      <c r="CB343" s="388"/>
      <c r="CC343" s="388"/>
    </row>
    <row r="344" spans="14:81" ht="0.95" customHeight="1" x14ac:dyDescent="0.25">
      <c r="AJ344" s="414"/>
      <c r="AK344" s="414"/>
      <c r="AL344" s="414"/>
      <c r="AM344" s="414"/>
      <c r="AN344" s="414"/>
      <c r="AO344" s="414"/>
      <c r="AP344" s="414"/>
      <c r="AQ344" s="414"/>
      <c r="AR344" s="414"/>
      <c r="AS344" s="414"/>
      <c r="AT344" s="414"/>
      <c r="AU344" s="414"/>
      <c r="AV344" s="414"/>
      <c r="AW344" s="414"/>
      <c r="AX344" s="414"/>
      <c r="AY344" s="414"/>
      <c r="AZ344" s="414"/>
      <c r="BB344" s="385" t="s">
        <v>50</v>
      </c>
      <c r="BC344" s="44" t="s">
        <v>572</v>
      </c>
      <c r="BD344" s="366">
        <v>52</v>
      </c>
      <c r="BE344" s="377">
        <v>1</v>
      </c>
      <c r="BF344" s="38">
        <v>2</v>
      </c>
      <c r="BG344" s="28">
        <v>-7.8999999999999996E-5</v>
      </c>
      <c r="BH344" s="29">
        <v>-3.8814519999999999</v>
      </c>
      <c r="BI344" s="18" t="s">
        <v>52</v>
      </c>
      <c r="BJ344" s="420">
        <f>(BF344+BF345)/2</f>
        <v>2.5</v>
      </c>
      <c r="BK344" s="412">
        <f>(BG344+BG345)/2</f>
        <v>9.0000000000000006E-5</v>
      </c>
      <c r="BL344" s="361">
        <f>(BH344+BH345)/2</f>
        <v>-3.8010055</v>
      </c>
      <c r="BM344" s="334"/>
      <c r="BN344" s="415"/>
      <c r="BS344" s="129"/>
      <c r="BT344" s="129"/>
      <c r="BV344" s="348"/>
      <c r="BW344" s="348"/>
      <c r="BX344" s="348"/>
      <c r="BY344" s="348"/>
      <c r="BZ344" s="388"/>
      <c r="CA344" s="388"/>
      <c r="CB344" s="388"/>
      <c r="CC344" s="388"/>
    </row>
    <row r="345" spans="14:81" ht="0.95" customHeight="1" x14ac:dyDescent="0.25">
      <c r="U345" s="34"/>
      <c r="V345" s="34"/>
      <c r="W345" s="34"/>
      <c r="X345" s="34"/>
      <c r="Y345" s="34"/>
      <c r="Z345" s="34"/>
      <c r="AA345" s="34"/>
      <c r="AB345" s="34"/>
      <c r="AC345" s="34"/>
      <c r="AD345" s="34"/>
      <c r="AE345" s="34"/>
      <c r="AF345" s="34"/>
      <c r="AG345" s="34"/>
      <c r="AH345" s="34"/>
      <c r="AI345" s="34"/>
      <c r="AJ345" s="414"/>
      <c r="AK345" s="414"/>
      <c r="AL345" s="414"/>
      <c r="AM345" s="414"/>
      <c r="AN345" s="414"/>
      <c r="AO345" s="414"/>
      <c r="AP345" s="414"/>
      <c r="AQ345" s="414"/>
      <c r="AR345" s="414"/>
      <c r="AS345" s="414"/>
      <c r="AT345" s="414"/>
      <c r="AU345" s="414"/>
      <c r="AV345" s="414"/>
      <c r="AW345" s="414"/>
      <c r="AX345" s="414"/>
      <c r="AY345" s="414"/>
      <c r="AZ345" s="414"/>
      <c r="BB345" s="385"/>
      <c r="BC345" s="43" t="s">
        <v>573</v>
      </c>
      <c r="BD345" s="366"/>
      <c r="BE345" s="378"/>
      <c r="BF345" s="37">
        <v>3</v>
      </c>
      <c r="BG345" s="26">
        <v>2.5900000000000001E-4</v>
      </c>
      <c r="BH345" s="27">
        <v>-3.7205590000000002</v>
      </c>
      <c r="BI345" s="56" t="s">
        <v>54</v>
      </c>
      <c r="BJ345" s="421"/>
      <c r="BK345" s="413"/>
      <c r="BL345" s="362"/>
      <c r="BM345" s="335"/>
      <c r="BN345" s="416"/>
      <c r="BR345" s="25"/>
      <c r="BS345" s="129"/>
      <c r="BT345" s="129"/>
      <c r="BU345" s="25"/>
      <c r="BX345" s="25"/>
      <c r="BY345" s="33"/>
      <c r="BZ345" s="33"/>
    </row>
    <row r="346" spans="14:81" ht="0.95" customHeight="1" x14ac:dyDescent="0.25">
      <c r="AJ346" s="414"/>
      <c r="AK346" s="414"/>
      <c r="AL346" s="414"/>
      <c r="AM346" s="414"/>
      <c r="AN346" s="414"/>
      <c r="AO346" s="414"/>
      <c r="AP346" s="414"/>
      <c r="AQ346" s="414"/>
      <c r="AR346" s="414"/>
      <c r="AS346" s="414"/>
      <c r="AT346" s="414"/>
      <c r="AU346" s="414"/>
      <c r="AV346" s="414"/>
      <c r="AW346" s="414"/>
      <c r="AX346" s="414"/>
      <c r="AY346" s="414"/>
      <c r="AZ346" s="414"/>
      <c r="BB346" s="386" t="s">
        <v>55</v>
      </c>
      <c r="BC346" s="44" t="s">
        <v>574</v>
      </c>
      <c r="BD346" s="381">
        <v>95.96</v>
      </c>
      <c r="BE346" s="379">
        <v>1</v>
      </c>
      <c r="BF346" s="38">
        <v>5</v>
      </c>
      <c r="BG346" s="28">
        <v>1.2E-4</v>
      </c>
      <c r="BH346" s="29">
        <v>-2.5182980000000001</v>
      </c>
      <c r="BI346" s="18" t="s">
        <v>52</v>
      </c>
      <c r="BJ346" s="422">
        <f>(BF346+BF347)/2</f>
        <v>5.5</v>
      </c>
      <c r="BK346" s="359">
        <f>(BG346+BG347)/2</f>
        <v>1.995E-4</v>
      </c>
      <c r="BL346" s="357">
        <f>(BH346+BH347)/2</f>
        <v>-2.5620430000000001</v>
      </c>
      <c r="BM346" s="419"/>
      <c r="BN346" s="417"/>
      <c r="BR346" s="25"/>
      <c r="BS346" s="129"/>
      <c r="BT346" s="129"/>
      <c r="BU346" s="25"/>
      <c r="BX346" s="25"/>
      <c r="BY346" s="33"/>
      <c r="BZ346" s="33"/>
    </row>
    <row r="347" spans="14:81" ht="0.95" customHeight="1" x14ac:dyDescent="0.25">
      <c r="AJ347" s="414"/>
      <c r="AK347" s="414"/>
      <c r="AL347" s="414"/>
      <c r="AM347" s="414"/>
      <c r="AN347" s="414"/>
      <c r="AO347" s="414"/>
      <c r="AP347" s="414"/>
      <c r="AQ347" s="414"/>
      <c r="AR347" s="414"/>
      <c r="AS347" s="414"/>
      <c r="AT347" s="414"/>
      <c r="AU347" s="414"/>
      <c r="AV347" s="414"/>
      <c r="AW347" s="414"/>
      <c r="AX347" s="414"/>
      <c r="AY347" s="414"/>
      <c r="AZ347" s="414"/>
      <c r="BB347" s="387"/>
      <c r="BC347" s="43" t="s">
        <v>575</v>
      </c>
      <c r="BD347" s="381"/>
      <c r="BE347" s="380"/>
      <c r="BF347" s="37">
        <v>6</v>
      </c>
      <c r="BG347" s="26">
        <v>2.7900000000000001E-4</v>
      </c>
      <c r="BH347" s="27">
        <v>-2.605788</v>
      </c>
      <c r="BI347" s="56" t="s">
        <v>54</v>
      </c>
      <c r="BJ347" s="423"/>
      <c r="BK347" s="360"/>
      <c r="BL347" s="358"/>
      <c r="BM347" s="419"/>
      <c r="BN347" s="418"/>
      <c r="BR347" s="202"/>
      <c r="BS347" s="199"/>
      <c r="BT347" s="199" t="s">
        <v>555</v>
      </c>
      <c r="BU347" s="200">
        <v>700</v>
      </c>
      <c r="BV347" s="199" t="s">
        <v>576</v>
      </c>
      <c r="BW347" s="201"/>
      <c r="BX347" s="199"/>
      <c r="BY347" s="204"/>
      <c r="BZ347" s="33"/>
    </row>
    <row r="348" spans="14:81" ht="0.95" customHeight="1" x14ac:dyDescent="0.25">
      <c r="AJ348" s="414"/>
      <c r="AK348" s="414"/>
      <c r="AL348" s="414"/>
      <c r="AM348" s="414"/>
      <c r="AN348" s="414"/>
      <c r="AO348" s="414"/>
      <c r="AP348" s="414"/>
      <c r="AQ348" s="414"/>
      <c r="AR348" s="414"/>
      <c r="AS348" s="414"/>
      <c r="AT348" s="414"/>
      <c r="AU348" s="414"/>
      <c r="AV348" s="414"/>
      <c r="AW348" s="414"/>
      <c r="AX348" s="414"/>
      <c r="AY348" s="414"/>
      <c r="AZ348" s="414"/>
      <c r="BB348" s="385" t="s">
        <v>58</v>
      </c>
      <c r="BC348" s="44" t="s">
        <v>577</v>
      </c>
      <c r="BD348" s="366">
        <v>55.85</v>
      </c>
      <c r="BE348" s="377">
        <v>1</v>
      </c>
      <c r="BF348" s="38">
        <v>2</v>
      </c>
      <c r="BG348" s="28">
        <v>-1.2E-4</v>
      </c>
      <c r="BH348" s="29">
        <v>-3.4161679999999999</v>
      </c>
      <c r="BI348" s="18" t="s">
        <v>52</v>
      </c>
      <c r="BJ348" s="420">
        <f>(BF348+BF349)/2</f>
        <v>2.5</v>
      </c>
      <c r="BK348" s="412">
        <f>(BG348+BG349)/2</f>
        <v>7.9999999999999993E-5</v>
      </c>
      <c r="BL348" s="361">
        <f>(BH348+BH349)/2</f>
        <v>-3.3615585000000001</v>
      </c>
      <c r="BM348" s="334"/>
      <c r="BN348" s="415"/>
      <c r="BR348" s="203"/>
      <c r="BS348" s="198"/>
      <c r="BT348" s="198"/>
      <c r="BU348" s="198"/>
      <c r="BV348" s="198"/>
      <c r="BW348" s="198"/>
      <c r="BX348" s="198"/>
      <c r="BY348" s="205"/>
      <c r="BZ348" s="33"/>
    </row>
    <row r="349" spans="14:81" ht="0.95" customHeight="1" x14ac:dyDescent="0.25">
      <c r="AJ349" s="414"/>
      <c r="AK349" s="414"/>
      <c r="AL349" s="414"/>
      <c r="AM349" s="414"/>
      <c r="AN349" s="414"/>
      <c r="AO349" s="414"/>
      <c r="AP349" s="414"/>
      <c r="AQ349" s="414"/>
      <c r="AR349" s="414"/>
      <c r="AS349" s="414"/>
      <c r="AT349" s="414"/>
      <c r="AU349" s="414"/>
      <c r="AV349" s="414"/>
      <c r="AW349" s="414"/>
      <c r="AX349" s="414"/>
      <c r="AY349" s="414"/>
      <c r="AZ349" s="414"/>
      <c r="BB349" s="385"/>
      <c r="BC349" s="43" t="s">
        <v>578</v>
      </c>
      <c r="BD349" s="366"/>
      <c r="BE349" s="378"/>
      <c r="BF349" s="37">
        <v>3</v>
      </c>
      <c r="BG349" s="26">
        <v>2.7999999999999998E-4</v>
      </c>
      <c r="BH349" s="27">
        <v>-3.3069489999999999</v>
      </c>
      <c r="BI349" s="56" t="s">
        <v>54</v>
      </c>
      <c r="BJ349" s="421"/>
      <c r="BK349" s="413"/>
      <c r="BL349" s="362"/>
      <c r="BM349" s="335"/>
      <c r="BN349" s="416"/>
      <c r="BR349" s="348" t="s">
        <v>579</v>
      </c>
      <c r="BS349" s="348"/>
      <c r="BT349" s="397">
        <f>BH352+BG352*BU347</f>
        <v>-4.2873670000000006</v>
      </c>
      <c r="BU349" s="397"/>
      <c r="BV349" s="348" t="s">
        <v>580</v>
      </c>
      <c r="BW349" s="348"/>
      <c r="BX349" s="350">
        <f>BN352+BM352*(273.15+BU347)</f>
        <v>-157.89051326116612</v>
      </c>
      <c r="BY349" s="350"/>
      <c r="BZ349" s="33"/>
    </row>
    <row r="350" spans="14:81" ht="0.95" customHeight="1" x14ac:dyDescent="0.25">
      <c r="AJ350" s="414"/>
      <c r="AK350" s="414"/>
      <c r="AL350" s="414"/>
      <c r="AM350" s="414"/>
      <c r="AN350" s="414"/>
      <c r="AO350" s="414"/>
      <c r="AP350" s="414"/>
      <c r="AQ350" s="414"/>
      <c r="AR350" s="414"/>
      <c r="AS350" s="414"/>
      <c r="AT350" s="414"/>
      <c r="AU350" s="414"/>
      <c r="AV350" s="414"/>
      <c r="AW350" s="414"/>
      <c r="AX350" s="414"/>
      <c r="AY350" s="414"/>
      <c r="AZ350" s="414"/>
      <c r="BB350" s="167" t="s">
        <v>61</v>
      </c>
      <c r="BC350" s="44" t="s">
        <v>62</v>
      </c>
      <c r="BD350" s="50">
        <v>183.8</v>
      </c>
      <c r="BE350" s="173">
        <v>1</v>
      </c>
      <c r="BF350" s="38">
        <v>6</v>
      </c>
      <c r="BG350" s="28">
        <v>3.19E-4</v>
      </c>
      <c r="BH350" s="29">
        <v>-2.8972060000000002</v>
      </c>
      <c r="BI350" s="18"/>
      <c r="BJ350" s="38">
        <v>6</v>
      </c>
      <c r="BK350" s="28">
        <v>3.19E-4</v>
      </c>
      <c r="BL350" s="29">
        <v>-2.8972060000000002</v>
      </c>
      <c r="BM350" s="13"/>
      <c r="BN350" s="29"/>
      <c r="BR350" s="348"/>
      <c r="BS350" s="348"/>
      <c r="BT350" s="350"/>
      <c r="BU350" s="350"/>
      <c r="BV350" s="348"/>
      <c r="BW350" s="348"/>
      <c r="BX350" s="350"/>
      <c r="BY350" s="350"/>
    </row>
    <row r="351" spans="14:81" ht="0.95" customHeight="1" x14ac:dyDescent="0.25">
      <c r="AJ351" s="414"/>
      <c r="AK351" s="414"/>
      <c r="AL351" s="414"/>
      <c r="AM351" s="414"/>
      <c r="AN351" s="414"/>
      <c r="AO351" s="414"/>
      <c r="AP351" s="414"/>
      <c r="AQ351" s="414"/>
      <c r="AR351" s="414"/>
      <c r="AS351" s="414"/>
      <c r="AT351" s="414"/>
      <c r="AU351" s="414"/>
      <c r="AV351" s="414"/>
      <c r="AW351" s="414"/>
      <c r="AX351" s="414"/>
      <c r="AY351" s="414"/>
      <c r="AZ351" s="414"/>
      <c r="BB351" s="168" t="s">
        <v>63</v>
      </c>
      <c r="BC351" s="43" t="s">
        <v>64</v>
      </c>
      <c r="BD351" s="49">
        <v>58.93</v>
      </c>
      <c r="BE351" s="172">
        <v>1</v>
      </c>
      <c r="BF351" s="37">
        <v>2</v>
      </c>
      <c r="BG351" s="26">
        <v>-6.0000000000000002E-5</v>
      </c>
      <c r="BH351" s="27">
        <v>-3.2094079999999998</v>
      </c>
      <c r="BI351" s="56"/>
      <c r="BJ351" s="37">
        <v>2</v>
      </c>
      <c r="BK351" s="26">
        <v>-6.0000000000000002E-5</v>
      </c>
      <c r="BL351" s="27">
        <v>-3.2094079999999998</v>
      </c>
      <c r="BM351" s="8"/>
      <c r="BN351" s="27"/>
      <c r="BR351" s="348"/>
      <c r="BS351" s="348"/>
      <c r="BT351" s="350"/>
      <c r="BU351" s="350"/>
      <c r="BV351" s="348"/>
      <c r="BW351" s="348"/>
      <c r="BX351" s="350"/>
      <c r="BY351" s="350"/>
    </row>
    <row r="352" spans="14:81" ht="0.95" customHeight="1" x14ac:dyDescent="0.25">
      <c r="AJ352" s="414"/>
      <c r="AK352" s="414"/>
      <c r="AL352" s="414"/>
      <c r="AM352" s="414"/>
      <c r="AN352" s="414"/>
      <c r="AO352" s="414"/>
      <c r="AP352" s="414"/>
      <c r="AQ352" s="414"/>
      <c r="AR352" s="414"/>
      <c r="AS352" s="414"/>
      <c r="AT352" s="414"/>
      <c r="AU352" s="414"/>
      <c r="AV352" s="414"/>
      <c r="AW352" s="414"/>
      <c r="AX352" s="414"/>
      <c r="AY352" s="414"/>
      <c r="AZ352" s="414"/>
      <c r="BB352" s="167" t="s">
        <v>65</v>
      </c>
      <c r="BC352" s="44" t="s">
        <v>66</v>
      </c>
      <c r="BD352" s="50">
        <v>54.94</v>
      </c>
      <c r="BE352" s="173">
        <v>1</v>
      </c>
      <c r="BF352" s="38">
        <v>2</v>
      </c>
      <c r="BG352" s="28">
        <v>-2.0000000000000002E-5</v>
      </c>
      <c r="BH352" s="29">
        <v>-4.2733670000000004</v>
      </c>
      <c r="BI352" s="18"/>
      <c r="BJ352" s="38">
        <v>2</v>
      </c>
      <c r="BK352" s="28">
        <v>-2.0000000000000002E-5</v>
      </c>
      <c r="BL352" s="29">
        <v>-4.2733670000000004</v>
      </c>
      <c r="BM352" s="13">
        <v>3.2563825452226157E-2</v>
      </c>
      <c r="BN352" s="29">
        <v>-189.58</v>
      </c>
      <c r="BR352" s="351" t="s">
        <v>581</v>
      </c>
      <c r="BS352" s="351"/>
      <c r="BT352" s="352">
        <f>BT349*BE331*BF352</f>
        <v>-827336.05785903858</v>
      </c>
      <c r="BU352" s="352"/>
      <c r="BV352" s="351" t="s">
        <v>582</v>
      </c>
      <c r="BW352" s="351"/>
      <c r="BX352" s="352">
        <f>BK330*BX349</f>
        <v>-660613.90748471906</v>
      </c>
      <c r="BY352" s="352"/>
    </row>
    <row r="353" spans="36:90" ht="0.95" customHeight="1" x14ac:dyDescent="0.25">
      <c r="AJ353" s="414"/>
      <c r="AK353" s="414"/>
      <c r="AL353" s="414"/>
      <c r="AM353" s="414"/>
      <c r="AN353" s="414"/>
      <c r="AO353" s="414"/>
      <c r="AP353" s="414"/>
      <c r="AQ353" s="414"/>
      <c r="AR353" s="414"/>
      <c r="AS353" s="414"/>
      <c r="AT353" s="414"/>
      <c r="AU353" s="414"/>
      <c r="AV353" s="414"/>
      <c r="AW353" s="414"/>
      <c r="AX353" s="414"/>
      <c r="AY353" s="414"/>
      <c r="AZ353" s="414"/>
      <c r="BB353" s="168" t="s">
        <v>67</v>
      </c>
      <c r="BC353" s="43" t="s">
        <v>68</v>
      </c>
      <c r="BD353" s="49">
        <v>26.98</v>
      </c>
      <c r="BE353" s="172">
        <v>1</v>
      </c>
      <c r="BF353" s="37">
        <v>3</v>
      </c>
      <c r="BG353" s="26">
        <v>4.5899999999999999E-4</v>
      </c>
      <c r="BH353" s="27">
        <v>-4.872255</v>
      </c>
      <c r="BI353" s="56"/>
      <c r="BJ353" s="37">
        <v>3</v>
      </c>
      <c r="BK353" s="26">
        <v>4.5899999999999999E-4</v>
      </c>
      <c r="BL353" s="27">
        <v>-4.872255</v>
      </c>
      <c r="BM353" s="8"/>
      <c r="BN353" s="27"/>
      <c r="BR353" s="351"/>
      <c r="BS353" s="351"/>
      <c r="BT353" s="352"/>
      <c r="BU353" s="352"/>
      <c r="BV353" s="351"/>
      <c r="BW353" s="351"/>
      <c r="BX353" s="352"/>
      <c r="BY353" s="352"/>
    </row>
    <row r="354" spans="36:90" ht="0.95" customHeight="1" x14ac:dyDescent="0.25">
      <c r="AJ354" s="414"/>
      <c r="AK354" s="414"/>
      <c r="AL354" s="414"/>
      <c r="AM354" s="414"/>
      <c r="AN354" s="414"/>
      <c r="AO354" s="414"/>
      <c r="AP354" s="414"/>
      <c r="AQ354" s="414"/>
      <c r="AR354" s="414"/>
      <c r="AS354" s="414"/>
      <c r="AT354" s="414"/>
      <c r="AU354" s="414"/>
      <c r="AV354" s="414"/>
      <c r="AW354" s="414"/>
      <c r="AX354" s="414"/>
      <c r="AY354" s="414"/>
      <c r="AZ354" s="414"/>
      <c r="BB354" s="167" t="s">
        <v>69</v>
      </c>
      <c r="BC354" s="44" t="s">
        <v>70</v>
      </c>
      <c r="BD354" s="50">
        <v>47.87</v>
      </c>
      <c r="BE354" s="173">
        <v>1</v>
      </c>
      <c r="BF354" s="38">
        <v>4</v>
      </c>
      <c r="BG354" s="28">
        <v>3.9899999999999999E-4</v>
      </c>
      <c r="BH354" s="29">
        <v>-4.1207580000000004</v>
      </c>
      <c r="BI354" s="18"/>
      <c r="BJ354" s="38">
        <v>4</v>
      </c>
      <c r="BK354" s="28">
        <v>3.9899999999999999E-4</v>
      </c>
      <c r="BL354" s="29">
        <v>-4.1207580000000004</v>
      </c>
      <c r="BM354" s="13"/>
      <c r="BN354" s="29"/>
      <c r="BR354" s="351"/>
      <c r="BS354" s="351"/>
      <c r="BT354" s="352"/>
      <c r="BU354" s="352"/>
      <c r="BV354" s="351"/>
      <c r="BW354" s="351"/>
      <c r="BX354" s="352"/>
      <c r="BY354" s="352"/>
    </row>
    <row r="355" spans="36:90" ht="0.95" customHeight="1" x14ac:dyDescent="0.25">
      <c r="AJ355" s="414"/>
      <c r="AK355" s="414"/>
      <c r="AL355" s="414"/>
      <c r="AM355" s="414"/>
      <c r="AN355" s="414"/>
      <c r="AO355" s="414"/>
      <c r="AP355" s="414"/>
      <c r="AQ355" s="414"/>
      <c r="AR355" s="414"/>
      <c r="AS355" s="414"/>
      <c r="AT355" s="414"/>
      <c r="AU355" s="414"/>
      <c r="AV355" s="414"/>
      <c r="AW355" s="414"/>
      <c r="AX355" s="414"/>
      <c r="AY355" s="414"/>
      <c r="AZ355" s="414"/>
      <c r="BB355" s="168" t="s">
        <v>71</v>
      </c>
      <c r="BC355" s="43" t="s">
        <v>72</v>
      </c>
      <c r="BD355" s="49">
        <v>91.22</v>
      </c>
      <c r="BE355" s="172">
        <v>1</v>
      </c>
      <c r="BF355" s="37">
        <v>4</v>
      </c>
      <c r="BG355" s="26">
        <v>4.0099999999999999E-4</v>
      </c>
      <c r="BH355" s="27">
        <v>-4.6609499999999997</v>
      </c>
      <c r="BI355" s="56"/>
      <c r="BJ355" s="37">
        <v>4</v>
      </c>
      <c r="BK355" s="26">
        <v>4.0099999999999999E-4</v>
      </c>
      <c r="BL355" s="27">
        <v>-4.6609499999999997</v>
      </c>
      <c r="BM355" s="8"/>
      <c r="BN355" s="27"/>
      <c r="CH355" s="33"/>
      <c r="CI355" s="33"/>
      <c r="CJ355" s="33"/>
      <c r="CK355" s="33"/>
      <c r="CL355" s="25"/>
    </row>
    <row r="356" spans="36:90" ht="0.95" customHeight="1" x14ac:dyDescent="0.25">
      <c r="AJ356" s="414"/>
      <c r="AK356" s="414"/>
      <c r="AL356" s="414"/>
      <c r="AM356" s="414"/>
      <c r="AN356" s="414"/>
      <c r="AO356" s="414"/>
      <c r="AP356" s="414"/>
      <c r="AQ356" s="414"/>
      <c r="AR356" s="414"/>
      <c r="AS356" s="414"/>
      <c r="AT356" s="414"/>
      <c r="AU356" s="414"/>
      <c r="AV356" s="414"/>
      <c r="AW356" s="414"/>
      <c r="AX356" s="414"/>
      <c r="AY356" s="414"/>
      <c r="AZ356" s="414"/>
      <c r="BB356" s="167" t="s">
        <v>583</v>
      </c>
      <c r="BC356" s="42" t="s">
        <v>570</v>
      </c>
      <c r="BD356" s="50">
        <v>16</v>
      </c>
      <c r="BE356" s="46" t="s">
        <v>570</v>
      </c>
      <c r="BF356" s="46" t="s">
        <v>570</v>
      </c>
      <c r="BG356" s="52" t="s">
        <v>570</v>
      </c>
      <c r="BH356" s="53" t="s">
        <v>570</v>
      </c>
      <c r="BI356" s="57" t="s">
        <v>570</v>
      </c>
      <c r="BJ356" s="46" t="s">
        <v>570</v>
      </c>
      <c r="BK356" s="52" t="s">
        <v>570</v>
      </c>
      <c r="BL356" s="53" t="s">
        <v>570</v>
      </c>
      <c r="BM356" s="6"/>
      <c r="BN356" s="53"/>
      <c r="CD356" s="348" t="s">
        <v>608</v>
      </c>
      <c r="CE356" s="348"/>
      <c r="CF356" s="348"/>
      <c r="CG356" s="348"/>
      <c r="CH356" s="348"/>
      <c r="CI356" s="348"/>
      <c r="CJ356" s="348"/>
      <c r="CK356" s="348"/>
      <c r="CL356" s="25"/>
    </row>
    <row r="357" spans="36:90" ht="0.95" customHeight="1" x14ac:dyDescent="0.25">
      <c r="AJ357" s="414"/>
      <c r="AK357" s="414"/>
      <c r="AL357" s="414"/>
      <c r="AM357" s="414"/>
      <c r="AN357" s="414"/>
      <c r="AO357" s="414"/>
      <c r="AP357" s="414"/>
      <c r="AQ357" s="414"/>
      <c r="AR357" s="414"/>
      <c r="AS357" s="414"/>
      <c r="AT357" s="414"/>
      <c r="AU357" s="414"/>
      <c r="AV357" s="414"/>
      <c r="AW357" s="414"/>
      <c r="AX357" s="414"/>
      <c r="AY357" s="414"/>
      <c r="AZ357" s="414"/>
      <c r="BB357" s="168" t="s">
        <v>584</v>
      </c>
      <c r="BC357" s="45" t="s">
        <v>570</v>
      </c>
      <c r="BD357" s="49">
        <v>14.01</v>
      </c>
      <c r="BE357" s="177" t="s">
        <v>570</v>
      </c>
      <c r="BF357" s="47" t="s">
        <v>570</v>
      </c>
      <c r="BG357" s="54" t="s">
        <v>570</v>
      </c>
      <c r="BH357" s="55" t="s">
        <v>570</v>
      </c>
      <c r="BI357" s="58" t="s">
        <v>570</v>
      </c>
      <c r="BJ357" s="47" t="s">
        <v>570</v>
      </c>
      <c r="BK357" s="54" t="s">
        <v>570</v>
      </c>
      <c r="BL357" s="55" t="s">
        <v>570</v>
      </c>
      <c r="BM357" s="24"/>
      <c r="BN357" s="55"/>
      <c r="CD357" s="348"/>
      <c r="CE357" s="348"/>
      <c r="CF357" s="348"/>
      <c r="CG357" s="348"/>
      <c r="CH357" s="348"/>
      <c r="CI357" s="348"/>
      <c r="CJ357" s="348"/>
      <c r="CK357" s="348"/>
      <c r="CL357" s="25"/>
    </row>
    <row r="358" spans="36:90" ht="0.95" customHeight="1" thickBot="1" x14ac:dyDescent="0.3">
      <c r="AJ358" s="414"/>
      <c r="AK358" s="414"/>
      <c r="AL358" s="414"/>
      <c r="AM358" s="414"/>
      <c r="AN358" s="414"/>
      <c r="AO358" s="414"/>
      <c r="AP358" s="414"/>
      <c r="AQ358" s="414"/>
      <c r="AR358" s="414"/>
      <c r="AS358" s="414"/>
      <c r="AT358" s="414"/>
      <c r="AU358" s="414"/>
      <c r="AV358" s="414"/>
      <c r="AW358" s="414"/>
      <c r="AX358" s="414"/>
      <c r="AY358" s="414"/>
      <c r="AZ358" s="414"/>
      <c r="BB358" s="169" t="s">
        <v>585</v>
      </c>
      <c r="BC358" s="63" t="s">
        <v>570</v>
      </c>
      <c r="BD358" s="51">
        <v>1.008</v>
      </c>
      <c r="BE358" s="178" t="s">
        <v>570</v>
      </c>
      <c r="BF358" s="48" t="s">
        <v>570</v>
      </c>
      <c r="BG358" s="64" t="s">
        <v>570</v>
      </c>
      <c r="BH358" s="65" t="s">
        <v>570</v>
      </c>
      <c r="BI358" s="66" t="s">
        <v>570</v>
      </c>
      <c r="BJ358" s="48" t="s">
        <v>570</v>
      </c>
      <c r="BK358" s="64" t="s">
        <v>570</v>
      </c>
      <c r="BL358" s="65" t="s">
        <v>570</v>
      </c>
      <c r="BM358" s="7"/>
      <c r="BN358" s="65"/>
      <c r="CD358" s="348"/>
      <c r="CE358" s="348"/>
      <c r="CF358" s="348"/>
      <c r="CG358" s="348"/>
      <c r="CH358" s="348"/>
      <c r="CI358" s="348"/>
      <c r="CJ358" s="348"/>
      <c r="CK358" s="348"/>
      <c r="CL358" s="25"/>
    </row>
    <row r="359" spans="36:90" ht="0.95" customHeight="1" x14ac:dyDescent="0.25">
      <c r="AJ359" s="414"/>
      <c r="AK359" s="414"/>
      <c r="AL359" s="414"/>
      <c r="AM359" s="414"/>
      <c r="AN359" s="414"/>
      <c r="AO359" s="414"/>
      <c r="AP359" s="414"/>
      <c r="AQ359" s="414"/>
      <c r="AR359" s="414"/>
      <c r="AS359" s="414"/>
      <c r="AT359" s="414"/>
      <c r="AU359" s="414"/>
      <c r="AV359" s="414"/>
      <c r="AW359" s="414"/>
      <c r="AX359" s="414"/>
      <c r="AY359" s="414"/>
      <c r="AZ359" s="414"/>
      <c r="BB359" s="170" t="s">
        <v>586</v>
      </c>
      <c r="BC359" s="74" t="s">
        <v>99</v>
      </c>
      <c r="BD359" s="76">
        <v>28.09</v>
      </c>
      <c r="BE359" s="176">
        <v>0</v>
      </c>
      <c r="BF359" s="75">
        <v>4</v>
      </c>
      <c r="BG359" s="77"/>
      <c r="BH359" s="78"/>
      <c r="BI359" s="9"/>
      <c r="BJ359" s="75">
        <v>4</v>
      </c>
      <c r="BK359" s="77"/>
      <c r="BL359" s="78"/>
      <c r="BM359" s="77">
        <v>1.6836277008441886E-2</v>
      </c>
      <c r="BN359" s="78">
        <v>-185.39000000000001</v>
      </c>
      <c r="CD359" s="348" t="s">
        <v>607</v>
      </c>
      <c r="CE359" s="348"/>
      <c r="CF359" s="348"/>
      <c r="CG359" s="348"/>
      <c r="CH359" s="348"/>
      <c r="CI359" s="348"/>
      <c r="CJ359" s="348"/>
      <c r="CK359" s="348"/>
      <c r="CL359" s="25"/>
    </row>
    <row r="360" spans="36:90" ht="0.95" customHeight="1" x14ac:dyDescent="0.25">
      <c r="AJ360" s="414"/>
      <c r="AK360" s="414"/>
      <c r="AL360" s="414"/>
      <c r="AM360" s="414"/>
      <c r="AN360" s="414"/>
      <c r="AO360" s="414"/>
      <c r="AP360" s="414"/>
      <c r="AQ360" s="414"/>
      <c r="AR360" s="414"/>
      <c r="AS360" s="414"/>
      <c r="AT360" s="414"/>
      <c r="AU360" s="414"/>
      <c r="AV360" s="414"/>
      <c r="AW360" s="414"/>
      <c r="AX360" s="414"/>
      <c r="AY360" s="414"/>
      <c r="AZ360" s="414"/>
      <c r="BB360" s="167" t="s">
        <v>587</v>
      </c>
      <c r="BC360" s="44" t="s">
        <v>101</v>
      </c>
      <c r="BD360" s="50">
        <v>12.01</v>
      </c>
      <c r="BE360" s="173">
        <v>0</v>
      </c>
      <c r="BF360" s="38">
        <v>4</v>
      </c>
      <c r="BG360" s="28"/>
      <c r="BH360" s="29"/>
      <c r="BI360" s="18"/>
      <c r="BJ360" s="38">
        <v>4</v>
      </c>
      <c r="BK360" s="28"/>
      <c r="BL360" s="29"/>
      <c r="BM360" s="28">
        <v>1.8074999999999997E-2</v>
      </c>
      <c r="BN360" s="29">
        <v>-81.13</v>
      </c>
      <c r="CD360" s="348"/>
      <c r="CE360" s="348"/>
      <c r="CF360" s="348"/>
      <c r="CG360" s="348"/>
      <c r="CH360" s="348"/>
      <c r="CI360" s="348"/>
      <c r="CJ360" s="348"/>
      <c r="CK360" s="348"/>
      <c r="CL360" s="25"/>
    </row>
    <row r="361" spans="36:90" ht="0.95" customHeight="1" x14ac:dyDescent="0.25">
      <c r="AJ361" s="414"/>
      <c r="AK361" s="414"/>
      <c r="AL361" s="414"/>
      <c r="AM361" s="414"/>
      <c r="AN361" s="414"/>
      <c r="AO361" s="414"/>
      <c r="AP361" s="414"/>
      <c r="AQ361" s="414"/>
      <c r="AR361" s="414"/>
      <c r="AS361" s="414"/>
      <c r="AT361" s="414"/>
      <c r="AU361" s="414"/>
      <c r="AV361" s="414"/>
      <c r="AW361" s="414"/>
      <c r="AX361" s="414"/>
      <c r="AY361" s="414"/>
      <c r="AZ361" s="414"/>
      <c r="BB361" s="168" t="s">
        <v>588</v>
      </c>
      <c r="BC361" s="43" t="s">
        <v>103</v>
      </c>
      <c r="BD361" s="49">
        <v>63.55</v>
      </c>
      <c r="BE361" s="172">
        <v>0</v>
      </c>
      <c r="BF361" s="37">
        <v>2</v>
      </c>
      <c r="BG361" s="26"/>
      <c r="BH361" s="27"/>
      <c r="BI361" s="56"/>
      <c r="BJ361" s="37">
        <v>2</v>
      </c>
      <c r="BK361" s="26"/>
      <c r="BL361" s="27"/>
      <c r="BM361" s="26">
        <v>3.1766666666666672E-2</v>
      </c>
      <c r="BN361" s="27">
        <v>-127</v>
      </c>
      <c r="CD361" s="348"/>
      <c r="CE361" s="348"/>
      <c r="CF361" s="348"/>
      <c r="CG361" s="348"/>
      <c r="CH361" s="348"/>
      <c r="CI361" s="348"/>
      <c r="CJ361" s="348"/>
      <c r="CK361" s="348"/>
      <c r="CL361" s="25"/>
    </row>
    <row r="362" spans="36:90" ht="0.95" customHeight="1" x14ac:dyDescent="0.25">
      <c r="AJ362" s="414"/>
      <c r="AK362" s="414"/>
      <c r="AL362" s="414"/>
      <c r="AM362" s="414"/>
      <c r="AN362" s="414"/>
      <c r="AO362" s="414"/>
      <c r="AP362" s="414"/>
      <c r="AQ362" s="414"/>
      <c r="AR362" s="414"/>
      <c r="AS362" s="414"/>
      <c r="AT362" s="414"/>
      <c r="AU362" s="414"/>
      <c r="AV362" s="414"/>
      <c r="AW362" s="414"/>
      <c r="AX362" s="414"/>
      <c r="AY362" s="414"/>
      <c r="AZ362" s="414"/>
      <c r="BB362" s="167" t="s">
        <v>589</v>
      </c>
      <c r="BC362" s="44" t="s">
        <v>105</v>
      </c>
      <c r="BD362" s="50">
        <v>92.91</v>
      </c>
      <c r="BE362" s="173">
        <v>0</v>
      </c>
      <c r="BF362" s="38">
        <v>5</v>
      </c>
      <c r="BG362" s="28"/>
      <c r="BH362" s="29"/>
      <c r="BI362" s="18"/>
      <c r="BJ362" s="38">
        <v>5</v>
      </c>
      <c r="BK362" s="28"/>
      <c r="BL362" s="29"/>
      <c r="BM362" s="28">
        <v>2.1410506196110731E-2</v>
      </c>
      <c r="BN362" s="29">
        <v>-167.17521487066577</v>
      </c>
      <c r="CD362" s="348"/>
      <c r="CE362" s="348"/>
      <c r="CF362" s="348"/>
      <c r="CG362" s="348"/>
      <c r="CH362" s="348"/>
      <c r="CI362" s="348"/>
      <c r="CJ362" s="348"/>
      <c r="CK362" s="348"/>
      <c r="CL362" s="25"/>
    </row>
    <row r="363" spans="36:90" ht="0.95" customHeight="1" x14ac:dyDescent="0.25">
      <c r="AJ363" s="414"/>
      <c r="AK363" s="414"/>
      <c r="AL363" s="414"/>
      <c r="AM363" s="414"/>
      <c r="AN363" s="414"/>
      <c r="AO363" s="414"/>
      <c r="AP363" s="414"/>
      <c r="AQ363" s="414"/>
      <c r="AR363" s="414"/>
      <c r="AS363" s="414"/>
      <c r="AT363" s="414"/>
      <c r="AU363" s="414"/>
      <c r="AV363" s="414"/>
      <c r="AW363" s="414"/>
      <c r="AX363" s="414"/>
      <c r="AY363" s="414"/>
      <c r="AZ363" s="414"/>
      <c r="BB363" s="168" t="s">
        <v>590</v>
      </c>
      <c r="BC363" s="43" t="s">
        <v>107</v>
      </c>
      <c r="BD363" s="49">
        <v>50.94</v>
      </c>
      <c r="BE363" s="172">
        <v>0</v>
      </c>
      <c r="BF363" s="37">
        <v>3</v>
      </c>
      <c r="BG363" s="26"/>
      <c r="BH363" s="27"/>
      <c r="BI363" s="56"/>
      <c r="BJ363" s="37">
        <v>3</v>
      </c>
      <c r="BK363" s="26"/>
      <c r="BL363" s="27"/>
      <c r="BM363" s="26">
        <v>3.7427694065557376E-2</v>
      </c>
      <c r="BN363" s="27">
        <v>-189.93999999999997</v>
      </c>
      <c r="CD363" s="348"/>
      <c r="CE363" s="348"/>
      <c r="CF363" s="348"/>
      <c r="CG363" s="348"/>
      <c r="CH363" s="348"/>
      <c r="CI363" s="348"/>
      <c r="CJ363" s="348"/>
      <c r="CK363" s="348"/>
      <c r="CL363" s="25"/>
    </row>
    <row r="364" spans="36:90" ht="0.95" customHeight="1" x14ac:dyDescent="0.25">
      <c r="AJ364" s="414"/>
      <c r="AK364" s="414"/>
      <c r="AL364" s="414"/>
      <c r="AM364" s="414"/>
      <c r="AN364" s="414"/>
      <c r="AO364" s="414"/>
      <c r="AP364" s="414"/>
      <c r="AQ364" s="414"/>
      <c r="AR364" s="414"/>
      <c r="AS364" s="414"/>
      <c r="AT364" s="414"/>
      <c r="AU364" s="414"/>
      <c r="AV364" s="414"/>
      <c r="AW364" s="414"/>
      <c r="AX364" s="414"/>
      <c r="AY364" s="414"/>
      <c r="AZ364" s="414"/>
      <c r="BB364" s="167" t="s">
        <v>591</v>
      </c>
      <c r="BC364" s="44" t="s">
        <v>109</v>
      </c>
      <c r="BD364" s="50">
        <v>30.97</v>
      </c>
      <c r="BE364" s="46" t="s">
        <v>570</v>
      </c>
      <c r="BF364" s="38">
        <v>3</v>
      </c>
      <c r="BG364" s="28"/>
      <c r="BH364" s="29"/>
      <c r="BI364" s="18"/>
      <c r="BJ364" s="38">
        <v>3</v>
      </c>
      <c r="BK364" s="28"/>
      <c r="BL364" s="29"/>
      <c r="BM364" s="28"/>
      <c r="BN364" s="29"/>
      <c r="CD364" s="348"/>
      <c r="CE364" s="348"/>
      <c r="CF364" s="348"/>
      <c r="CG364" s="348"/>
      <c r="CH364" s="348"/>
      <c r="CI364" s="348"/>
      <c r="CJ364" s="348"/>
      <c r="CK364" s="348"/>
      <c r="CL364" s="25"/>
    </row>
    <row r="365" spans="36:90" ht="0.95" customHeight="1" x14ac:dyDescent="0.25">
      <c r="AJ365" s="414"/>
      <c r="AK365" s="414"/>
      <c r="AL365" s="414"/>
      <c r="AM365" s="414"/>
      <c r="AN365" s="414"/>
      <c r="AO365" s="414"/>
      <c r="AP365" s="414"/>
      <c r="AQ365" s="414"/>
      <c r="AR365" s="414"/>
      <c r="AS365" s="414"/>
      <c r="AT365" s="414"/>
      <c r="AU365" s="414"/>
      <c r="AV365" s="414"/>
      <c r="AW365" s="414"/>
      <c r="AX365" s="414"/>
      <c r="AY365" s="414"/>
      <c r="AZ365" s="414"/>
      <c r="BB365" s="168" t="s">
        <v>592</v>
      </c>
      <c r="BC365" s="43" t="s">
        <v>111</v>
      </c>
      <c r="BD365" s="49">
        <v>32.07</v>
      </c>
      <c r="BE365" s="172">
        <v>0</v>
      </c>
      <c r="BF365" s="37">
        <v>6</v>
      </c>
      <c r="BG365" s="26"/>
      <c r="BH365" s="27"/>
      <c r="BI365" s="56"/>
      <c r="BJ365" s="37">
        <v>6</v>
      </c>
      <c r="BK365" s="26"/>
      <c r="BL365" s="27"/>
      <c r="BM365" s="26">
        <v>3.327819451177156E-2</v>
      </c>
      <c r="BN365" s="27">
        <v>-86.61</v>
      </c>
      <c r="CD365" s="348"/>
      <c r="CE365" s="348"/>
      <c r="CF365" s="348"/>
      <c r="CG365" s="348"/>
      <c r="CH365" s="348"/>
      <c r="CI365" s="348"/>
      <c r="CJ365" s="348"/>
      <c r="CK365" s="348"/>
      <c r="CL365" s="25"/>
    </row>
    <row r="366" spans="36:90" ht="0.95" customHeight="1" x14ac:dyDescent="0.25">
      <c r="AJ366" s="414"/>
      <c r="AK366" s="414"/>
      <c r="AL366" s="414"/>
      <c r="AM366" s="414"/>
      <c r="AN366" s="414"/>
      <c r="AO366" s="414"/>
      <c r="AP366" s="414"/>
      <c r="AQ366" s="414"/>
      <c r="AR366" s="414"/>
      <c r="AS366" s="414"/>
      <c r="AT366" s="414"/>
      <c r="AU366" s="414"/>
      <c r="AV366" s="414"/>
      <c r="AW366" s="414"/>
      <c r="AX366" s="414"/>
      <c r="AY366" s="414"/>
      <c r="AZ366" s="414"/>
      <c r="BB366" s="167" t="s">
        <v>593</v>
      </c>
      <c r="BC366" s="44" t="s">
        <v>113</v>
      </c>
      <c r="BD366" s="50">
        <v>10.81</v>
      </c>
      <c r="BE366" s="173">
        <v>0</v>
      </c>
      <c r="BF366" s="38">
        <v>3</v>
      </c>
      <c r="BG366" s="28"/>
      <c r="BH366" s="29"/>
      <c r="BI366" s="18"/>
      <c r="BJ366" s="38">
        <v>3</v>
      </c>
      <c r="BK366" s="28"/>
      <c r="BL366" s="29"/>
      <c r="BM366" s="28">
        <v>9.9782608695652125E-3</v>
      </c>
      <c r="BN366" s="29">
        <v>-183</v>
      </c>
    </row>
    <row r="367" spans="36:90" ht="0.95" customHeight="1" x14ac:dyDescent="0.25">
      <c r="AJ367" s="414"/>
      <c r="AK367" s="414"/>
      <c r="AL367" s="414"/>
      <c r="AM367" s="414"/>
      <c r="AN367" s="414"/>
      <c r="AO367" s="414"/>
      <c r="AP367" s="414"/>
      <c r="AQ367" s="414"/>
      <c r="AR367" s="414"/>
      <c r="AS367" s="414"/>
      <c r="AT367" s="414"/>
      <c r="AU367" s="414"/>
      <c r="AV367" s="414"/>
      <c r="AW367" s="414"/>
      <c r="AX367" s="414"/>
      <c r="AY367" s="414"/>
      <c r="AZ367" s="414"/>
      <c r="BB367" s="168" t="s">
        <v>594</v>
      </c>
      <c r="BC367" s="43" t="s">
        <v>115</v>
      </c>
      <c r="BD367" s="49">
        <v>24.31</v>
      </c>
      <c r="BE367" s="172">
        <v>0</v>
      </c>
      <c r="BF367" s="37">
        <v>2</v>
      </c>
      <c r="BG367" s="26"/>
      <c r="BH367" s="27"/>
      <c r="BI367" s="56"/>
      <c r="BJ367" s="37">
        <v>2</v>
      </c>
      <c r="BK367" s="26"/>
      <c r="BL367" s="27"/>
      <c r="BM367" s="26">
        <v>3.6122279660476077E-2</v>
      </c>
      <c r="BN367" s="27">
        <v>-257.34700491416169</v>
      </c>
    </row>
    <row r="368" spans="36:90" ht="0.95" customHeight="1" x14ac:dyDescent="0.25">
      <c r="AJ368" s="414"/>
      <c r="AK368" s="414"/>
      <c r="AL368" s="414"/>
      <c r="AM368" s="414"/>
      <c r="AN368" s="414"/>
      <c r="AO368" s="414"/>
      <c r="AP368" s="414"/>
      <c r="AQ368" s="414"/>
      <c r="AR368" s="414"/>
      <c r="AS368" s="414"/>
      <c r="AT368" s="414"/>
      <c r="AU368" s="414"/>
      <c r="AV368" s="414"/>
      <c r="AW368" s="414"/>
      <c r="AX368" s="414"/>
      <c r="AY368" s="414"/>
      <c r="AZ368" s="414"/>
      <c r="BB368" s="167" t="s">
        <v>96</v>
      </c>
      <c r="BC368" s="44" t="s">
        <v>117</v>
      </c>
      <c r="BD368" s="50">
        <v>88.91</v>
      </c>
      <c r="BE368" s="173">
        <v>0</v>
      </c>
      <c r="BF368" s="38">
        <v>3</v>
      </c>
      <c r="BG368" s="28"/>
      <c r="BH368" s="29"/>
      <c r="BI368" s="18"/>
      <c r="BJ368" s="38">
        <v>3</v>
      </c>
      <c r="BK368" s="28"/>
      <c r="BL368" s="29"/>
      <c r="BM368" s="28">
        <v>3.4065311924063729E-2</v>
      </c>
      <c r="BN368" s="29">
        <v>-264.58</v>
      </c>
    </row>
    <row r="369" spans="21:67" ht="0.95" customHeight="1" thickBot="1" x14ac:dyDescent="0.3">
      <c r="AJ369" s="414"/>
      <c r="AK369" s="414"/>
      <c r="AL369" s="414"/>
      <c r="AM369" s="414"/>
      <c r="AN369" s="414"/>
      <c r="AO369" s="414"/>
      <c r="AP369" s="414"/>
      <c r="AQ369" s="414"/>
      <c r="AR369" s="414"/>
      <c r="AS369" s="414"/>
      <c r="AT369" s="414"/>
      <c r="AU369" s="414"/>
      <c r="AV369" s="414"/>
      <c r="AW369" s="414"/>
      <c r="AX369" s="414"/>
      <c r="AY369" s="414"/>
      <c r="AZ369" s="414"/>
      <c r="BB369" s="171" t="s">
        <v>595</v>
      </c>
      <c r="BC369" s="79" t="s">
        <v>596</v>
      </c>
      <c r="BD369" s="81">
        <v>118.7</v>
      </c>
      <c r="BE369" s="179" t="s">
        <v>570</v>
      </c>
      <c r="BF369" s="80">
        <v>4</v>
      </c>
      <c r="BG369" s="83"/>
      <c r="BH369" s="84"/>
      <c r="BI369" s="82"/>
      <c r="BJ369" s="80">
        <v>4</v>
      </c>
      <c r="BK369" s="83"/>
      <c r="BL369" s="84"/>
      <c r="BM369" s="83"/>
      <c r="BN369" s="84"/>
    </row>
    <row r="370" spans="21:67" ht="0.95" customHeight="1" x14ac:dyDescent="0.25">
      <c r="AJ370" s="414"/>
      <c r="AK370" s="414"/>
      <c r="AL370" s="414"/>
      <c r="AM370" s="414"/>
      <c r="AN370" s="414"/>
      <c r="AO370" s="414"/>
      <c r="AP370" s="414"/>
      <c r="AQ370" s="414"/>
      <c r="AR370" s="414"/>
      <c r="AS370" s="414"/>
      <c r="AT370" s="414"/>
      <c r="AU370" s="414"/>
      <c r="AV370" s="414"/>
      <c r="AW370" s="414"/>
      <c r="AX370" s="414"/>
      <c r="AY370" s="414"/>
      <c r="AZ370" s="414"/>
      <c r="BB370" s="182" t="s">
        <v>73</v>
      </c>
      <c r="BC370" s="188" t="s">
        <v>597</v>
      </c>
      <c r="BD370" s="192" t="s">
        <v>570</v>
      </c>
      <c r="BE370" s="175">
        <v>1</v>
      </c>
      <c r="BF370" s="184" t="s">
        <v>570</v>
      </c>
      <c r="BG370" s="183">
        <v>6.1899999999999998E-4</v>
      </c>
      <c r="BH370" s="185">
        <v>-5.097804</v>
      </c>
      <c r="BI370" s="186" t="s">
        <v>75</v>
      </c>
      <c r="BJ370" s="184" t="s">
        <v>570</v>
      </c>
      <c r="BK370" s="183">
        <v>6.1899999999999998E-4</v>
      </c>
      <c r="BL370" s="185">
        <v>-5.097804</v>
      </c>
      <c r="BM370" s="183"/>
      <c r="BN370" s="185"/>
    </row>
    <row r="371" spans="21:67" ht="0.95" customHeight="1" x14ac:dyDescent="0.25">
      <c r="AJ371" s="414"/>
      <c r="AK371" s="414"/>
      <c r="AL371" s="414"/>
      <c r="AM371" s="414"/>
      <c r="AN371" s="414"/>
      <c r="AO371" s="414"/>
      <c r="AP371" s="414"/>
      <c r="AQ371" s="414"/>
      <c r="AR371" s="414"/>
      <c r="AS371" s="414"/>
      <c r="AT371" s="414"/>
      <c r="AU371" s="414"/>
      <c r="AV371" s="414"/>
      <c r="AW371" s="414"/>
      <c r="AX371" s="414"/>
      <c r="AY371" s="414"/>
      <c r="AZ371" s="414"/>
      <c r="BB371" s="382" t="s">
        <v>76</v>
      </c>
      <c r="BC371" s="189" t="s">
        <v>77</v>
      </c>
      <c r="BD371" s="193" t="s">
        <v>570</v>
      </c>
      <c r="BE371" s="172">
        <v>1</v>
      </c>
      <c r="BF371" s="47" t="s">
        <v>570</v>
      </c>
      <c r="BG371" s="26">
        <v>7.2199999999999999E-4</v>
      </c>
      <c r="BH371" s="27">
        <v>-4.6747199999999998</v>
      </c>
      <c r="BI371" s="56">
        <v>5.0000000000000001E-3</v>
      </c>
      <c r="BJ371" s="47" t="s">
        <v>570</v>
      </c>
      <c r="BK371" s="26">
        <v>7.2199999999999999E-4</v>
      </c>
      <c r="BL371" s="27">
        <v>-4.6747199999999998</v>
      </c>
      <c r="BM371" s="26"/>
      <c r="BN371" s="27"/>
    </row>
    <row r="372" spans="21:67" ht="0.95" customHeight="1" x14ac:dyDescent="0.25">
      <c r="AJ372" s="414"/>
      <c r="AK372" s="414"/>
      <c r="AL372" s="414"/>
      <c r="AM372" s="414"/>
      <c r="AN372" s="414"/>
      <c r="AO372" s="414"/>
      <c r="AP372" s="414"/>
      <c r="AQ372" s="414"/>
      <c r="AR372" s="414"/>
      <c r="AS372" s="414"/>
      <c r="AT372" s="414"/>
      <c r="AU372" s="414"/>
      <c r="AV372" s="414"/>
      <c r="AW372" s="414"/>
      <c r="AX372" s="414"/>
      <c r="AY372" s="414"/>
      <c r="AZ372" s="414"/>
      <c r="BB372" s="382"/>
      <c r="BC372" s="190" t="s">
        <v>78</v>
      </c>
      <c r="BD372" s="194" t="s">
        <v>570</v>
      </c>
      <c r="BE372" s="173">
        <v>1</v>
      </c>
      <c r="BF372" s="73" t="s">
        <v>570</v>
      </c>
      <c r="BG372" s="28">
        <v>9.5600000000000004E-4</v>
      </c>
      <c r="BH372" s="29">
        <v>-4.651249</v>
      </c>
      <c r="BI372" s="18">
        <v>0.05</v>
      </c>
      <c r="BJ372" s="46" t="s">
        <v>570</v>
      </c>
      <c r="BK372" s="28">
        <v>9.5600000000000004E-4</v>
      </c>
      <c r="BL372" s="29">
        <v>-4.651249</v>
      </c>
      <c r="BM372" s="28"/>
      <c r="BN372" s="29"/>
    </row>
    <row r="373" spans="21:67" ht="0.95" customHeight="1" x14ac:dyDescent="0.25">
      <c r="AJ373" s="414"/>
      <c r="AK373" s="414"/>
      <c r="AL373" s="414"/>
      <c r="AM373" s="414"/>
      <c r="AN373" s="414"/>
      <c r="AO373" s="414"/>
      <c r="AP373" s="414"/>
      <c r="AQ373" s="414"/>
      <c r="AR373" s="414"/>
      <c r="AS373" s="414"/>
      <c r="AT373" s="414"/>
      <c r="AU373" s="414"/>
      <c r="AV373" s="414"/>
      <c r="AW373" s="414"/>
      <c r="AX373" s="414"/>
      <c r="AY373" s="414"/>
      <c r="AZ373" s="414"/>
      <c r="BB373" s="168" t="s">
        <v>79</v>
      </c>
      <c r="BC373" s="189" t="s">
        <v>80</v>
      </c>
      <c r="BD373" s="193" t="s">
        <v>570</v>
      </c>
      <c r="BE373" s="172">
        <v>1</v>
      </c>
      <c r="BF373" s="47" t="s">
        <v>570</v>
      </c>
      <c r="BG373" s="26">
        <v>-8.1999999999999998E-4</v>
      </c>
      <c r="BH373" s="27">
        <v>-3.0914109999999999</v>
      </c>
      <c r="BI373" s="56"/>
      <c r="BJ373" s="46" t="s">
        <v>570</v>
      </c>
      <c r="BK373" s="26">
        <v>-8.1999999999999998E-4</v>
      </c>
      <c r="BL373" s="27">
        <v>-3.0914109999999999</v>
      </c>
      <c r="BM373" s="26"/>
      <c r="BN373" s="27"/>
    </row>
    <row r="374" spans="21:67" ht="0.95" customHeight="1" x14ac:dyDescent="0.25">
      <c r="U374" s="25"/>
      <c r="V374" s="25"/>
      <c r="W374" s="25"/>
      <c r="X374" s="25"/>
      <c r="Y374" s="25"/>
      <c r="Z374" s="25"/>
      <c r="AA374" s="25"/>
      <c r="AB374" s="25"/>
      <c r="AC374" s="25"/>
      <c r="AD374" s="25"/>
      <c r="AE374" s="25"/>
      <c r="AF374" s="25"/>
      <c r="AG374" s="25"/>
      <c r="AH374" s="25"/>
      <c r="AI374" s="25"/>
      <c r="AJ374" s="414"/>
      <c r="AK374" s="414"/>
      <c r="AL374" s="414"/>
      <c r="AM374" s="414"/>
      <c r="AN374" s="414"/>
      <c r="AO374" s="414"/>
      <c r="AP374" s="414"/>
      <c r="AQ374" s="414"/>
      <c r="AR374" s="414"/>
      <c r="AS374" s="414"/>
      <c r="AT374" s="414"/>
      <c r="AU374" s="414"/>
      <c r="AV374" s="414"/>
      <c r="AW374" s="414"/>
      <c r="AX374" s="414"/>
      <c r="AY374" s="414"/>
      <c r="AZ374" s="414"/>
      <c r="BB374" s="167" t="s">
        <v>81</v>
      </c>
      <c r="BC374" s="190" t="s">
        <v>598</v>
      </c>
      <c r="BD374" s="194" t="s">
        <v>570</v>
      </c>
      <c r="BE374" s="173">
        <v>1</v>
      </c>
      <c r="BF374" s="73" t="s">
        <v>570</v>
      </c>
      <c r="BG374" s="28">
        <v>7.4100000000000001E-4</v>
      </c>
      <c r="BH374" s="29">
        <v>-5.422714</v>
      </c>
      <c r="BI374" s="18" t="s">
        <v>83</v>
      </c>
      <c r="BJ374" s="47" t="s">
        <v>570</v>
      </c>
      <c r="BK374" s="28">
        <v>7.4100000000000001E-4</v>
      </c>
      <c r="BL374" s="29">
        <v>-5.422714</v>
      </c>
      <c r="BM374" s="28"/>
      <c r="BN374" s="29"/>
    </row>
    <row r="375" spans="21:67" ht="0.95" customHeight="1" x14ac:dyDescent="0.25">
      <c r="AJ375" s="414"/>
      <c r="AK375" s="414"/>
      <c r="AL375" s="414"/>
      <c r="AM375" s="414"/>
      <c r="AN375" s="414"/>
      <c r="AO375" s="414"/>
      <c r="AP375" s="414"/>
      <c r="AQ375" s="414"/>
      <c r="AR375" s="414"/>
      <c r="AS375" s="414"/>
      <c r="AT375" s="414"/>
      <c r="AU375" s="414"/>
      <c r="AV375" s="414"/>
      <c r="AW375" s="414"/>
      <c r="AX375" s="414"/>
      <c r="AY375" s="414"/>
      <c r="AZ375" s="414"/>
      <c r="BB375" s="382" t="s">
        <v>84</v>
      </c>
      <c r="BC375" s="189" t="s">
        <v>599</v>
      </c>
      <c r="BD375" s="193" t="s">
        <v>570</v>
      </c>
      <c r="BE375" s="172">
        <v>1</v>
      </c>
      <c r="BF375" s="47" t="s">
        <v>570</v>
      </c>
      <c r="BG375" s="26">
        <v>6.1899999999999998E-4</v>
      </c>
      <c r="BH375" s="27">
        <v>-6.0259479999999996</v>
      </c>
      <c r="BI375" s="56" t="s">
        <v>75</v>
      </c>
      <c r="BJ375" s="46" t="s">
        <v>570</v>
      </c>
      <c r="BK375" s="26">
        <v>6.1899999999999998E-4</v>
      </c>
      <c r="BL375" s="27">
        <v>-6.0259479999999996</v>
      </c>
      <c r="BM375" s="26"/>
      <c r="BN375" s="27"/>
    </row>
    <row r="376" spans="21:67" ht="0.95" customHeight="1" x14ac:dyDescent="0.25">
      <c r="AJ376" s="414"/>
      <c r="AK376" s="414"/>
      <c r="AL376" s="414"/>
      <c r="AM376" s="414"/>
      <c r="AN376" s="414"/>
      <c r="AO376" s="414"/>
      <c r="AP376" s="414"/>
      <c r="AQ376" s="414"/>
      <c r="AR376" s="414"/>
      <c r="AS376" s="414"/>
      <c r="AT376" s="414"/>
      <c r="AU376" s="414"/>
      <c r="AV376" s="414"/>
      <c r="AW376" s="414"/>
      <c r="AX376" s="414"/>
      <c r="AY376" s="414"/>
      <c r="AZ376" s="414"/>
      <c r="BB376" s="382"/>
      <c r="BC376" s="190" t="s">
        <v>600</v>
      </c>
      <c r="BD376" s="194" t="s">
        <v>570</v>
      </c>
      <c r="BE376" s="173">
        <v>1</v>
      </c>
      <c r="BF376" s="73" t="s">
        <v>570</v>
      </c>
      <c r="BG376" s="28">
        <v>7.0100000000000002E-4</v>
      </c>
      <c r="BH376" s="29">
        <v>-5.9395930000000003</v>
      </c>
      <c r="BI376" s="18" t="s">
        <v>83</v>
      </c>
      <c r="BJ376" s="46" t="s">
        <v>570</v>
      </c>
      <c r="BK376" s="28">
        <v>7.0100000000000002E-4</v>
      </c>
      <c r="BL376" s="29">
        <v>-5.9395930000000003</v>
      </c>
      <c r="BM376" s="28"/>
      <c r="BN376" s="29"/>
    </row>
    <row r="377" spans="21:67" ht="0.95" customHeight="1" x14ac:dyDescent="0.25">
      <c r="Y377" s="25"/>
      <c r="AJ377" s="414"/>
      <c r="AK377" s="414"/>
      <c r="AL377" s="414"/>
      <c r="AM377" s="414"/>
      <c r="AN377" s="414"/>
      <c r="AO377" s="414"/>
      <c r="AP377" s="414"/>
      <c r="AQ377" s="414"/>
      <c r="AR377" s="414"/>
      <c r="AS377" s="414"/>
      <c r="AT377" s="414"/>
      <c r="AU377" s="414"/>
      <c r="AV377" s="414"/>
      <c r="AW377" s="414"/>
      <c r="AX377" s="414"/>
      <c r="AY377" s="414"/>
      <c r="AZ377" s="414"/>
      <c r="BB377" s="382"/>
      <c r="BC377" s="189" t="s">
        <v>87</v>
      </c>
      <c r="BD377" s="193" t="s">
        <v>570</v>
      </c>
      <c r="BE377" s="172">
        <v>1</v>
      </c>
      <c r="BF377" s="47" t="s">
        <v>570</v>
      </c>
      <c r="BG377" s="26">
        <v>7.4100000000000001E-4</v>
      </c>
      <c r="BH377" s="27">
        <v>-5.9197199999999999</v>
      </c>
      <c r="BI377" s="56" t="s">
        <v>88</v>
      </c>
      <c r="BJ377" s="47" t="s">
        <v>570</v>
      </c>
      <c r="BK377" s="26">
        <v>7.4100000000000001E-4</v>
      </c>
      <c r="BL377" s="27">
        <v>-5.9197199999999999</v>
      </c>
      <c r="BM377" s="26"/>
      <c r="BN377" s="27"/>
    </row>
    <row r="378" spans="21:67" ht="0.95" customHeight="1" thickBot="1" x14ac:dyDescent="0.3">
      <c r="Y378" s="25"/>
      <c r="AJ378" s="414"/>
      <c r="AK378" s="414"/>
      <c r="AL378" s="414"/>
      <c r="AM378" s="414"/>
      <c r="AN378" s="414"/>
      <c r="AO378" s="414"/>
      <c r="AP378" s="414"/>
      <c r="AQ378" s="414"/>
      <c r="AR378" s="414"/>
      <c r="AS378" s="414"/>
      <c r="AT378" s="414"/>
      <c r="AU378" s="414"/>
      <c r="AV378" s="414"/>
      <c r="AW378" s="414"/>
      <c r="AX378" s="414"/>
      <c r="AY378" s="414"/>
      <c r="AZ378" s="414"/>
      <c r="BB378" s="169" t="s">
        <v>89</v>
      </c>
      <c r="BC378" s="191" t="s">
        <v>601</v>
      </c>
      <c r="BD378" s="195" t="s">
        <v>570</v>
      </c>
      <c r="BE378" s="174">
        <v>1</v>
      </c>
      <c r="BF378" s="187" t="s">
        <v>570</v>
      </c>
      <c r="BG378" s="30">
        <v>6.6100000000000002E-4</v>
      </c>
      <c r="BH378" s="31">
        <v>-5.4864129999999998</v>
      </c>
      <c r="BI378" s="20" t="s">
        <v>83</v>
      </c>
      <c r="BJ378" s="48" t="s">
        <v>570</v>
      </c>
      <c r="BK378" s="30">
        <v>6.6100000000000002E-4</v>
      </c>
      <c r="BL378" s="31">
        <v>-5.4864129999999998</v>
      </c>
      <c r="BM378" s="30"/>
      <c r="BN378" s="31"/>
    </row>
    <row r="379" spans="21:67" ht="0.95" customHeight="1" x14ac:dyDescent="0.25">
      <c r="Y379" s="25"/>
      <c r="AJ379" s="414"/>
      <c r="AK379" s="414"/>
      <c r="AL379" s="414"/>
      <c r="AM379" s="414"/>
      <c r="AN379" s="414"/>
      <c r="AO379" s="414"/>
      <c r="AP379" s="414"/>
      <c r="AQ379" s="414"/>
      <c r="AR379" s="414"/>
      <c r="AS379" s="414"/>
      <c r="AT379" s="414"/>
      <c r="AU379" s="414"/>
      <c r="AV379" s="414"/>
      <c r="AW379" s="414"/>
      <c r="AX379" s="414"/>
      <c r="AY379" s="414"/>
      <c r="AZ379" s="414"/>
      <c r="BI379" s="129"/>
    </row>
    <row r="380" spans="21:67" ht="0.95" customHeight="1" x14ac:dyDescent="0.25">
      <c r="Y380" s="25"/>
      <c r="AJ380" s="414"/>
      <c r="AK380" s="414"/>
      <c r="AL380" s="414"/>
      <c r="AM380" s="414"/>
      <c r="AN380" s="414"/>
      <c r="AO380" s="414"/>
      <c r="AP380" s="414"/>
      <c r="AQ380" s="414"/>
      <c r="AR380" s="414"/>
      <c r="AS380" s="414"/>
      <c r="AT380" s="414"/>
      <c r="AU380" s="414"/>
      <c r="AV380" s="414"/>
      <c r="AW380" s="414"/>
      <c r="AX380" s="414"/>
      <c r="AY380" s="414"/>
      <c r="AZ380" s="414"/>
    </row>
    <row r="381" spans="21:67" ht="0.95" customHeight="1" x14ac:dyDescent="0.25">
      <c r="Y381" s="25"/>
    </row>
    <row r="382" spans="21:67" x14ac:dyDescent="0.25">
      <c r="Y382" s="25"/>
    </row>
    <row r="383" spans="21:67" x14ac:dyDescent="0.25">
      <c r="Y383" s="25"/>
      <c r="BD383" s="33"/>
      <c r="BE383" s="25"/>
      <c r="BF383" s="25"/>
      <c r="BG383" s="129"/>
      <c r="BH383" s="129"/>
      <c r="BJ383" s="129"/>
      <c r="BK383" s="129"/>
      <c r="BL383" s="129"/>
    </row>
    <row r="384" spans="21:67" x14ac:dyDescent="0.25">
      <c r="Y384" s="25"/>
      <c r="BD384" s="33"/>
      <c r="BE384" s="32"/>
      <c r="BF384" s="32"/>
      <c r="BG384" s="32"/>
      <c r="BH384" s="32"/>
      <c r="BI384" s="32"/>
      <c r="BJ384" s="163"/>
      <c r="BK384" s="163"/>
      <c r="BL384" s="163"/>
      <c r="BM384" s="32"/>
      <c r="BN384" s="32"/>
      <c r="BO384" s="163"/>
    </row>
    <row r="385" spans="25:67" x14ac:dyDescent="0.25">
      <c r="Y385" s="25"/>
      <c r="BD385" s="33"/>
      <c r="BE385" s="32"/>
      <c r="BF385" s="32"/>
      <c r="BG385" s="32"/>
      <c r="BH385" s="32"/>
      <c r="BI385" s="32"/>
      <c r="BJ385" s="163"/>
      <c r="BK385" s="163"/>
      <c r="BL385" s="163"/>
      <c r="BM385" s="32"/>
      <c r="BN385" s="32"/>
    </row>
    <row r="386" spans="25:67" x14ac:dyDescent="0.25">
      <c r="Y386" s="25"/>
      <c r="BD386" s="33"/>
      <c r="BE386" s="32"/>
      <c r="BF386" s="32"/>
      <c r="BG386" s="32"/>
      <c r="BH386" s="32"/>
      <c r="BI386" s="32"/>
      <c r="BJ386" s="163"/>
      <c r="BK386" s="163"/>
      <c r="BL386" s="163"/>
      <c r="BM386" s="32"/>
      <c r="BN386" s="32"/>
      <c r="BO386" s="163"/>
    </row>
    <row r="387" spans="25:67" x14ac:dyDescent="0.25">
      <c r="Y387" s="25"/>
      <c r="BD387" s="33"/>
      <c r="BE387" s="32"/>
      <c r="BF387" s="32"/>
      <c r="BG387" s="32"/>
      <c r="BH387" s="32"/>
      <c r="BI387" s="32"/>
      <c r="BJ387" s="163"/>
      <c r="BK387" s="163"/>
      <c r="BL387" s="163"/>
      <c r="BM387" s="32"/>
      <c r="BN387" s="32"/>
      <c r="BO387" s="163"/>
    </row>
    <row r="388" spans="25:67" x14ac:dyDescent="0.25">
      <c r="Y388" s="25"/>
      <c r="BD388" s="33"/>
      <c r="BE388" s="32"/>
      <c r="BF388" s="32"/>
      <c r="BG388" s="32"/>
      <c r="BH388" s="32"/>
      <c r="BI388" s="32"/>
      <c r="BJ388" s="163"/>
      <c r="BK388" s="163"/>
      <c r="BL388" s="163"/>
      <c r="BM388" s="32"/>
      <c r="BN388" s="32"/>
      <c r="BO388" s="163"/>
    </row>
    <row r="389" spans="25:67" ht="21" customHeight="1" x14ac:dyDescent="0.35">
      <c r="Y389" s="25"/>
      <c r="BD389" s="33"/>
      <c r="BE389" s="32"/>
      <c r="BF389" s="32"/>
      <c r="BG389" s="32"/>
      <c r="BH389" s="32"/>
      <c r="BI389" s="32"/>
      <c r="BJ389" s="163"/>
      <c r="BK389" s="349">
        <v>4184</v>
      </c>
      <c r="BL389" s="197"/>
      <c r="BM389" s="347">
        <v>273.14999999999998</v>
      </c>
      <c r="BN389" s="347"/>
      <c r="BO389" s="163"/>
    </row>
    <row r="390" spans="25:67" ht="21" customHeight="1" x14ac:dyDescent="0.35">
      <c r="Y390" s="25"/>
      <c r="BD390" s="33"/>
      <c r="BE390" s="363">
        <f>9.648533212331*10^4</f>
        <v>96485.33212331</v>
      </c>
      <c r="BF390" s="363"/>
      <c r="BG390" s="363"/>
      <c r="BH390" s="363"/>
      <c r="BI390" s="164"/>
      <c r="BJ390" s="163"/>
      <c r="BK390" s="349"/>
      <c r="BL390" s="197"/>
      <c r="BM390" s="347"/>
      <c r="BN390" s="347"/>
      <c r="BO390" s="163"/>
    </row>
    <row r="391" spans="25:67" x14ac:dyDescent="0.25">
      <c r="Y391" s="25"/>
      <c r="BG391" s="129"/>
      <c r="BH391" s="129"/>
      <c r="BI391" s="129"/>
      <c r="BJ391" s="129"/>
      <c r="BK391" s="129"/>
      <c r="BL391" s="129"/>
      <c r="BM391" s="129"/>
      <c r="BN391" s="129"/>
    </row>
    <row r="392" spans="25:67" ht="16.5" thickBot="1" x14ac:dyDescent="0.3">
      <c r="Y392" s="25"/>
    </row>
    <row r="393" spans="25:67" x14ac:dyDescent="0.25">
      <c r="Y393" s="25"/>
      <c r="BH393" s="319" t="s">
        <v>609</v>
      </c>
      <c r="BI393" s="320"/>
      <c r="BJ393" s="320"/>
      <c r="BK393" s="320"/>
      <c r="BL393" s="321"/>
    </row>
    <row r="394" spans="25:67" ht="16.5" thickBot="1" x14ac:dyDescent="0.3">
      <c r="Y394" s="25"/>
      <c r="BH394" s="322"/>
      <c r="BI394" s="323"/>
      <c r="BJ394" s="323"/>
      <c r="BK394" s="323"/>
      <c r="BL394" s="324"/>
    </row>
    <row r="395" spans="25:67" ht="16.5" thickBot="1" x14ac:dyDescent="0.3">
      <c r="Y395" s="25"/>
      <c r="BH395" s="85" t="s">
        <v>43</v>
      </c>
      <c r="BI395" s="87" t="s">
        <v>44</v>
      </c>
      <c r="BJ395" s="94" t="s">
        <v>45</v>
      </c>
      <c r="BK395" s="86" t="s">
        <v>46</v>
      </c>
      <c r="BL395" s="96" t="s">
        <v>97</v>
      </c>
    </row>
    <row r="396" spans="25:67" x14ac:dyDescent="0.25">
      <c r="Y396" s="25"/>
      <c r="BH396" s="170" t="s">
        <v>48</v>
      </c>
      <c r="BI396" s="216" t="s">
        <v>49</v>
      </c>
      <c r="BJ396" s="223">
        <f>'∆G Ellingham Diagram coeff.'!G7</f>
        <v>3.5748349526789312E-2</v>
      </c>
      <c r="BK396" s="223">
        <f>'∆G Ellingham Diagram coeff.'!H7</f>
        <v>-156.53674406773703</v>
      </c>
      <c r="BL396" s="75">
        <v>2</v>
      </c>
    </row>
    <row r="397" spans="25:67" x14ac:dyDescent="0.25">
      <c r="Y397" s="25"/>
      <c r="BH397" s="167" t="s">
        <v>50</v>
      </c>
      <c r="BI397" s="15" t="s">
        <v>603</v>
      </c>
      <c r="BJ397" s="224">
        <f>'∆G Ellingham Diagram coeff.'!G8</f>
        <v>3.4303053178468365E-2</v>
      </c>
      <c r="BK397" s="225">
        <f>'∆G Ellingham Diagram coeff.'!H8</f>
        <v>-183.1222353891948</v>
      </c>
      <c r="BL397" s="38">
        <v>3</v>
      </c>
    </row>
    <row r="398" spans="25:67" x14ac:dyDescent="0.25">
      <c r="Y398" s="25"/>
      <c r="BH398" s="168" t="s">
        <v>55</v>
      </c>
      <c r="BI398" s="17" t="s">
        <v>604</v>
      </c>
      <c r="BJ398" s="26">
        <f>'∆G Ellingham Diagram coeff.'!G9</f>
        <v>1.962359140397963E-2</v>
      </c>
      <c r="BK398" s="39">
        <f>'∆G Ellingham Diagram coeff.'!H9</f>
        <v>-134.05365128809225</v>
      </c>
      <c r="BL398" s="37">
        <v>6</v>
      </c>
    </row>
    <row r="399" spans="25:67" x14ac:dyDescent="0.25">
      <c r="Y399" s="25"/>
      <c r="BH399" s="167" t="s">
        <v>58</v>
      </c>
      <c r="BI399" s="15" t="s">
        <v>605</v>
      </c>
      <c r="BJ399" s="224">
        <f>'∆G Ellingham Diagram coeff.'!G10</f>
        <v>3.192682668228447E-2</v>
      </c>
      <c r="BK399" s="225">
        <f>'∆G Ellingham Diagram coeff.'!H10</f>
        <v>-167.09965244641546</v>
      </c>
      <c r="BL399" s="38">
        <v>2</v>
      </c>
    </row>
    <row r="400" spans="25:67" x14ac:dyDescent="0.25">
      <c r="Y400" s="25"/>
      <c r="BH400" s="168" t="s">
        <v>61</v>
      </c>
      <c r="BI400" s="17" t="s">
        <v>62</v>
      </c>
      <c r="BJ400" s="26"/>
      <c r="BK400" s="39"/>
      <c r="BL400" s="37">
        <v>6</v>
      </c>
    </row>
    <row r="401" spans="25:68" x14ac:dyDescent="0.25">
      <c r="Y401" s="25"/>
      <c r="BH401" s="167" t="s">
        <v>63</v>
      </c>
      <c r="BI401" s="15" t="s">
        <v>64</v>
      </c>
      <c r="BJ401" s="224">
        <f>'∆G Ellingham Diagram coeff.'!G12</f>
        <v>3.3738355463305399E-2</v>
      </c>
      <c r="BK401" s="225">
        <f>'∆G Ellingham Diagram coeff.'!H12</f>
        <v>-158.01838747727737</v>
      </c>
      <c r="BL401" s="38">
        <v>2</v>
      </c>
      <c r="BP401" s="129">
        <f>BK399+(273.15+700)*BJ399</f>
        <v>-136.03006106055034</v>
      </c>
    </row>
    <row r="402" spans="25:68" x14ac:dyDescent="0.25">
      <c r="Y402" s="25"/>
      <c r="BB402" s="226"/>
      <c r="BH402" s="168" t="s">
        <v>65</v>
      </c>
      <c r="BI402" s="17" t="s">
        <v>66</v>
      </c>
      <c r="BJ402" s="26">
        <f>'∆G Ellingham Diagram coeff.'!G13</f>
        <v>3.2513858924180176E-2</v>
      </c>
      <c r="BK402" s="39">
        <f>'∆G Ellingham Diagram coeff.'!H13</f>
        <v>-189.54130043681445</v>
      </c>
      <c r="BL402" s="37">
        <v>2</v>
      </c>
    </row>
    <row r="403" spans="25:68" x14ac:dyDescent="0.25">
      <c r="Y403" s="25"/>
      <c r="BH403" s="167" t="s">
        <v>67</v>
      </c>
      <c r="BI403" s="15" t="s">
        <v>68</v>
      </c>
      <c r="BJ403" s="224">
        <f>'∆G Ellingham Diagram coeff.'!G14</f>
        <v>4.0663111333486303E-2</v>
      </c>
      <c r="BK403" s="225">
        <f>'∆G Ellingham Diagram coeff.'!H14</f>
        <v>-218.83548497407347</v>
      </c>
      <c r="BL403" s="38">
        <v>3</v>
      </c>
    </row>
    <row r="404" spans="25:68" x14ac:dyDescent="0.25">
      <c r="Y404" s="25"/>
      <c r="BH404" s="168" t="s">
        <v>69</v>
      </c>
      <c r="BI404" s="17" t="s">
        <v>70</v>
      </c>
      <c r="BJ404" s="26">
        <f>'∆G Ellingham Diagram coeff.'!G15</f>
        <v>1.2211536959732977E-2</v>
      </c>
      <c r="BK404" s="39">
        <f>'∆G Ellingham Diagram coeff.'!H15</f>
        <v>-173.76611662540708</v>
      </c>
      <c r="BL404" s="37">
        <v>4</v>
      </c>
    </row>
    <row r="405" spans="25:68" x14ac:dyDescent="0.25">
      <c r="Y405" s="25"/>
      <c r="BH405" s="167" t="s">
        <v>98</v>
      </c>
      <c r="BI405" s="15" t="s">
        <v>99</v>
      </c>
      <c r="BJ405" s="224">
        <f>'∆G Ellingham Diagram coeff.'!G16</f>
        <v>1.6867496423165443E-2</v>
      </c>
      <c r="BK405" s="225">
        <f>'∆G Ellingham Diagram coeff.'!H16</f>
        <v>-185.44798556825015</v>
      </c>
      <c r="BL405" s="38">
        <v>4</v>
      </c>
    </row>
    <row r="406" spans="25:68" x14ac:dyDescent="0.25">
      <c r="Y406" s="25"/>
      <c r="BH406" s="168" t="s">
        <v>100</v>
      </c>
      <c r="BI406" s="17" t="s">
        <v>101</v>
      </c>
      <c r="BJ406" s="26">
        <f>'∆G Ellingham Diagram coeff.'!G17</f>
        <v>1.8052809068205222E-2</v>
      </c>
      <c r="BK406" s="39">
        <f>'∆G Ellingham Diagram coeff.'!H17</f>
        <v>-81.097762731934267</v>
      </c>
      <c r="BL406" s="37">
        <v>4</v>
      </c>
    </row>
    <row r="407" spans="25:68" x14ac:dyDescent="0.25">
      <c r="Y407" s="25"/>
      <c r="BH407" s="167" t="s">
        <v>102</v>
      </c>
      <c r="BI407" s="15" t="s">
        <v>103</v>
      </c>
      <c r="BJ407" s="224">
        <f>'∆G Ellingham Diagram coeff.'!G18</f>
        <v>3.1636051027390984E-2</v>
      </c>
      <c r="BK407" s="225">
        <f>'∆G Ellingham Diagram coeff.'!H18</f>
        <v>-127.00677234300538</v>
      </c>
      <c r="BL407" s="38">
        <v>2</v>
      </c>
    </row>
    <row r="408" spans="25:68" x14ac:dyDescent="0.25">
      <c r="Y408" s="25"/>
      <c r="BH408" s="168" t="s">
        <v>104</v>
      </c>
      <c r="BI408" s="17" t="s">
        <v>105</v>
      </c>
      <c r="BJ408" s="26">
        <f>'∆G Ellingham Diagram coeff.'!G19</f>
        <v>2.1402179474876888E-2</v>
      </c>
      <c r="BK408" s="39">
        <f>'∆G Ellingham Diagram coeff.'!H19</f>
        <v>-167.24075728239904</v>
      </c>
      <c r="BL408" s="37">
        <v>5</v>
      </c>
    </row>
    <row r="409" spans="25:68" x14ac:dyDescent="0.25">
      <c r="Y409" s="25"/>
      <c r="BH409" s="167" t="s">
        <v>106</v>
      </c>
      <c r="BI409" s="15" t="s">
        <v>107</v>
      </c>
      <c r="BJ409" s="224">
        <f>'∆G Ellingham Diagram coeff.'!G20</f>
        <v>3.7455444301479124E-2</v>
      </c>
      <c r="BK409" s="225">
        <f>'∆G Ellingham Diagram coeff.'!H20</f>
        <v>-189.98086932942928</v>
      </c>
      <c r="BL409" s="38">
        <v>3</v>
      </c>
    </row>
    <row r="410" spans="25:68" x14ac:dyDescent="0.25">
      <c r="BH410" s="168" t="s">
        <v>108</v>
      </c>
      <c r="BI410" s="17" t="s">
        <v>109</v>
      </c>
      <c r="BJ410" s="26"/>
      <c r="BK410" s="39"/>
      <c r="BL410" s="37">
        <v>3</v>
      </c>
    </row>
    <row r="411" spans="25:68" x14ac:dyDescent="0.25">
      <c r="BH411" s="167" t="s">
        <v>110</v>
      </c>
      <c r="BI411" s="15" t="s">
        <v>111</v>
      </c>
      <c r="BJ411" s="224">
        <f>'∆G Ellingham Diagram coeff.'!G22</f>
        <v>3.3297208834101095E-2</v>
      </c>
      <c r="BK411" s="225">
        <f>'∆G Ellingham Diagram coeff.'!H22</f>
        <v>-86.635598316295898</v>
      </c>
      <c r="BL411" s="38">
        <v>6</v>
      </c>
    </row>
    <row r="412" spans="25:68" x14ac:dyDescent="0.25">
      <c r="BH412" s="168" t="s">
        <v>112</v>
      </c>
      <c r="BI412" s="17" t="s">
        <v>113</v>
      </c>
      <c r="BJ412" s="26">
        <f>'∆G Ellingham Diagram coeff.'!G23</f>
        <v>1.0000601129887087E-2</v>
      </c>
      <c r="BK412" s="39">
        <f>'∆G Ellingham Diagram coeff.'!H23</f>
        <v>-182.94135468873995</v>
      </c>
      <c r="BL412" s="37">
        <v>3</v>
      </c>
    </row>
    <row r="413" spans="25:68" x14ac:dyDescent="0.25">
      <c r="BH413" s="167" t="s">
        <v>114</v>
      </c>
      <c r="BI413" s="15" t="s">
        <v>115</v>
      </c>
      <c r="BJ413" s="224">
        <f>'∆G Ellingham Diagram coeff.'!G24</f>
        <v>3.6130265092122506E-2</v>
      </c>
      <c r="BK413" s="225">
        <f>'∆G Ellingham Diagram coeff.'!H24</f>
        <v>-257.40985966379219</v>
      </c>
      <c r="BL413" s="38">
        <v>2</v>
      </c>
    </row>
    <row r="414" spans="25:68" x14ac:dyDescent="0.25">
      <c r="BH414" s="168" t="s">
        <v>595</v>
      </c>
      <c r="BI414" s="17" t="s">
        <v>596</v>
      </c>
      <c r="BJ414" s="26"/>
      <c r="BK414" s="39"/>
      <c r="BL414" s="37">
        <v>4</v>
      </c>
    </row>
    <row r="415" spans="25:68" x14ac:dyDescent="0.25">
      <c r="BH415" s="167" t="s">
        <v>71</v>
      </c>
      <c r="BI415" s="15" t="s">
        <v>72</v>
      </c>
      <c r="BJ415" s="224">
        <f>'∆G Ellingham Diagram coeff.'!G26</f>
        <v>3.4329594216633508E-2</v>
      </c>
      <c r="BK415" s="225">
        <f>'∆G Ellingham Diagram coeff.'!H26</f>
        <v>-222.46644888269589</v>
      </c>
      <c r="BL415" s="38">
        <v>4</v>
      </c>
    </row>
    <row r="416" spans="25:68" ht="16.5" thickBot="1" x14ac:dyDescent="0.3">
      <c r="BH416" s="171" t="s">
        <v>116</v>
      </c>
      <c r="BI416" s="220" t="s">
        <v>117</v>
      </c>
      <c r="BJ416" s="83">
        <f>'∆G Ellingham Diagram coeff.'!G27</f>
        <v>3.4089493402287438E-2</v>
      </c>
      <c r="BK416" s="221">
        <f>'∆G Ellingham Diagram coeff.'!H27</f>
        <v>-264.64924473048285</v>
      </c>
      <c r="BL416" s="80">
        <v>3</v>
      </c>
    </row>
  </sheetData>
  <mergeCells count="77">
    <mergeCell ref="BK389:BK390"/>
    <mergeCell ref="BE390:BH390"/>
    <mergeCell ref="AJ322:AZ380"/>
    <mergeCell ref="BR349:BS351"/>
    <mergeCell ref="BT349:BU351"/>
    <mergeCell ref="BN348:BN349"/>
    <mergeCell ref="BM348:BM349"/>
    <mergeCell ref="BN346:BN347"/>
    <mergeCell ref="BM346:BM347"/>
    <mergeCell ref="BN344:BN345"/>
    <mergeCell ref="BM344:BM345"/>
    <mergeCell ref="BJ348:BJ349"/>
    <mergeCell ref="BJ346:BJ347"/>
    <mergeCell ref="BJ344:BJ345"/>
    <mergeCell ref="BL348:BL349"/>
    <mergeCell ref="BK348:BK349"/>
    <mergeCell ref="BK344:BK345"/>
    <mergeCell ref="BV342:BY344"/>
    <mergeCell ref="BV349:BW351"/>
    <mergeCell ref="BX349:BY351"/>
    <mergeCell ref="BR352:BS354"/>
    <mergeCell ref="BT352:BU354"/>
    <mergeCell ref="BV352:BW354"/>
    <mergeCell ref="BX352:BY354"/>
    <mergeCell ref="BZ336:CC344"/>
    <mergeCell ref="BE336:BE341"/>
    <mergeCell ref="BJ334:BK334"/>
    <mergeCell ref="BJ335:BK335"/>
    <mergeCell ref="BK336:BL338"/>
    <mergeCell ref="BK339:BK341"/>
    <mergeCell ref="BL339:BL341"/>
    <mergeCell ref="BJ336:BJ341"/>
    <mergeCell ref="BT336:BU338"/>
    <mergeCell ref="BV339:BW341"/>
    <mergeCell ref="BX339:BY341"/>
    <mergeCell ref="BM336:BN338"/>
    <mergeCell ref="BI336:BI341"/>
    <mergeCell ref="BM334:BN335"/>
    <mergeCell ref="BG336:BH338"/>
    <mergeCell ref="BG335:BH335"/>
    <mergeCell ref="BB375:BB377"/>
    <mergeCell ref="BB371:BB372"/>
    <mergeCell ref="BB336:BB341"/>
    <mergeCell ref="BB344:BB345"/>
    <mergeCell ref="BB346:BB347"/>
    <mergeCell ref="BB348:BB349"/>
    <mergeCell ref="BD348:BD349"/>
    <mergeCell ref="BC336:BC341"/>
    <mergeCell ref="BF336:BF341"/>
    <mergeCell ref="BD336:BD341"/>
    <mergeCell ref="BG339:BG341"/>
    <mergeCell ref="BE348:BE349"/>
    <mergeCell ref="BE346:BE347"/>
    <mergeCell ref="BE344:BE345"/>
    <mergeCell ref="BD344:BD345"/>
    <mergeCell ref="BD346:BD347"/>
    <mergeCell ref="BD324:BD327"/>
    <mergeCell ref="BD328:BD331"/>
    <mergeCell ref="BE331:BH331"/>
    <mergeCell ref="BG334:BH334"/>
    <mergeCell ref="BD334:BD335"/>
    <mergeCell ref="BH393:BL394"/>
    <mergeCell ref="BM389:BN390"/>
    <mergeCell ref="CD359:CK365"/>
    <mergeCell ref="CD356:CK358"/>
    <mergeCell ref="BK330:BK331"/>
    <mergeCell ref="BV336:BW338"/>
    <mergeCell ref="BX336:BY338"/>
    <mergeCell ref="BR339:BS341"/>
    <mergeCell ref="BT339:BU341"/>
    <mergeCell ref="BR336:BS338"/>
    <mergeCell ref="BM339:BM341"/>
    <mergeCell ref="BN339:BN341"/>
    <mergeCell ref="BH339:BH341"/>
    <mergeCell ref="BL346:BL347"/>
    <mergeCell ref="BK346:BK347"/>
    <mergeCell ref="BL344:BL345"/>
  </mergeCells>
  <phoneticPr fontId="3" type="noConversion"/>
  <conditionalFormatting sqref="DW310:DW315 DZ318:DZ332 DW317 DW2:DW308">
    <cfRule type="cellIs" dxfId="127" priority="3" operator="notBetween">
      <formula>99</formula>
      <formula>101</formula>
    </cfRule>
  </conditionalFormatting>
  <hyperlinks>
    <hyperlink ref="DT76" r:id="rId1" xr:uid="{83291FEE-590E-4A0E-B827-95445D2F16C4}"/>
    <hyperlink ref="DT77" r:id="rId2" display="https://enispa.sharepoint.com/sites/Venicelaboratories-FLiNaKandFLiBecorrosion/Documenti%20condivisi/FLiNaK%20and%20FLiBe%20corrosion/3.%20Letteratura/Attività%202023/2019_Molten%20salt%20corrosion%20of%20Ni-Mo-Cr%20candidate%20structural%20materials%20for%20Molten.pdf" xr:uid="{EA123F5A-6EA4-4F10-94A2-B66E1BF7F97D}"/>
    <hyperlink ref="DT191" r:id="rId3" xr:uid="{AA156ECA-1BF8-4CDC-A2F9-CC214434539A}"/>
    <hyperlink ref="DT86" r:id="rId4" display="https://enispa.sharepoint.com/sites/Venicelaboratories-FLiNaKandFLiBecorrosion/Documenti%20condivisi/FLiNaK%20and%20FLiBe%20corrosion/3.%20Letteratura/Attività%202023/2009_High%20Performance%20Corrosion%20Resistance%20of%20Nickel-Based%20Alloys%20in%20Molten%20Salt%20FLiBe.pdf" xr:uid="{6D845E7C-FADC-4707-8738-F86F4E97E710}"/>
    <hyperlink ref="DT92" r:id="rId5" display="https://enispa.sharepoint.com/sites/Venicelaboratories-FLiNaKandFLiBecorrosion/Documenti%20condivisi/FLiNaK%20and%20FLiBe%20corrosion/3.%20Letteratura/Attività%202023/2023_Effect%20of%20metallic%20ion%20products%20on%20the%20corrosion%20of%20GH3535%20Alloy%20in%20a%20Eutectin%20(Li,%20Na,%20K)%20F%20melt.pdf" xr:uid="{EC5FCA2E-CC90-49D3-B490-FF424F87B1C4}"/>
    <hyperlink ref="DT115" r:id="rId6" display="https://enispa.sharepoint.com/sites/Venicelaboratories-FLiNaKandFLiBecorrosion/Documenti%20condivisi/FLiNaK%20and%20FLiBe%20corrosion/3.%20Letteratura/Attività%202023/2023_Effects%20of%20simultaneous%20proton%20irradiation%20on%20the%20corrosion%20of%20commercial%20alloys%20in%20molten%20fl...PDF" xr:uid="{69F8AE41-F663-433D-B2BA-F28A64D65D05}"/>
    <hyperlink ref="DT127" r:id="rId7" display="https://enispa.sharepoint.com/sites/Venicelaboratories-FLiNaKandFLiBecorrosion/Documenti%20condivisi/FLiNaK%20and%20FLiBe%20corrosion/3.%20Letteratura/Attività%202023/2022_FY–22%20MSR%20Milestone%20M4RD-22OR0603034%20Corrosion%20of%20316H%20Stainless%20Steel....pdf" xr:uid="{E4CF9480-60A8-417E-BFE9-FEDAB54A9AF5}"/>
    <hyperlink ref="DT128" r:id="rId8" display="https://enispa.sharepoint.com/sites/Venicelaboratories-FLiNaKandFLiBecorrosion/Documenti%20condivisi/FLiNaK%20and%20FLiBe%20corrosion/3.%20Letteratura/Attività%202023/2022_FY–22%20MSR%20Milestone%20M3AT-22OR0702011%20Corrosion%20of%20316H%20Stainless%20Steel....pdf" xr:uid="{2D334FF4-4B2C-40C8-8405-0E3BC4F8EB24}"/>
    <hyperlink ref="DT151" r:id="rId9" display="https://enispa.sharepoint.com/sites/Venicelaboratories-FLiNaKandFLiBecorrosion/Documenti%20condivisi/FLiNaK%20and%20FLiBe%20corrosion/3.%20Letteratura/Attività%202023/2020_Proton%20irradiation-decelerated%20intergranular%20corrosion%20of%20Ni-Cr%20alloys%20in%20molten%20salt.pdf" xr:uid="{9DDA4BB7-DC33-4D24-BA87-001A18DA5B28}"/>
    <hyperlink ref="DT167" r:id="rId10" display="https://enispa.sharepoint.com/sites/Venicelaboratories-FLiNaKandFLiBecorrosion/Documenti%20condivisi/FLiNaK%20and%20FLiBe%20corrosion/3.%20Letteratura/Attività%202023/2023_Evaluation%20of%20Corrosion%20Behavior%20of%20Various%20Fe%20and%20Ni%20Based%20Alloys%20in%20Molten%20Li2BeF4%20FLiBe.pdf" xr:uid="{590BDFBA-D195-4DE2-8F78-D91B8D0BBC80}"/>
    <hyperlink ref="DT190" r:id="rId11" display="https://enispa.sharepoint.com/sites/Venicelaboratories-FLiNaKandFLiBecorrosion/Documenti%20condivisi/FLiNaK%20and%20FLiBe%20corrosion/3.%20Letteratura/Attività%202023/2024_Accelerated%20formation%20of%20M2C%20carbides%20by%20proton%20irradiation%20inhibits%20molten%20salt%20corrosion%20in%20Ni-based%20alloy.pdf" xr:uid="{626237A2-761F-4B07-B5ED-43BE111D34C6}"/>
    <hyperlink ref="DT2" r:id="rId12" xr:uid="{F27A2CB9-3964-4341-B1EF-F9FF2BB20CE4}"/>
    <hyperlink ref="DT18" r:id="rId13" display="https://enispa.sharepoint.com/sites/Venicelaboratories-FLiNaKandFLiBecorrosion/Documenti%20condivisi/FLiNaK%20and%20FLiBe%20corrosion/3.%20Letteratura/Attività%202023/2023_Pint_Methodology%20for%20Assessing%20Stainless%20Steel%20Compatibility%20in%20Fluoride%20Salts%20at%20550°-850°C.pdf" xr:uid="{BB8D861A-7E28-4CF1-959C-3A94A35BFDEC}"/>
    <hyperlink ref="DT52" r:id="rId14" display="https://enispa.sharepoint.com/sites/Venicelaboratories-FLiNaKandFLiBecorrosion/Documenti%20condivisi/FLiNaK%20and%20FLiBe%20corrosion/3.%20Letteratura/Attività%202023/2023_Doniger_Corrosion%20of%20316L%20&amp;%20316H%20stainless%20steel%20in%20molten%20LiF-NaF-KF%20(FLiNaK).pdf" xr:uid="{60ACE05A-FD36-4C0E-B80E-A084C8EF88F3}"/>
    <hyperlink ref="DT58" r:id="rId15" display="https://enispa.sharepoint.com/sites/Venicelaboratories-FLiNaKandFLiBecorrosion/Documenti%20condivisi/FLiNaK%20and%20FLiBe%20corrosion/3.%20Letteratura/Attività%202023/2013_Ouyang_Effect%20of%20moisture%20on%20corrosion%20of%20Ni-based%20alloys%20in%20molten%20alkali%20fluoride%20FLiNaK%20salt%20environments.pdf" xr:uid="{2777EE78-76C7-458F-95D0-F1C7DFA5A3E6}"/>
    <hyperlink ref="DT157" r:id="rId16" xr:uid="{A3516EFE-DD8A-4A75-9F02-AFB7A180F543}"/>
    <hyperlink ref="DT95" r:id="rId17" display="https://enispa.sharepoint.com/sites/Venicelaboratories-FLiNaKandFLiBecorrosion/Documenti%20condivisi/FLiNaK%20and%20FLiBe%20corrosion/3.%20Letteratura/Attività%202023/2014_Ouyang_Long-term%20corrosion%20behaviors%20of%20Hastelloy-N%20and%20Hastelloy-B3%20in%20moisture....pdf" xr:uid="{4C8B9D44-8F65-4B86-BC6F-F66C85478E50}"/>
    <hyperlink ref="DT135" r:id="rId18" xr:uid="{BB9BEB0F-EEEF-4774-9394-393CD7EDA0EE}"/>
    <hyperlink ref="DT3" r:id="rId19" display="https://enispa.sharepoint.com/sites/Venicelaboratories-FLiNaKandFLiBecorrosion/Documenti%20condivisi/FLiNaK%20and%20FLiBe%20corrosion/3.%20Letteratura/Attività%202023/2015_Zheng_Corrosion%20of%20316%20stainless%20steel%20in%20high%20temperature%20molten%20Li2BeF4%20(FLiBe)%20salt.pdf" xr:uid="{20D7F94D-2A15-4FCE-8AF2-DFC8ACF69EDD}"/>
    <hyperlink ref="DT4" r:id="rId20" display="https://enispa.sharepoint.com/sites/Venicelaboratories-FLiNaKandFLiBecorrosion/Documenti%20condivisi/FLiNaK%20and%20FLiBe%20corrosion/3.%20Letteratura/Attività%202023/2015_Zheng_High%20Temperature%20Corrosion%20of%20Hastelloy%20N%20in%20Molten%20Li2BeF4%20(FLiBe)%20Salt.pdf" xr:uid="{F00EE277-4A1B-4362-9F9E-A79DE9A3B8FA}"/>
    <hyperlink ref="DT5" r:id="rId21" xr:uid="{AC65BE21-07A7-4777-9FD9-E068DBAF7D0C}"/>
    <hyperlink ref="DT158" r:id="rId22" xr:uid="{5755971E-7F9D-4EBB-954C-CB74B805CB2E}"/>
    <hyperlink ref="DT6" r:id="rId23" display="https://enispa.sharepoint.com/sites/Venicelaboratories-FLiNaKandFLiBecorrosion/Documenti%20condivisi/FLiNaK%20and%20FLiBe%20corrosion/3.%20Letteratura/Attività%202023/2016_Zheng_Corrosion-induced%20microstructural%20developments%20in%20316%20stainless%20steel%20during%20expo.pdf" xr:uid="{B873F747-58B7-4417-8C99-D911827D3D08}"/>
    <hyperlink ref="DT16" r:id="rId24" display="https://enispa.sharepoint.com/sites/Venicelaboratories-FLiNaKandFLiBecorrosion/Documenti%20condivisi/FLiNaK%20and%20FLiBe%20corrosion/3.%20Letteratura/Attività%202023/2023_Pint_FY23%20Milestone%20M3RD-23OR0603031%20Measuring%20the%20Dissolution%20of%20Cr%20and%20Fe%20at%20550°C-75.pdf" xr:uid="{357492EB-DF94-4E34-AB82-4FC3CE580C19}"/>
    <hyperlink ref="DT17" r:id="rId25" display="https://enispa.sharepoint.com/sites/Venicelaboratories-FLiNaKandFLiBecorrosion/Documenti%20condivisi/FLiNaK%20and%20FLiBe%20corrosion/3.%20Letteratura/Attività%202023/2023_Pint_FY23%20Milestone%20M3RD-23OR0603032%20The%20Dissolution%20of%20Cr%20and%20Fe%20at%20850°C%20in%20FLiNaK%20an.pdf" xr:uid="{348C9B50-A419-41C7-B0BF-DBC4934F2045}"/>
    <hyperlink ref="DT30" r:id="rId26" display="https://enispa.sharepoint.com/sites/Venicelaboratories-FLiNaKandFLiBecorrosion/Documenti%20condivisi/FLiNaK%20and%20FLiBe%20corrosion/3.%20Letteratura/Attività%202023/2023_Pint_Methodology%20for%20Assessing%20Stainless%20Steel%20Compatibility%20in%20Fluoride%20Salts%20at%20550°-850°C.pdf" xr:uid="{034E6C3C-5ED0-442E-BDB5-DC54CD915377}"/>
    <hyperlink ref="DT28" r:id="rId27" display="https://enispa.sharepoint.com/sites/Venicelaboratories-FLiNaKandFLiBecorrosion/Documenti%20condivisi/FLiNaK%20and%20FLiBe%20corrosion/3.%20Letteratura/Attività%202023/2023_Pint_FY23%20Milestone%20M3RD-23OR0603031%20Measuring%20the%20Dissolution%20of%20Cr%20and%20Fe%20at%20550°C-75.pdf" xr:uid="{B93C9858-4030-4503-B500-17AD17E8E453}"/>
    <hyperlink ref="DT29" r:id="rId28" display="https://enispa.sharepoint.com/sites/Venicelaboratories-FLiNaKandFLiBecorrosion/Documenti%20condivisi/FLiNaK%20and%20FLiBe%20corrosion/3.%20Letteratura/Attività%202023/2023_Pint_FY23%20Milestone%20M3RD-23OR0603032%20The%20Dissolution%20of%20Cr%20and%20Fe%20at%20850°C%20in%20FLiNaK%20an.pdf" xr:uid="{3C056295-81ED-481F-9553-82A98C021542}"/>
    <hyperlink ref="DT195" r:id="rId29" display="https://enispa.sharepoint.com/sites/Venicelaboratories-FLiNaKandFLiBecorrosion/Documenti%20condivisi/FLiNaK%20and%20FLiBe%20corrosion/3.%20Letteratura/Attività%202024/graphite/2018_Dai_Corrosion%20of%20Incoloy%20800H%20alloys%20with%20nickel%20cladding%20in%20FLiNaK%20salts%20at%2085.pdf" xr:uid="{7700297F-B385-4584-AF25-F532C2B85D10}"/>
    <hyperlink ref="DT199" r:id="rId30" display="https://enispa.sharepoint.com/sites/Venicelaboratories-FLiNaKandFLiBecorrosion/Documenti%20condivisi/FLiNaK%20and%20FLiBe%20corrosion/3.%20Letteratura/Attività%202024/graphite/2020_Liu_Effect%20of%20graphite%20particles%20in%20molten%20LiF-NaF-KF%20eutectic%20salt%20on%20corrosion.pdf" xr:uid="{7631A18E-6608-48DF-A8CF-FD987F97684F}"/>
    <hyperlink ref="DT208" r:id="rId31" display="https://enispa.sharepoint.com/sites/Venicelaboratories-FLiNaKandFLiBecorrosion/Documenti%20condivisi/FLiNaK%20and%20FLiBe%20corrosion/3.%20Letteratura/Attività%202024/time%20lower%20than%20240%20h/2023_Banerejee_Investigating%20Cr%20dealloying%20and%20Li%20ingress%20in%20NiMoCr%20alloys%20with%20diff.pdf" xr:uid="{24F7DF6C-3F85-41F4-A96F-32B42FFC8FB3}"/>
    <hyperlink ref="DT207" r:id="rId32" display="https://enispa.sharepoint.com/sites/Venicelaboratories-FLiNaKandFLiBecorrosion/Documenti%20condivisi/FLiNaK%20and%20FLiBe%20corrosion/3.%20Letteratura/Attività%202024/graphite/2021_Ai_Metallic%20impurities%20induced%20corrosion%20of%20a%20Ni-26W-6Cr%20alloy%20in%20molten.pdf" xr:uid="{B9A5806A-A341-43DD-8B54-524F039500BA}"/>
    <hyperlink ref="DT210" r:id="rId33" display="https://enispa.sharepoint.com/sites/Venicelaboratories-FLiNaKandFLiBecorrosion/Documenti%20condivisi/FLiNaK%20and%20FLiBe%20corrosion/3.%20Letteratura/Attività%202024/time%20lower%20than%20240%20h/2023_Liu_Effect%20of%20O2-%20additive%20on%20the%20corrosion%20behavior%20of%20Hastelloy%20N%20alloy%20in.pdf" xr:uid="{B7735B9F-3D9A-4CC2-A3E3-4430D37D8B5D}"/>
    <hyperlink ref="DT211" r:id="rId34" display="https://enispa.sharepoint.com/sites/Venicelaboratories-FLiNaKandFLiBecorrosion/Documenti%20condivisi/FLiNaK%20and%20FLiBe%20corrosion/3.%20Letteratura/Attività%202024/time%20lower%20than%20240%20h/2023_Liu_Effect%20of%20O2-%20additive%20on%20the%20corrosion%20behavior%20of%20Hastelloy%20N%20alloy%20in.pdf" xr:uid="{4083569C-5F09-4519-A310-76DEC4EFFD94}"/>
    <hyperlink ref="DT212" r:id="rId35" display="https://enispa.sharepoint.com/sites/Venicelaboratories-FLiNaKandFLiBecorrosion/Documenti%20condivisi/FLiNaK%20and%20FLiBe%20corrosion/3.%20Letteratura/Attività%202024/time%20lower%20than%20240%20h/2023_Liu_Effect%20of%20O2-%20additive%20on%20the%20corrosion%20behavior%20of%20Hastelloy%20N%20alloy%20in.pdf" xr:uid="{009089C0-BEBE-4615-8258-9BD1010A20E5}"/>
    <hyperlink ref="DT217" r:id="rId36" display="https://enispa.sharepoint.com/sites/Venicelaboratories-FLiNaKandFLiBecorrosion/Documenti%20condivisi/FLiNaK%20and%20FLiBe%20corrosion/3.%20Letteratura/Articles%20on%20Corrosion%20(Domenico)/25)%202023_Hong_Effect%20of%20tellurium%20concentration%20on%20the%20corrosion%20and.pdf" xr:uid="{423FDE11-12A9-4CD8-A0FB-A2DB757E3DD9}"/>
    <hyperlink ref="DT221" r:id="rId37" display="https://enispa.sharepoint.com/sites/Venicelaboratories-FLiNaKandFLiBecorrosion/Documenti%20condivisi/FLiNaK%20and%20FLiBe%20corrosion/3.%20Letteratura/Articles%20on%20Corrosion%20(Domenico)/26)%202020_Lee_Corrosion%20performance%20of%20Ni-based%20structural%20alloys%20for%20applications.pdf" xr:uid="{4634E191-7EE5-4A89-9841-E6D31114601E}"/>
    <hyperlink ref="DT225" r:id="rId38" display="https://enispa.sharepoint.com/sites/Venicelaboratories-FLiNaKandFLiBecorrosion/Documenti%20condivisi/FLiNaK%20and%20FLiBe%20corrosion/3.%20Letteratura/Articles%20on%20Corrosion%20(Domenico)/27-a)%202023_Sulejmanovic_Compatibility%20of%20316H%20in%20Static%20and%20Flowing%20FLiBe.pdf" xr:uid="{B6C07AD7-C9CD-4F62-B6A3-2CAD0140A516}"/>
    <hyperlink ref="DT224" r:id="rId39" display="https://enispa.sharepoint.com/sites/Venicelaboratories-FLiNaKandFLiBecorrosion/Documenti%20condivisi/FLiNaK%20and%20FLiBe%20corrosion/3.%20Letteratura/Articles%20on%20Corrosion%20(Domenico)/27-b)%202021_Pint_FY–21%20MSR%20Milestone%20M3AT-21OR0704012%20FLiBe%20Capsule%20Testing%20of%20316H.pdf" xr:uid="{08A7E404-A236-4C77-8FDC-8F271B88AD5B}"/>
    <hyperlink ref="DT226" r:id="rId40" display="https://enispa.sharepoint.com/sites/Venicelaboratories-FLiNaKandFLiBecorrosion/Documenti%20condivisi/FLiNaK%20and%20FLiBe%20corrosion/3.%20Letteratura/Articles%20on%20Corrosion%20(Domenico)/28)%202016_Ye_The%20high-temperature%20corrosion%20of%20Hastelloy%20N%20alloy%20(UNS%20N10003).pdf" xr:uid="{84070D47-8C49-498A-BD69-C8B67B13BD65}"/>
    <hyperlink ref="DT227" r:id="rId41" display="https://enispa.sharepoint.com/sites/Venicelaboratories-FLiNaKandFLiBecorrosion/Documenti%20condivisi/FLiNaK%20and%20FLiBe%20corrosion/3.%20Letteratura/Articles%20on%20Corrosion%20(Domenico)/29)%202018_Ai_Influence%20of%20graphite-alloy%20interactions%20on%20corrosion%20of%20Ni-Mo-Cr%20alloy%20in.pdf" xr:uid="{BC9CD018-9A57-4C1D-967E-38647FC5227C}"/>
    <hyperlink ref="DT228" r:id="rId42" display="https://enispa.sharepoint.com/sites/Venicelaboratories-FLiNaKandFLiBecorrosion/Documenti%20condivisi/FLiNaK%20and%20FLiBe%20corrosion/3.%20Letteratura/Articles%20on%20Corrosion%20(Domenico)/30)%202019_Ai_On%20the%20possibility%20of%20severe%20corrosion%20of%20a%20Ni-W-Cr%20alloy%20in%20fluoride.pdf" xr:uid="{BC0A7DB6-5FBF-4A4E-A0C5-E18A104DDAFD}"/>
    <hyperlink ref="DT230" r:id="rId43" display="https://enispa.sharepoint.com/sites/Venicelaboratories-FLiNaKandFLiBecorrosion/Documenti%20condivisi/FLiNaK%20and%20FLiBe%20corrosion/3.%20Letteratura/Articles%20on%20Corrosion%20(Domenico)/21)%20Europium-driven%20Alloy%20709%20corrosion%20in%20static%20FLiNaK%20molten%20salt%20at%20700%20°C.pdf" xr:uid="{E2C09CF6-67C8-439E-959B-6ADDC3316E16}"/>
    <hyperlink ref="DT232" r:id="rId44" display="https://enispa.sharepoint.com/sites/Venicelaboratories-FLiNaKandFLiBecorrosion/Documenti%20condivisi/FLiNaK%20and%20FLiBe%20corrosion/3.%20Letteratura/Articles%20on%20Corrosion%20(Domenico)/15)%202014_Sona_High%20temperature%20corrosion%20studies%20in%20molten%20salt-FLiNaK.pdf" xr:uid="{7847A33C-0C79-4A64-9B3C-95F3A6FFEA58}"/>
    <hyperlink ref="DT241" r:id="rId45" display="https://enispa.sharepoint.com/sites/Venicelaboratories-FLiNaKandFLiBecorrosion/Documenti%20condivisi/FLiNaK%20and%20FLiBe%20corrosion/3.%20Letteratura/Articles%20on%20Corrosion%20(Domenico)/11)%20Corrosion%20of%20structural%20materials%20in%20NaF-NaBF4%20molten%20salt.pdf" xr:uid="{A6C42A45-4A9A-428D-9CFA-3C2DEB298640}"/>
    <hyperlink ref="DT265" r:id="rId46" display="https://enispa.sharepoint.com/sites/Venicelaboratories-FLiNaKandFLiBecorrosion/Documenti%20condivisi/FLiNaK%20and%20FLiBe%20corrosion/3.%20Letteratura/Articles%20on%20Corrosion%20(Domenico)/10)%20Corrosion%20mechanism%20of%20cold%20forged%20316%20stainless%20steel%20in%20molten%20FLiNaK%20salt.pdf" xr:uid="{777ACD54-A442-4B90-A794-0CD910A181D6}"/>
    <hyperlink ref="DT214" r:id="rId47" display="https://enispa.sharepoint.com/sites/Venicelaboratories-FLiNaKandFLiBecorrosion/Documenti%20condivisi/FLiNaK%20and%20FLiBe%20corrosion/3.%20Letteratura/Articles%20on%20Corrosion%20(Domenico)/Cladding/2011_Olson_Nickel-plating%20for%20active%20metal%20dissolution.pdf" xr:uid="{624AB455-CD48-46AA-8DE4-92742ACCA01F}"/>
    <hyperlink ref="DT266" r:id="rId48" display="https://enispa.sharepoint.com/sites/Venicelaboratories-FLiNaKandFLiBecorrosion/Documenti%20condivisi/FLiNaK%20and%20FLiBe%20corrosion/3.%20Letteratura/Articles%20on%20Corrosion%20(Domenico)/32)%202014_Qiu_Compatibility%20of%20container%20materials%20with%20Cr%20in%20molten%20FLiNaK%20salt.pdf" xr:uid="{A0AA5784-C800-4F09-880B-C4C5CBDEF9B9}"/>
    <hyperlink ref="DT272" r:id="rId49" display="https://enispa.sharepoint.com/sites/Venicelaboratories-FLiNaKandFLiBecorrosion/Documenti%20condivisi/FLiNaK%20and%20FLiBe%20corrosion/3.%20Letteratura/Articles%20on%20Corrosion%20(Domenico)/33)%202012_Cheng_Zirconium%20Effect%20on%20the%20Corrosion%20Behavior%20of%20316L%20Stainless%20Steel%20Alloy%20and%20Hastelloy-N%20Superalloy%20in%20Molten%20Fluoride%20Salt.pdf" xr:uid="{45FCD510-0DC5-4DA4-84A2-6FE819BEE5D9}"/>
    <hyperlink ref="DT274" r:id="rId50" display="https://enispa.sharepoint.com/sites/Venicelaboratories-FLiNaKandFLiBecorrosion/Documenti%20condivisi/FLiNaK%20and%20FLiBe%20corrosion/3.%20Letteratura/Articles%20on%20Corrosion%20(Domenico)/34)%202015_Olson_Impact%20of%20Corrosion%20Test%20Container%20Material%20in%20Molten%20Fluorides.pdf" xr:uid="{B8E4FF0D-9BD3-4D03-8941-00FDD1A7528D}"/>
    <hyperlink ref="DT282" r:id="rId51" display="https://enispa.sharepoint.com/sites/Venicelaboratories-FLiNaKandFLiBecorrosion/Documenti%20condivisi/FLiNaK%20and%20FLiBe%20corrosion/3.%20Letteratura/Articles%20on%20Corrosion%20(Domenico)/35)%202013_Liu_Investigation%20on%20corrosion%20behavior%20of%20Ni-based%20alloys%20in%20molten%20fluoride.pdf" xr:uid="{805EC3C9-A636-4FCD-B764-AB90DDDA2307}"/>
    <hyperlink ref="A305" r:id="rId52" display="https://enispa.sharepoint.com/sites/Venicelaboratories-FLiNaKandFLiBecorrosion/Documenti%20condivisi/FLiNaK%20and%20FLiBe%20corrosion/3.%20Letteratura/Articles%20on%20Corrosion%20(Domenico)/36)%202013_Ignatiev_Alloys%20compatibility%20in%20molten%20salt%20fluorides.pdf" xr:uid="{7E129877-E912-4151-A6A8-90E953A338E8}"/>
    <hyperlink ref="A311" r:id="rId53" display="https://enispa.sharepoint.com/sites/Venicelaboratories-FLiNaKandFLiBecorrosion/Documenti%20condivisi/FLiNaK%20and%20FLiBe%20corrosion/3.%20Letteratura/Articles%20on%20Corrosion%20(Domenico)/24)%20The%20inhibition%20of%20the%20interaction%20between%20CVD%20SiC%20and%20GH3535%20alloy%20in%20molten%20LiF-NaF-KF%20salt%20by%20the%20Li%20metal.pdf" xr:uid="{29B37D12-3629-4C7A-A235-45B235A9ED7A}"/>
    <hyperlink ref="A309" r:id="rId54" display="https://enispa.sharepoint.com/sites/Venicelaboratories-FLiNaKandFLiBecorrosion/Documenti%20condivisi/FLiNaK%20and%20FLiBe%20corrosion/3.%20Letteratura/Articles%20on%20Corrosion%20(Domenico)/38)%202020_Doniger_Investigation%20of%20impurity%20driven%20corrosion%20behavior%20in.pdf" xr:uid="{B1B64F9D-65F1-4728-B926-E740A7DB7C98}"/>
    <hyperlink ref="BG334" r:id="rId55" xr:uid="{61936429-680D-4ED6-8344-C64E37C348B9}"/>
    <hyperlink ref="BD334" r:id="rId56" xr:uid="{CA80C6A6-6603-4516-A1F8-87843CBF19B4}"/>
    <hyperlink ref="BG335" r:id="rId57" xr:uid="{3305A3CE-B8EF-46DD-92FA-931C1C51950D}"/>
    <hyperlink ref="BM334:BN335" r:id="rId58" display="https://enispa.sharepoint.com/sites/Venicelaboratories-FLiNaKandFLiBecorrosion/Documenti%20condivisi/FLiNaK%20and%20FLiBe%20corrosion/Diagrammi%20dei%20potenziali%20di%20Ellingham%20Delta_G.pdf" xr:uid="{BD88EE4B-51F0-4A98-B6D2-CCB157DC92F8}"/>
    <hyperlink ref="DT152" r:id="rId59" display="https://enispa.sharepoint.com/sites/Venicelaboratories-FLiNaKandFLiBecorrosion/Documenti%20condivisi/FLiNaK%20and%20FLiBe%20corrosion/3.%20Letteratura/Attività%202023/2019_Zhou_A%20simultaneous%20corrosion-irradiation%20facility%20for%20testing%20molten%20salt-facing%20materials.pdf" xr:uid="{2D8E86D7-82A7-41C4-B076-0CE4788A453F}"/>
    <hyperlink ref="DT103" r:id="rId60" display="https://enispa.sharepoint.com/sites/Venicelaboratories-FLiNaKandFLiBecorrosion/Documenti%20condivisi/FLiNaK%20and%20FLiBe%20corrosion/3.%20Letteratura/Attività%202023/2020_%20McAlpine_Corrosion%20of%20commercial%20alloys%20in%20FLiNaK%20molten%20salt%20containing%20EuF3.pdf" xr:uid="{8DBB5426-F10C-4916-9580-4173F3A28DA9}"/>
    <hyperlink ref="DT213" r:id="rId61" display="https://enispa.sharepoint.com/sites/Venicelaboratories-FLiNaKandFLiBecorrosion/Documenti%20condivisi/FLiNaK%20and%20FLiBe%20corrosion/3.%20Letteratura/Attività%202024/time%20lower%20than%20240%20h/2023_Liu_Effect%20of%20O2-%20additive%20on%20the%20corrosion%20behavior%20of%20Hastelloy%20N%20alloy%20in.pdf" xr:uid="{DF3C2F4D-70A6-4915-BDCB-37ACAB42279F}"/>
  </hyperlinks>
  <pageMargins left="0.7" right="0.7" top="0.75" bottom="0.75" header="0.3" footer="0.3"/>
  <pageSetup paperSize="9" orientation="portrait" r:id="rId62"/>
  <drawing r:id="rId63"/>
  <tableParts count="1">
    <tablePart r:id="rId6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EF252-EBBF-4B6D-B009-18860066DFAB}">
  <dimension ref="A1:AN227"/>
  <sheetViews>
    <sheetView zoomScale="55" zoomScaleNormal="55" workbookViewId="0">
      <pane xSplit="1" topLeftCell="B1" activePane="topRight" state="frozen"/>
      <selection pane="topRight" activeCell="J9" sqref="J9"/>
    </sheetView>
  </sheetViews>
  <sheetFormatPr defaultRowHeight="15.75" x14ac:dyDescent="0.25"/>
  <cols>
    <col min="1" max="1" width="40.7109375" style="129" customWidth="1"/>
    <col min="2" max="2" width="16" style="129" customWidth="1"/>
    <col min="3" max="4" width="9.140625" style="129"/>
    <col min="5" max="6" width="14.140625" style="129" customWidth="1"/>
    <col min="7" max="7" width="12.42578125" style="270" customWidth="1"/>
    <col min="9" max="9" width="9.140625" style="129" customWidth="1"/>
    <col min="10" max="10" width="9.140625" style="25"/>
    <col min="11" max="11" width="9.140625" style="129" customWidth="1"/>
    <col min="12" max="12" width="12" style="129" customWidth="1"/>
    <col min="13" max="13" width="12.85546875" style="129" bestFit="1" customWidth="1"/>
    <col min="14" max="14" width="13.42578125" style="129" customWidth="1"/>
    <col min="15" max="16" width="12.5703125" style="129" customWidth="1"/>
    <col min="17" max="17" width="13.140625" style="129" bestFit="1" customWidth="1"/>
    <col min="18" max="18" width="16" style="129" bestFit="1" customWidth="1"/>
    <col min="19" max="21" width="16" style="129" customWidth="1"/>
    <col min="22" max="23" width="16" style="129" bestFit="1" customWidth="1"/>
    <col min="24" max="24" width="16.7109375" style="129" bestFit="1" customWidth="1"/>
    <col min="25" max="25" width="16.7109375" style="129" customWidth="1"/>
    <col min="26" max="26" width="16" style="129" bestFit="1" customWidth="1"/>
    <col min="27" max="27" width="16.5703125" style="129" bestFit="1" customWidth="1"/>
    <col min="28" max="28" width="16.28515625" style="129" bestFit="1" customWidth="1"/>
    <col min="29" max="29" width="17" style="130" bestFit="1" customWidth="1"/>
    <col min="30" max="30" width="17.28515625" style="130" bestFit="1" customWidth="1"/>
    <col min="31" max="31" width="16" style="129" customWidth="1"/>
    <col min="32" max="32" width="16" style="129" bestFit="1" customWidth="1"/>
    <col min="33" max="37" width="16" style="129" customWidth="1"/>
    <col min="38" max="38" width="9.140625" style="129"/>
    <col min="39" max="39" width="16" style="129" bestFit="1" customWidth="1"/>
    <col min="40" max="40" width="16" style="129" customWidth="1"/>
    <col min="41" max="16384" width="9.140625" style="129"/>
  </cols>
  <sheetData>
    <row r="1" spans="1:40" x14ac:dyDescent="0.25">
      <c r="A1" s="247" t="s">
        <v>874</v>
      </c>
      <c r="B1" s="247" t="s">
        <v>875</v>
      </c>
      <c r="C1" s="247" t="s">
        <v>21</v>
      </c>
      <c r="D1" s="247" t="s">
        <v>13</v>
      </c>
      <c r="E1" s="247" t="s">
        <v>3</v>
      </c>
      <c r="F1" s="247" t="s">
        <v>9</v>
      </c>
      <c r="G1" s="263" t="s">
        <v>124</v>
      </c>
      <c r="H1" s="247" t="s">
        <v>149</v>
      </c>
      <c r="I1" s="247" t="s">
        <v>150</v>
      </c>
      <c r="J1" s="247" t="s">
        <v>151</v>
      </c>
      <c r="K1" s="247" t="s">
        <v>152</v>
      </c>
      <c r="L1" s="247" t="s">
        <v>610</v>
      </c>
      <c r="M1" s="247" t="s">
        <v>611</v>
      </c>
      <c r="N1" s="247" t="s">
        <v>18</v>
      </c>
      <c r="O1" s="247" t="s">
        <v>19</v>
      </c>
      <c r="P1" s="247" t="s">
        <v>174</v>
      </c>
      <c r="Q1" s="247" t="s">
        <v>14</v>
      </c>
      <c r="R1" s="247" t="s">
        <v>175</v>
      </c>
      <c r="S1" s="247" t="s">
        <v>176</v>
      </c>
      <c r="T1" s="247" t="s">
        <v>177</v>
      </c>
      <c r="U1" s="247" t="s">
        <v>178</v>
      </c>
      <c r="V1" s="247" t="s">
        <v>179</v>
      </c>
      <c r="W1" s="247" t="s">
        <v>180</v>
      </c>
      <c r="X1" s="247" t="s">
        <v>181</v>
      </c>
      <c r="Y1" s="247" t="s">
        <v>182</v>
      </c>
      <c r="Z1" s="247" t="s">
        <v>183</v>
      </c>
      <c r="AA1" s="247" t="s">
        <v>184</v>
      </c>
      <c r="AB1" s="247" t="s">
        <v>185</v>
      </c>
      <c r="AC1" s="247" t="s">
        <v>186</v>
      </c>
      <c r="AD1" s="247" t="s">
        <v>187</v>
      </c>
      <c r="AE1" s="247" t="s">
        <v>188</v>
      </c>
      <c r="AF1" s="247" t="s">
        <v>189</v>
      </c>
      <c r="AG1" s="247" t="s">
        <v>190</v>
      </c>
      <c r="AH1" s="247" t="s">
        <v>191</v>
      </c>
      <c r="AI1" s="247" t="s">
        <v>192</v>
      </c>
      <c r="AJ1" s="247" t="s">
        <v>193</v>
      </c>
      <c r="AK1" s="247" t="s">
        <v>194</v>
      </c>
      <c r="AL1" s="247" t="s">
        <v>11</v>
      </c>
      <c r="AM1" s="247" t="s">
        <v>217</v>
      </c>
      <c r="AN1" s="247" t="s">
        <v>218</v>
      </c>
    </row>
    <row r="2" spans="1:40" x14ac:dyDescent="0.25">
      <c r="A2" s="159" t="s">
        <v>613</v>
      </c>
      <c r="B2" s="159">
        <v>1</v>
      </c>
      <c r="C2" s="159">
        <v>700</v>
      </c>
      <c r="D2" s="159">
        <v>1000</v>
      </c>
      <c r="E2" s="159" t="s">
        <v>876</v>
      </c>
      <c r="F2" s="159" t="s">
        <v>876</v>
      </c>
      <c r="G2" s="264">
        <v>7980000</v>
      </c>
      <c r="H2" s="249">
        <v>9.4263736040079404</v>
      </c>
      <c r="I2" s="249">
        <v>17.855668155061338</v>
      </c>
      <c r="J2" s="249">
        <v>1.1567890643408911</v>
      </c>
      <c r="K2" s="249">
        <v>67.794477124908823</v>
      </c>
      <c r="L2" s="249">
        <v>-136.54295506071665</v>
      </c>
      <c r="M2" s="249">
        <v>-136.54295506071665</v>
      </c>
      <c r="N2" s="159" t="s">
        <v>228</v>
      </c>
      <c r="O2" s="159" t="s">
        <v>230</v>
      </c>
      <c r="P2" s="159">
        <v>0</v>
      </c>
      <c r="Q2" s="159">
        <v>0</v>
      </c>
      <c r="R2" s="159"/>
      <c r="S2" s="159"/>
      <c r="T2" s="159"/>
      <c r="U2" s="159"/>
      <c r="V2" s="159"/>
      <c r="W2" s="159"/>
      <c r="X2" s="159"/>
      <c r="Y2" s="159"/>
      <c r="Z2" s="159"/>
      <c r="AA2" s="159"/>
      <c r="AB2" s="159"/>
      <c r="AC2" s="159"/>
      <c r="AD2" s="159"/>
      <c r="AE2" s="159"/>
      <c r="AF2" s="159"/>
      <c r="AG2" s="159"/>
      <c r="AH2" s="159"/>
      <c r="AI2" s="159"/>
      <c r="AJ2" s="159"/>
      <c r="AK2" s="159"/>
      <c r="AL2" s="159">
        <v>0</v>
      </c>
      <c r="AM2" s="159">
        <v>-6.4</v>
      </c>
      <c r="AN2" s="159">
        <v>-0.22</v>
      </c>
    </row>
    <row r="3" spans="1:40" x14ac:dyDescent="0.25">
      <c r="A3" s="241" t="s">
        <v>614</v>
      </c>
      <c r="B3" s="241">
        <v>2</v>
      </c>
      <c r="C3" s="241">
        <v>700</v>
      </c>
      <c r="D3" s="241">
        <v>1000</v>
      </c>
      <c r="E3" s="241" t="s">
        <v>233</v>
      </c>
      <c r="F3" s="241" t="s">
        <v>876</v>
      </c>
      <c r="G3" s="265">
        <v>7980000</v>
      </c>
      <c r="H3" s="250">
        <v>9.4263736040079404</v>
      </c>
      <c r="I3" s="250">
        <v>17.855668155061299</v>
      </c>
      <c r="J3" s="250">
        <v>1.1567890643408911</v>
      </c>
      <c r="K3" s="250">
        <v>67.794477124908823</v>
      </c>
      <c r="L3" s="250">
        <v>-136.54295506071665</v>
      </c>
      <c r="M3" s="250">
        <v>-63.529671587210359</v>
      </c>
      <c r="N3" s="241" t="s">
        <v>228</v>
      </c>
      <c r="O3" s="241" t="s">
        <v>230</v>
      </c>
      <c r="P3" s="241">
        <v>0</v>
      </c>
      <c r="Q3" s="241">
        <v>0</v>
      </c>
      <c r="R3" s="241"/>
      <c r="S3" s="241"/>
      <c r="T3" s="241"/>
      <c r="U3" s="241"/>
      <c r="V3" s="241"/>
      <c r="W3" s="241"/>
      <c r="X3" s="241"/>
      <c r="Y3" s="241"/>
      <c r="Z3" s="241"/>
      <c r="AA3" s="241"/>
      <c r="AB3" s="241"/>
      <c r="AC3" s="241"/>
      <c r="AD3" s="241"/>
      <c r="AE3" s="241"/>
      <c r="AF3" s="241"/>
      <c r="AG3" s="241"/>
      <c r="AH3" s="241"/>
      <c r="AI3" s="241"/>
      <c r="AJ3" s="241"/>
      <c r="AK3" s="241"/>
      <c r="AL3" s="241">
        <v>0</v>
      </c>
      <c r="AM3" s="241">
        <v>-13.7</v>
      </c>
      <c r="AN3" s="241">
        <v>-0.27</v>
      </c>
    </row>
    <row r="4" spans="1:40" x14ac:dyDescent="0.25">
      <c r="A4" s="159" t="s">
        <v>615</v>
      </c>
      <c r="B4" s="159">
        <v>3</v>
      </c>
      <c r="C4" s="159">
        <v>700</v>
      </c>
      <c r="D4" s="159">
        <v>2000</v>
      </c>
      <c r="E4" s="159" t="s">
        <v>876</v>
      </c>
      <c r="F4" s="159" t="s">
        <v>876</v>
      </c>
      <c r="G4" s="264">
        <v>7980000</v>
      </c>
      <c r="H4" s="249">
        <v>9.4263736040079404</v>
      </c>
      <c r="I4" s="249">
        <v>17.855668155061338</v>
      </c>
      <c r="J4" s="249">
        <v>1.1567890643408911</v>
      </c>
      <c r="K4" s="249">
        <v>67.794477124908823</v>
      </c>
      <c r="L4" s="249">
        <v>-136.54295506071665</v>
      </c>
      <c r="M4" s="249">
        <v>-136.54295506071665</v>
      </c>
      <c r="N4" s="159" t="s">
        <v>228</v>
      </c>
      <c r="O4" s="159" t="s">
        <v>230</v>
      </c>
      <c r="P4" s="159">
        <v>0</v>
      </c>
      <c r="Q4" s="159">
        <v>0</v>
      </c>
      <c r="R4" s="159"/>
      <c r="S4" s="159"/>
      <c r="T4" s="159"/>
      <c r="U4" s="159"/>
      <c r="V4" s="159"/>
      <c r="W4" s="159"/>
      <c r="X4" s="159"/>
      <c r="Y4" s="159"/>
      <c r="Z4" s="159"/>
      <c r="AA4" s="159"/>
      <c r="AB4" s="159"/>
      <c r="AC4" s="159"/>
      <c r="AD4" s="159"/>
      <c r="AE4" s="159"/>
      <c r="AF4" s="159"/>
      <c r="AG4" s="159"/>
      <c r="AH4" s="159"/>
      <c r="AI4" s="159"/>
      <c r="AJ4" s="159"/>
      <c r="AK4" s="159"/>
      <c r="AL4" s="159">
        <v>0</v>
      </c>
      <c r="AM4" s="159">
        <v>-10.7</v>
      </c>
      <c r="AN4" s="159">
        <v>-0.35</v>
      </c>
    </row>
    <row r="5" spans="1:40" x14ac:dyDescent="0.25">
      <c r="A5" s="241" t="s">
        <v>616</v>
      </c>
      <c r="B5" s="241">
        <v>4</v>
      </c>
      <c r="C5" s="241">
        <v>700</v>
      </c>
      <c r="D5" s="241">
        <v>2000</v>
      </c>
      <c r="E5" s="241" t="s">
        <v>233</v>
      </c>
      <c r="F5" s="241" t="s">
        <v>876</v>
      </c>
      <c r="G5" s="265">
        <v>7980000</v>
      </c>
      <c r="H5" s="250">
        <v>9.4263736040079404</v>
      </c>
      <c r="I5" s="250">
        <v>17.855668155061338</v>
      </c>
      <c r="J5" s="250">
        <v>1.1567890643408911</v>
      </c>
      <c r="K5" s="250">
        <v>67.794477124908823</v>
      </c>
      <c r="L5" s="250">
        <v>-136.54295506071665</v>
      </c>
      <c r="M5" s="250">
        <v>-63.529671587210359</v>
      </c>
      <c r="N5" s="241" t="s">
        <v>228</v>
      </c>
      <c r="O5" s="241" t="s">
        <v>230</v>
      </c>
      <c r="P5" s="241">
        <v>0</v>
      </c>
      <c r="Q5" s="241">
        <v>0</v>
      </c>
      <c r="R5" s="241"/>
      <c r="S5" s="241"/>
      <c r="T5" s="241"/>
      <c r="U5" s="241"/>
      <c r="V5" s="241"/>
      <c r="W5" s="241"/>
      <c r="X5" s="241"/>
      <c r="Y5" s="241"/>
      <c r="Z5" s="241"/>
      <c r="AA5" s="241"/>
      <c r="AB5" s="241"/>
      <c r="AC5" s="241"/>
      <c r="AD5" s="241"/>
      <c r="AE5" s="241"/>
      <c r="AF5" s="241"/>
      <c r="AG5" s="241"/>
      <c r="AH5" s="241"/>
      <c r="AI5" s="241"/>
      <c r="AJ5" s="241"/>
      <c r="AK5" s="241"/>
      <c r="AL5" s="241">
        <v>0</v>
      </c>
      <c r="AM5" s="241">
        <v>-19.399999999999999</v>
      </c>
      <c r="AN5" s="241">
        <v>-0.41</v>
      </c>
    </row>
    <row r="6" spans="1:40" x14ac:dyDescent="0.25">
      <c r="A6" s="159" t="s">
        <v>617</v>
      </c>
      <c r="B6" s="159">
        <v>5</v>
      </c>
      <c r="C6" s="159">
        <v>700</v>
      </c>
      <c r="D6" s="159">
        <v>3000</v>
      </c>
      <c r="E6" s="159" t="s">
        <v>876</v>
      </c>
      <c r="F6" s="159" t="s">
        <v>876</v>
      </c>
      <c r="G6" s="264">
        <v>7980000</v>
      </c>
      <c r="H6" s="249">
        <v>9.4263736040079404</v>
      </c>
      <c r="I6" s="249">
        <v>17.855668155061338</v>
      </c>
      <c r="J6" s="249">
        <v>1.1567890643408911</v>
      </c>
      <c r="K6" s="249">
        <v>67.794477124908823</v>
      </c>
      <c r="L6" s="249">
        <v>-136.54295506071665</v>
      </c>
      <c r="M6" s="249">
        <v>-136.54295506071665</v>
      </c>
      <c r="N6" s="159" t="s">
        <v>228</v>
      </c>
      <c r="O6" s="159" t="s">
        <v>230</v>
      </c>
      <c r="P6" s="159">
        <v>0</v>
      </c>
      <c r="Q6" s="159">
        <v>0</v>
      </c>
      <c r="R6" s="159"/>
      <c r="S6" s="159"/>
      <c r="T6" s="159"/>
      <c r="U6" s="159"/>
      <c r="V6" s="159"/>
      <c r="W6" s="159"/>
      <c r="X6" s="159"/>
      <c r="Y6" s="159"/>
      <c r="Z6" s="159"/>
      <c r="AA6" s="159"/>
      <c r="AB6" s="159"/>
      <c r="AC6" s="159"/>
      <c r="AD6" s="159"/>
      <c r="AE6" s="159"/>
      <c r="AF6" s="159"/>
      <c r="AG6" s="159"/>
      <c r="AH6" s="159"/>
      <c r="AI6" s="159"/>
      <c r="AJ6" s="159"/>
      <c r="AK6" s="159"/>
      <c r="AL6" s="159">
        <v>0</v>
      </c>
      <c r="AM6" s="159">
        <v>-11.5</v>
      </c>
      <c r="AN6" s="159">
        <v>-0.55000000000000004</v>
      </c>
    </row>
    <row r="7" spans="1:40" x14ac:dyDescent="0.25">
      <c r="A7" s="241" t="s">
        <v>618</v>
      </c>
      <c r="B7" s="241">
        <v>6</v>
      </c>
      <c r="C7" s="241">
        <v>700</v>
      </c>
      <c r="D7" s="241">
        <v>3000</v>
      </c>
      <c r="E7" s="241" t="s">
        <v>233</v>
      </c>
      <c r="F7" s="241" t="s">
        <v>876</v>
      </c>
      <c r="G7" s="265">
        <v>7980000</v>
      </c>
      <c r="H7" s="250">
        <v>9.4263736040079404</v>
      </c>
      <c r="I7" s="250">
        <v>17.855668155061338</v>
      </c>
      <c r="J7" s="250">
        <v>1.1567890643408911</v>
      </c>
      <c r="K7" s="250">
        <v>67.794477124908823</v>
      </c>
      <c r="L7" s="250">
        <v>-136.54295506071665</v>
      </c>
      <c r="M7" s="250">
        <v>-63.529671587210359</v>
      </c>
      <c r="N7" s="241" t="s">
        <v>228</v>
      </c>
      <c r="O7" s="241" t="s">
        <v>230</v>
      </c>
      <c r="P7" s="241">
        <v>0</v>
      </c>
      <c r="Q7" s="241">
        <v>0</v>
      </c>
      <c r="R7" s="241"/>
      <c r="S7" s="241"/>
      <c r="T7" s="241"/>
      <c r="U7" s="241"/>
      <c r="V7" s="241"/>
      <c r="W7" s="241"/>
      <c r="X7" s="241"/>
      <c r="Y7" s="241"/>
      <c r="Z7" s="241"/>
      <c r="AA7" s="241"/>
      <c r="AB7" s="241"/>
      <c r="AC7" s="241"/>
      <c r="AD7" s="241"/>
      <c r="AE7" s="241"/>
      <c r="AF7" s="241"/>
      <c r="AG7" s="241"/>
      <c r="AH7" s="241"/>
      <c r="AI7" s="241"/>
      <c r="AJ7" s="241"/>
      <c r="AK7" s="241"/>
      <c r="AL7" s="241">
        <v>0</v>
      </c>
      <c r="AM7" s="241">
        <v>-22.5</v>
      </c>
      <c r="AN7" s="241">
        <v>-0.5</v>
      </c>
    </row>
    <row r="8" spans="1:40" x14ac:dyDescent="0.25">
      <c r="A8" s="159" t="s">
        <v>619</v>
      </c>
      <c r="B8" s="159">
        <v>7</v>
      </c>
      <c r="C8" s="159">
        <v>700</v>
      </c>
      <c r="D8" s="159">
        <v>1000</v>
      </c>
      <c r="E8" s="159" t="s">
        <v>48</v>
      </c>
      <c r="F8" s="159" t="s">
        <v>239</v>
      </c>
      <c r="G8" s="264">
        <v>8860000</v>
      </c>
      <c r="H8" s="249">
        <v>72.822611879318529</v>
      </c>
      <c r="I8" s="249">
        <v>8.1033893928441021</v>
      </c>
      <c r="J8" s="249">
        <v>10.036949882162649</v>
      </c>
      <c r="K8" s="249">
        <v>4.3113057774947521</v>
      </c>
      <c r="L8" s="249">
        <v>-125.28457574331848</v>
      </c>
      <c r="M8" s="249">
        <v>-121.74823772574202</v>
      </c>
      <c r="N8" s="159" t="s">
        <v>228</v>
      </c>
      <c r="O8" s="159" t="s">
        <v>230</v>
      </c>
      <c r="P8" s="159">
        <v>0</v>
      </c>
      <c r="Q8" s="159">
        <v>0</v>
      </c>
      <c r="R8" s="159"/>
      <c r="S8" s="159"/>
      <c r="T8" s="159"/>
      <c r="U8" s="159"/>
      <c r="V8" s="159"/>
      <c r="W8" s="159"/>
      <c r="X8" s="159"/>
      <c r="Y8" s="159"/>
      <c r="Z8" s="159"/>
      <c r="AA8" s="159"/>
      <c r="AB8" s="159"/>
      <c r="AC8" s="159"/>
      <c r="AD8" s="159"/>
      <c r="AE8" s="159"/>
      <c r="AF8" s="159"/>
      <c r="AG8" s="159"/>
      <c r="AH8" s="159"/>
      <c r="AI8" s="159"/>
      <c r="AJ8" s="159"/>
      <c r="AK8" s="159"/>
      <c r="AL8" s="159">
        <v>0</v>
      </c>
      <c r="AM8" s="159">
        <v>-3.5</v>
      </c>
      <c r="AN8" s="159">
        <v>-0.124</v>
      </c>
    </row>
    <row r="9" spans="1:40" x14ac:dyDescent="0.25">
      <c r="A9" s="241" t="s">
        <v>620</v>
      </c>
      <c r="B9" s="241">
        <v>8</v>
      </c>
      <c r="C9" s="241">
        <v>700</v>
      </c>
      <c r="D9" s="241">
        <v>1000</v>
      </c>
      <c r="E9" s="241" t="s">
        <v>233</v>
      </c>
      <c r="F9" s="241" t="s">
        <v>239</v>
      </c>
      <c r="G9" s="265">
        <v>8860000</v>
      </c>
      <c r="H9" s="250">
        <v>72.822611879318529</v>
      </c>
      <c r="I9" s="250">
        <v>8.1033893928441021</v>
      </c>
      <c r="J9" s="250">
        <v>10.036949882162649</v>
      </c>
      <c r="K9" s="250">
        <v>4.3113057774947521</v>
      </c>
      <c r="L9" s="250">
        <v>-125.28457574331848</v>
      </c>
      <c r="M9" s="250">
        <v>-63.529671587210359</v>
      </c>
      <c r="N9" s="241" t="s">
        <v>228</v>
      </c>
      <c r="O9" s="241" t="s">
        <v>230</v>
      </c>
      <c r="P9" s="241">
        <v>0</v>
      </c>
      <c r="Q9" s="241">
        <v>0</v>
      </c>
      <c r="R9" s="241"/>
      <c r="S9" s="241"/>
      <c r="T9" s="241"/>
      <c r="U9" s="241"/>
      <c r="V9" s="241"/>
      <c r="W9" s="241"/>
      <c r="X9" s="241"/>
      <c r="Y9" s="241"/>
      <c r="Z9" s="241"/>
      <c r="AA9" s="241"/>
      <c r="AB9" s="241"/>
      <c r="AC9" s="241"/>
      <c r="AD9" s="241"/>
      <c r="AE9" s="241"/>
      <c r="AF9" s="241"/>
      <c r="AG9" s="241"/>
      <c r="AH9" s="241"/>
      <c r="AI9" s="241"/>
      <c r="AJ9" s="241"/>
      <c r="AK9" s="241"/>
      <c r="AL9" s="241">
        <v>0</v>
      </c>
      <c r="AM9" s="241">
        <v>-9</v>
      </c>
      <c r="AN9" s="241">
        <v>0.16500000000000001</v>
      </c>
    </row>
    <row r="10" spans="1:40" x14ac:dyDescent="0.25">
      <c r="A10" s="159" t="s">
        <v>621</v>
      </c>
      <c r="B10" s="159">
        <v>9</v>
      </c>
      <c r="C10" s="159">
        <v>700</v>
      </c>
      <c r="D10" s="159">
        <v>50</v>
      </c>
      <c r="E10" s="159" t="s">
        <v>48</v>
      </c>
      <c r="F10" s="159" t="s">
        <v>241</v>
      </c>
      <c r="G10" s="264">
        <v>8570000</v>
      </c>
      <c r="H10" s="249">
        <v>77.993175597135249</v>
      </c>
      <c r="I10" s="249">
        <v>22.006824402864751</v>
      </c>
      <c r="J10" s="249">
        <v>0</v>
      </c>
      <c r="K10" s="249">
        <v>0</v>
      </c>
      <c r="L10" s="249">
        <v>-127.90838393314866</v>
      </c>
      <c r="M10" s="249">
        <v>-121.74823772574202</v>
      </c>
      <c r="N10" s="159" t="s">
        <v>228</v>
      </c>
      <c r="O10" s="159" t="s">
        <v>230</v>
      </c>
      <c r="P10" s="159">
        <v>0</v>
      </c>
      <c r="Q10" s="159">
        <v>0</v>
      </c>
      <c r="R10" s="159"/>
      <c r="S10" s="159"/>
      <c r="T10" s="159"/>
      <c r="U10" s="159"/>
      <c r="V10" s="159"/>
      <c r="W10" s="159"/>
      <c r="X10" s="159"/>
      <c r="Y10" s="159"/>
      <c r="Z10" s="159"/>
      <c r="AA10" s="159"/>
      <c r="AB10" s="159"/>
      <c r="AC10" s="159"/>
      <c r="AD10" s="159"/>
      <c r="AE10" s="159"/>
      <c r="AF10" s="159"/>
      <c r="AG10" s="159"/>
      <c r="AH10" s="159"/>
      <c r="AI10" s="159"/>
      <c r="AJ10" s="159"/>
      <c r="AK10" s="159"/>
      <c r="AL10" s="159">
        <v>0</v>
      </c>
      <c r="AM10" s="159">
        <v>-18.2</v>
      </c>
      <c r="AN10" s="159">
        <v>-0.67</v>
      </c>
    </row>
    <row r="11" spans="1:40" x14ac:dyDescent="0.25">
      <c r="A11" s="241" t="s">
        <v>622</v>
      </c>
      <c r="B11" s="241">
        <v>10</v>
      </c>
      <c r="C11" s="241">
        <v>700</v>
      </c>
      <c r="D11" s="241">
        <v>500</v>
      </c>
      <c r="E11" s="241" t="s">
        <v>48</v>
      </c>
      <c r="F11" s="241" t="s">
        <v>241</v>
      </c>
      <c r="G11" s="265">
        <v>8570000</v>
      </c>
      <c r="H11" s="250">
        <v>77.993175597135249</v>
      </c>
      <c r="I11" s="250">
        <v>22.006824402864751</v>
      </c>
      <c r="J11" s="250">
        <v>0</v>
      </c>
      <c r="K11" s="250">
        <v>0</v>
      </c>
      <c r="L11" s="250">
        <v>-127.90838393314866</v>
      </c>
      <c r="M11" s="250">
        <v>-121.74823772574202</v>
      </c>
      <c r="N11" s="241" t="s">
        <v>228</v>
      </c>
      <c r="O11" s="241" t="s">
        <v>230</v>
      </c>
      <c r="P11" s="241">
        <v>0</v>
      </c>
      <c r="Q11" s="241">
        <v>0</v>
      </c>
      <c r="R11" s="241"/>
      <c r="S11" s="241"/>
      <c r="T11" s="241"/>
      <c r="U11" s="241"/>
      <c r="V11" s="241"/>
      <c r="W11" s="241"/>
      <c r="X11" s="241"/>
      <c r="Y11" s="241"/>
      <c r="Z11" s="241"/>
      <c r="AA11" s="241"/>
      <c r="AB11" s="241"/>
      <c r="AC11" s="241"/>
      <c r="AD11" s="241"/>
      <c r="AE11" s="241"/>
      <c r="AF11" s="241"/>
      <c r="AG11" s="241"/>
      <c r="AH11" s="241"/>
      <c r="AI11" s="241"/>
      <c r="AJ11" s="241"/>
      <c r="AK11" s="241"/>
      <c r="AL11" s="241">
        <v>0</v>
      </c>
      <c r="AM11" s="241">
        <v>-84.5</v>
      </c>
      <c r="AN11" s="241">
        <v>-3.05</v>
      </c>
    </row>
    <row r="12" spans="1:40" x14ac:dyDescent="0.25">
      <c r="A12" s="159" t="s">
        <v>623</v>
      </c>
      <c r="B12" s="159">
        <v>11</v>
      </c>
      <c r="C12" s="159">
        <v>700</v>
      </c>
      <c r="D12" s="159">
        <v>1000</v>
      </c>
      <c r="E12" s="159" t="s">
        <v>48</v>
      </c>
      <c r="F12" s="159" t="s">
        <v>241</v>
      </c>
      <c r="G12" s="264">
        <v>8570000</v>
      </c>
      <c r="H12" s="249">
        <v>77.993175597135249</v>
      </c>
      <c r="I12" s="249">
        <v>22.006824402864751</v>
      </c>
      <c r="J12" s="249">
        <v>0</v>
      </c>
      <c r="K12" s="249">
        <v>0</v>
      </c>
      <c r="L12" s="249">
        <v>-127.90838393314866</v>
      </c>
      <c r="M12" s="249">
        <v>-121.74823772574202</v>
      </c>
      <c r="N12" s="159" t="s">
        <v>228</v>
      </c>
      <c r="O12" s="159" t="s">
        <v>230</v>
      </c>
      <c r="P12" s="159">
        <v>0</v>
      </c>
      <c r="Q12" s="159">
        <v>0</v>
      </c>
      <c r="R12" s="159"/>
      <c r="S12" s="159"/>
      <c r="T12" s="159"/>
      <c r="U12" s="159"/>
      <c r="V12" s="159"/>
      <c r="W12" s="159"/>
      <c r="X12" s="159"/>
      <c r="Y12" s="159"/>
      <c r="Z12" s="159"/>
      <c r="AA12" s="159"/>
      <c r="AB12" s="159"/>
      <c r="AC12" s="159"/>
      <c r="AD12" s="159"/>
      <c r="AE12" s="159"/>
      <c r="AF12" s="159"/>
      <c r="AG12" s="159"/>
      <c r="AH12" s="159"/>
      <c r="AI12" s="159"/>
      <c r="AJ12" s="159"/>
      <c r="AK12" s="159"/>
      <c r="AL12" s="159">
        <v>0</v>
      </c>
      <c r="AM12" s="159">
        <v>-140.80000000000001</v>
      </c>
      <c r="AN12" s="159">
        <v>-7.12</v>
      </c>
    </row>
    <row r="13" spans="1:40" x14ac:dyDescent="0.25">
      <c r="A13" s="241" t="s">
        <v>624</v>
      </c>
      <c r="B13" s="241">
        <v>12</v>
      </c>
      <c r="C13" s="241">
        <v>700</v>
      </c>
      <c r="D13" s="241">
        <v>50</v>
      </c>
      <c r="E13" s="241" t="s">
        <v>48</v>
      </c>
      <c r="F13" s="241" t="s">
        <v>243</v>
      </c>
      <c r="G13" s="265">
        <v>8700000</v>
      </c>
      <c r="H13" s="250">
        <v>94.392800160505971</v>
      </c>
      <c r="I13" s="250">
        <v>5.6071998394940241</v>
      </c>
      <c r="J13" s="250">
        <v>0</v>
      </c>
      <c r="K13" s="250">
        <v>0</v>
      </c>
      <c r="L13" s="250">
        <v>-123.3178040653968</v>
      </c>
      <c r="M13" s="250">
        <v>-121.74823772574202</v>
      </c>
      <c r="N13" s="241" t="s">
        <v>228</v>
      </c>
      <c r="O13" s="241" t="s">
        <v>230</v>
      </c>
      <c r="P13" s="241">
        <v>0</v>
      </c>
      <c r="Q13" s="241">
        <v>0</v>
      </c>
      <c r="R13" s="241"/>
      <c r="S13" s="241"/>
      <c r="T13" s="241"/>
      <c r="U13" s="241"/>
      <c r="V13" s="241"/>
      <c r="W13" s="241"/>
      <c r="X13" s="241"/>
      <c r="Y13" s="241"/>
      <c r="Z13" s="241"/>
      <c r="AA13" s="241"/>
      <c r="AB13" s="241"/>
      <c r="AC13" s="241"/>
      <c r="AD13" s="241"/>
      <c r="AE13" s="241"/>
      <c r="AF13" s="241"/>
      <c r="AG13" s="241"/>
      <c r="AH13" s="241"/>
      <c r="AI13" s="241"/>
      <c r="AJ13" s="241"/>
      <c r="AK13" s="241"/>
      <c r="AL13" s="241">
        <v>0</v>
      </c>
      <c r="AM13" s="241">
        <v>-5.6</v>
      </c>
      <c r="AN13" s="241">
        <v>-0.08</v>
      </c>
    </row>
    <row r="14" spans="1:40" x14ac:dyDescent="0.25">
      <c r="A14" s="159" t="s">
        <v>625</v>
      </c>
      <c r="B14" s="159">
        <v>13</v>
      </c>
      <c r="C14" s="159">
        <v>700</v>
      </c>
      <c r="D14" s="159">
        <v>500</v>
      </c>
      <c r="E14" s="159" t="s">
        <v>48</v>
      </c>
      <c r="F14" s="159" t="s">
        <v>243</v>
      </c>
      <c r="G14" s="264">
        <v>8700000</v>
      </c>
      <c r="H14" s="249">
        <v>94.392800160505971</v>
      </c>
      <c r="I14" s="249">
        <v>5.6071998394940241</v>
      </c>
      <c r="J14" s="249">
        <v>0</v>
      </c>
      <c r="K14" s="249">
        <v>0</v>
      </c>
      <c r="L14" s="249">
        <v>-123.3178040653968</v>
      </c>
      <c r="M14" s="249">
        <v>-121.74823772574202</v>
      </c>
      <c r="N14" s="159" t="s">
        <v>228</v>
      </c>
      <c r="O14" s="159" t="s">
        <v>230</v>
      </c>
      <c r="P14" s="159">
        <v>0</v>
      </c>
      <c r="Q14" s="159">
        <v>0</v>
      </c>
      <c r="R14" s="159"/>
      <c r="S14" s="159"/>
      <c r="T14" s="159"/>
      <c r="U14" s="159"/>
      <c r="V14" s="159"/>
      <c r="W14" s="159"/>
      <c r="X14" s="159"/>
      <c r="Y14" s="159"/>
      <c r="Z14" s="159"/>
      <c r="AA14" s="159"/>
      <c r="AB14" s="159"/>
      <c r="AC14" s="159"/>
      <c r="AD14" s="159"/>
      <c r="AE14" s="159"/>
      <c r="AF14" s="159"/>
      <c r="AG14" s="159"/>
      <c r="AH14" s="159"/>
      <c r="AI14" s="159"/>
      <c r="AJ14" s="159"/>
      <c r="AK14" s="159"/>
      <c r="AL14" s="159">
        <v>0</v>
      </c>
      <c r="AM14" s="159">
        <v>-18</v>
      </c>
      <c r="AN14" s="159">
        <v>-0.27</v>
      </c>
    </row>
    <row r="15" spans="1:40" ht="16.5" thickBot="1" x14ac:dyDescent="0.3">
      <c r="A15" s="242" t="s">
        <v>626</v>
      </c>
      <c r="B15" s="242">
        <v>14</v>
      </c>
      <c r="C15" s="242">
        <v>700</v>
      </c>
      <c r="D15" s="242">
        <v>1000</v>
      </c>
      <c r="E15" s="242" t="s">
        <v>48</v>
      </c>
      <c r="F15" s="242" t="s">
        <v>243</v>
      </c>
      <c r="G15" s="266">
        <v>8700000</v>
      </c>
      <c r="H15" s="251">
        <v>94.392800160505971</v>
      </c>
      <c r="I15" s="251">
        <v>5.6071998394940241</v>
      </c>
      <c r="J15" s="251">
        <v>0</v>
      </c>
      <c r="K15" s="251">
        <v>0</v>
      </c>
      <c r="L15" s="251">
        <v>-123.3178040653968</v>
      </c>
      <c r="M15" s="251">
        <v>-121.74823772574202</v>
      </c>
      <c r="N15" s="242" t="s">
        <v>228</v>
      </c>
      <c r="O15" s="242" t="s">
        <v>230</v>
      </c>
      <c r="P15" s="242">
        <v>0</v>
      </c>
      <c r="Q15" s="242">
        <v>0</v>
      </c>
      <c r="R15" s="242"/>
      <c r="S15" s="242"/>
      <c r="T15" s="242"/>
      <c r="U15" s="242"/>
      <c r="V15" s="242"/>
      <c r="W15" s="242"/>
      <c r="X15" s="242"/>
      <c r="Y15" s="242"/>
      <c r="Z15" s="242"/>
      <c r="AA15" s="242"/>
      <c r="AB15" s="242"/>
      <c r="AC15" s="242"/>
      <c r="AD15" s="242"/>
      <c r="AE15" s="242"/>
      <c r="AF15" s="242"/>
      <c r="AG15" s="242"/>
      <c r="AH15" s="242"/>
      <c r="AI15" s="242"/>
      <c r="AJ15" s="242"/>
      <c r="AK15" s="242"/>
      <c r="AL15" s="242">
        <v>0</v>
      </c>
      <c r="AM15" s="242">
        <v>-21.8</v>
      </c>
      <c r="AN15" s="242">
        <v>-0.43</v>
      </c>
    </row>
    <row r="16" spans="1:40" x14ac:dyDescent="0.25">
      <c r="A16" s="159" t="s">
        <v>627</v>
      </c>
      <c r="B16" s="159">
        <v>15</v>
      </c>
      <c r="C16" s="159">
        <v>550</v>
      </c>
      <c r="D16" s="159">
        <v>500</v>
      </c>
      <c r="E16" s="159" t="s">
        <v>55</v>
      </c>
      <c r="F16" s="159" t="s">
        <v>50</v>
      </c>
      <c r="G16" s="264">
        <v>8960000</v>
      </c>
      <c r="H16" s="249">
        <v>0</v>
      </c>
      <c r="I16" s="249">
        <v>100</v>
      </c>
      <c r="J16" s="249">
        <v>0</v>
      </c>
      <c r="K16" s="249">
        <v>0</v>
      </c>
      <c r="L16" s="249">
        <v>-154.88567716533856</v>
      </c>
      <c r="M16" s="249">
        <v>-117.90049202390642</v>
      </c>
      <c r="N16" s="159" t="s">
        <v>245</v>
      </c>
      <c r="O16" s="159" t="s">
        <v>230</v>
      </c>
      <c r="P16" s="159">
        <v>0</v>
      </c>
      <c r="Q16" s="159">
        <v>0</v>
      </c>
      <c r="R16" s="159">
        <v>16</v>
      </c>
      <c r="S16" s="159"/>
      <c r="T16" s="159"/>
      <c r="U16" s="159"/>
      <c r="V16" s="159"/>
      <c r="W16" s="159">
        <v>6</v>
      </c>
      <c r="X16" s="159">
        <v>7</v>
      </c>
      <c r="Y16" s="159"/>
      <c r="Z16" s="159"/>
      <c r="AA16" s="159"/>
      <c r="AB16" s="159">
        <v>1</v>
      </c>
      <c r="AC16" s="159"/>
      <c r="AD16" s="159"/>
      <c r="AE16" s="159">
        <v>314</v>
      </c>
      <c r="AF16" s="159"/>
      <c r="AG16" s="159"/>
      <c r="AH16" s="159"/>
      <c r="AI16" s="159"/>
      <c r="AJ16" s="159">
        <v>590</v>
      </c>
      <c r="AK16" s="159"/>
      <c r="AL16" s="159">
        <v>0</v>
      </c>
      <c r="AM16" s="159"/>
      <c r="AN16" s="159">
        <v>-2.64</v>
      </c>
    </row>
    <row r="17" spans="1:40" x14ac:dyDescent="0.25">
      <c r="A17" s="241" t="s">
        <v>628</v>
      </c>
      <c r="B17" s="241">
        <v>16</v>
      </c>
      <c r="C17" s="241">
        <v>550</v>
      </c>
      <c r="D17" s="241">
        <v>1000</v>
      </c>
      <c r="E17" s="241" t="s">
        <v>55</v>
      </c>
      <c r="F17" s="241" t="s">
        <v>50</v>
      </c>
      <c r="G17" s="265">
        <v>8960000</v>
      </c>
      <c r="H17" s="250">
        <v>0</v>
      </c>
      <c r="I17" s="250">
        <v>100</v>
      </c>
      <c r="J17" s="250">
        <v>0</v>
      </c>
      <c r="K17" s="250">
        <v>0</v>
      </c>
      <c r="L17" s="250">
        <v>-154.88567716533856</v>
      </c>
      <c r="M17" s="250">
        <v>-117.90049202390642</v>
      </c>
      <c r="N17" s="241" t="s">
        <v>245</v>
      </c>
      <c r="O17" s="241" t="s">
        <v>230</v>
      </c>
      <c r="P17" s="241">
        <v>0</v>
      </c>
      <c r="Q17" s="241">
        <v>0</v>
      </c>
      <c r="R17" s="241">
        <v>16</v>
      </c>
      <c r="S17" s="241"/>
      <c r="T17" s="241"/>
      <c r="U17" s="241"/>
      <c r="V17" s="241"/>
      <c r="W17" s="241">
        <v>6</v>
      </c>
      <c r="X17" s="241">
        <v>7</v>
      </c>
      <c r="Y17" s="241"/>
      <c r="Z17" s="241"/>
      <c r="AA17" s="241"/>
      <c r="AB17" s="241">
        <v>1</v>
      </c>
      <c r="AC17" s="241"/>
      <c r="AD17" s="241"/>
      <c r="AE17" s="241">
        <v>314</v>
      </c>
      <c r="AF17" s="241"/>
      <c r="AG17" s="241"/>
      <c r="AH17" s="241"/>
      <c r="AI17" s="241"/>
      <c r="AJ17" s="241">
        <v>590</v>
      </c>
      <c r="AK17" s="241"/>
      <c r="AL17" s="241">
        <v>0</v>
      </c>
      <c r="AM17" s="241"/>
      <c r="AN17" s="241">
        <v>-3.31</v>
      </c>
    </row>
    <row r="18" spans="1:40" x14ac:dyDescent="0.25">
      <c r="A18" s="159" t="s">
        <v>629</v>
      </c>
      <c r="B18" s="159">
        <v>17</v>
      </c>
      <c r="C18" s="159">
        <v>550</v>
      </c>
      <c r="D18" s="159">
        <v>2000</v>
      </c>
      <c r="E18" s="159" t="s">
        <v>55</v>
      </c>
      <c r="F18" s="159" t="s">
        <v>50</v>
      </c>
      <c r="G18" s="264">
        <v>8960000</v>
      </c>
      <c r="H18" s="249">
        <v>0</v>
      </c>
      <c r="I18" s="249">
        <v>100</v>
      </c>
      <c r="J18" s="249">
        <v>0</v>
      </c>
      <c r="K18" s="249">
        <v>0</v>
      </c>
      <c r="L18" s="249">
        <v>-154.88567716533856</v>
      </c>
      <c r="M18" s="249">
        <v>-117.90049202390642</v>
      </c>
      <c r="N18" s="159" t="s">
        <v>245</v>
      </c>
      <c r="O18" s="159" t="s">
        <v>230</v>
      </c>
      <c r="P18" s="159">
        <v>0</v>
      </c>
      <c r="Q18" s="159">
        <v>0</v>
      </c>
      <c r="R18" s="159">
        <v>16</v>
      </c>
      <c r="S18" s="159"/>
      <c r="T18" s="159"/>
      <c r="U18" s="159"/>
      <c r="V18" s="159"/>
      <c r="W18" s="159">
        <v>6</v>
      </c>
      <c r="X18" s="159">
        <v>7</v>
      </c>
      <c r="Y18" s="159"/>
      <c r="Z18" s="159"/>
      <c r="AA18" s="159"/>
      <c r="AB18" s="159">
        <v>1</v>
      </c>
      <c r="AC18" s="159"/>
      <c r="AD18" s="159"/>
      <c r="AE18" s="159">
        <v>314</v>
      </c>
      <c r="AF18" s="159"/>
      <c r="AG18" s="159"/>
      <c r="AH18" s="159"/>
      <c r="AI18" s="159"/>
      <c r="AJ18" s="159">
        <v>590</v>
      </c>
      <c r="AK18" s="159"/>
      <c r="AL18" s="159">
        <v>0</v>
      </c>
      <c r="AM18" s="159"/>
      <c r="AN18" s="159">
        <v>-2.94</v>
      </c>
    </row>
    <row r="19" spans="1:40" x14ac:dyDescent="0.25">
      <c r="A19" s="241" t="s">
        <v>630</v>
      </c>
      <c r="B19" s="241">
        <v>18</v>
      </c>
      <c r="C19" s="241">
        <v>650</v>
      </c>
      <c r="D19" s="241">
        <v>500</v>
      </c>
      <c r="E19" s="241" t="s">
        <v>55</v>
      </c>
      <c r="F19" s="241" t="s">
        <v>50</v>
      </c>
      <c r="G19" s="265">
        <v>8960000</v>
      </c>
      <c r="H19" s="250">
        <v>0</v>
      </c>
      <c r="I19" s="250">
        <v>100</v>
      </c>
      <c r="J19" s="250">
        <v>0</v>
      </c>
      <c r="K19" s="250">
        <v>0</v>
      </c>
      <c r="L19" s="250">
        <v>-151.45537184749173</v>
      </c>
      <c r="M19" s="250">
        <v>-115.93813288350846</v>
      </c>
      <c r="N19" s="241" t="s">
        <v>245</v>
      </c>
      <c r="O19" s="241" t="s">
        <v>230</v>
      </c>
      <c r="P19" s="241">
        <v>0</v>
      </c>
      <c r="Q19" s="241">
        <v>0</v>
      </c>
      <c r="R19" s="241">
        <v>16</v>
      </c>
      <c r="S19" s="241"/>
      <c r="T19" s="241"/>
      <c r="U19" s="241"/>
      <c r="V19" s="241"/>
      <c r="W19" s="241">
        <v>6</v>
      </c>
      <c r="X19" s="241">
        <v>7</v>
      </c>
      <c r="Y19" s="241"/>
      <c r="Z19" s="241"/>
      <c r="AA19" s="241"/>
      <c r="AB19" s="241">
        <v>1</v>
      </c>
      <c r="AC19" s="241"/>
      <c r="AD19" s="241"/>
      <c r="AE19" s="241">
        <v>314</v>
      </c>
      <c r="AF19" s="241"/>
      <c r="AG19" s="241"/>
      <c r="AH19" s="241"/>
      <c r="AI19" s="241"/>
      <c r="AJ19" s="241">
        <v>590</v>
      </c>
      <c r="AK19" s="241"/>
      <c r="AL19" s="241">
        <v>0</v>
      </c>
      <c r="AM19" s="241"/>
      <c r="AN19" s="241">
        <v>-1.96</v>
      </c>
    </row>
    <row r="20" spans="1:40" x14ac:dyDescent="0.25">
      <c r="A20" s="159" t="s">
        <v>631</v>
      </c>
      <c r="B20" s="159">
        <v>19</v>
      </c>
      <c r="C20" s="159">
        <v>650</v>
      </c>
      <c r="D20" s="159">
        <v>1000</v>
      </c>
      <c r="E20" s="159" t="s">
        <v>55</v>
      </c>
      <c r="F20" s="159" t="s">
        <v>50</v>
      </c>
      <c r="G20" s="264">
        <v>8960000</v>
      </c>
      <c r="H20" s="249">
        <v>0</v>
      </c>
      <c r="I20" s="249">
        <v>100</v>
      </c>
      <c r="J20" s="249">
        <v>0</v>
      </c>
      <c r="K20" s="249">
        <v>0</v>
      </c>
      <c r="L20" s="249">
        <v>-151.45537184749173</v>
      </c>
      <c r="M20" s="249">
        <v>-115.93813288350846</v>
      </c>
      <c r="N20" s="159" t="s">
        <v>245</v>
      </c>
      <c r="O20" s="159" t="s">
        <v>230</v>
      </c>
      <c r="P20" s="159">
        <v>0</v>
      </c>
      <c r="Q20" s="159">
        <v>0</v>
      </c>
      <c r="R20" s="159">
        <v>16</v>
      </c>
      <c r="S20" s="159"/>
      <c r="T20" s="159"/>
      <c r="U20" s="159"/>
      <c r="V20" s="159"/>
      <c r="W20" s="159">
        <v>6</v>
      </c>
      <c r="X20" s="159">
        <v>7</v>
      </c>
      <c r="Y20" s="159"/>
      <c r="Z20" s="159"/>
      <c r="AA20" s="159"/>
      <c r="AB20" s="159">
        <v>1</v>
      </c>
      <c r="AC20" s="159"/>
      <c r="AD20" s="159"/>
      <c r="AE20" s="159">
        <v>314</v>
      </c>
      <c r="AF20" s="159"/>
      <c r="AG20" s="159"/>
      <c r="AH20" s="159"/>
      <c r="AI20" s="159"/>
      <c r="AJ20" s="159">
        <v>590</v>
      </c>
      <c r="AK20" s="159"/>
      <c r="AL20" s="159">
        <v>0</v>
      </c>
      <c r="AM20" s="159"/>
      <c r="AN20" s="159">
        <v>-1.97</v>
      </c>
    </row>
    <row r="21" spans="1:40" x14ac:dyDescent="0.25">
      <c r="A21" s="241" t="s">
        <v>632</v>
      </c>
      <c r="B21" s="241">
        <v>20</v>
      </c>
      <c r="C21" s="241">
        <v>650</v>
      </c>
      <c r="D21" s="241">
        <v>2000</v>
      </c>
      <c r="E21" s="241" t="s">
        <v>55</v>
      </c>
      <c r="F21" s="241" t="s">
        <v>50</v>
      </c>
      <c r="G21" s="265">
        <v>8960000</v>
      </c>
      <c r="H21" s="250">
        <v>0</v>
      </c>
      <c r="I21" s="250">
        <v>100</v>
      </c>
      <c r="J21" s="250">
        <v>0</v>
      </c>
      <c r="K21" s="250">
        <v>0</v>
      </c>
      <c r="L21" s="250">
        <v>-151.45537184749173</v>
      </c>
      <c r="M21" s="250">
        <v>-115.93813288350846</v>
      </c>
      <c r="N21" s="241" t="s">
        <v>245</v>
      </c>
      <c r="O21" s="241" t="s">
        <v>230</v>
      </c>
      <c r="P21" s="241">
        <v>0</v>
      </c>
      <c r="Q21" s="241">
        <v>0</v>
      </c>
      <c r="R21" s="241">
        <v>16</v>
      </c>
      <c r="S21" s="241"/>
      <c r="T21" s="241"/>
      <c r="U21" s="241"/>
      <c r="V21" s="241"/>
      <c r="W21" s="241">
        <v>6</v>
      </c>
      <c r="X21" s="241">
        <v>7</v>
      </c>
      <c r="Y21" s="241"/>
      <c r="Z21" s="241"/>
      <c r="AA21" s="241"/>
      <c r="AB21" s="241">
        <v>1</v>
      </c>
      <c r="AC21" s="241"/>
      <c r="AD21" s="241"/>
      <c r="AE21" s="241">
        <v>314</v>
      </c>
      <c r="AF21" s="241"/>
      <c r="AG21" s="241"/>
      <c r="AH21" s="241"/>
      <c r="AI21" s="241"/>
      <c r="AJ21" s="241">
        <v>590</v>
      </c>
      <c r="AK21" s="241"/>
      <c r="AL21" s="241">
        <v>0</v>
      </c>
      <c r="AM21" s="241"/>
      <c r="AN21" s="241">
        <v>-2.0299999999999998</v>
      </c>
    </row>
    <row r="22" spans="1:40" x14ac:dyDescent="0.25">
      <c r="A22" s="159" t="s">
        <v>633</v>
      </c>
      <c r="B22" s="159">
        <v>21</v>
      </c>
      <c r="C22" s="159">
        <v>750</v>
      </c>
      <c r="D22" s="159">
        <v>500</v>
      </c>
      <c r="E22" s="159" t="s">
        <v>55</v>
      </c>
      <c r="F22" s="159" t="s">
        <v>50</v>
      </c>
      <c r="G22" s="264">
        <v>8960000</v>
      </c>
      <c r="H22" s="249">
        <v>0</v>
      </c>
      <c r="I22" s="249">
        <v>100</v>
      </c>
      <c r="J22" s="249">
        <v>0</v>
      </c>
      <c r="K22" s="249">
        <v>0</v>
      </c>
      <c r="L22" s="249">
        <v>-148.0250665296449</v>
      </c>
      <c r="M22" s="249">
        <v>-113.97577374311049</v>
      </c>
      <c r="N22" s="159" t="s">
        <v>245</v>
      </c>
      <c r="O22" s="159" t="s">
        <v>230</v>
      </c>
      <c r="P22" s="159">
        <v>0</v>
      </c>
      <c r="Q22" s="159">
        <v>0</v>
      </c>
      <c r="R22" s="159">
        <v>16</v>
      </c>
      <c r="S22" s="159"/>
      <c r="T22" s="159"/>
      <c r="U22" s="159"/>
      <c r="V22" s="159"/>
      <c r="W22" s="159">
        <v>6</v>
      </c>
      <c r="X22" s="159">
        <v>7</v>
      </c>
      <c r="Y22" s="159"/>
      <c r="Z22" s="159"/>
      <c r="AA22" s="159"/>
      <c r="AB22" s="159">
        <v>1</v>
      </c>
      <c r="AC22" s="159"/>
      <c r="AD22" s="159"/>
      <c r="AE22" s="159">
        <v>314</v>
      </c>
      <c r="AF22" s="159"/>
      <c r="AG22" s="159"/>
      <c r="AH22" s="159"/>
      <c r="AI22" s="159"/>
      <c r="AJ22" s="159">
        <v>590</v>
      </c>
      <c r="AK22" s="159"/>
      <c r="AL22" s="159">
        <v>0</v>
      </c>
      <c r="AM22" s="159"/>
      <c r="AN22" s="159">
        <v>-2.66</v>
      </c>
    </row>
    <row r="23" spans="1:40" x14ac:dyDescent="0.25">
      <c r="A23" s="241" t="s">
        <v>634</v>
      </c>
      <c r="B23" s="241">
        <v>22</v>
      </c>
      <c r="C23" s="241">
        <v>750</v>
      </c>
      <c r="D23" s="241">
        <v>1000</v>
      </c>
      <c r="E23" s="241" t="s">
        <v>55</v>
      </c>
      <c r="F23" s="241" t="s">
        <v>50</v>
      </c>
      <c r="G23" s="265">
        <v>8960000</v>
      </c>
      <c r="H23" s="250">
        <v>0</v>
      </c>
      <c r="I23" s="250">
        <v>100</v>
      </c>
      <c r="J23" s="250">
        <v>0</v>
      </c>
      <c r="K23" s="250">
        <v>0</v>
      </c>
      <c r="L23" s="250">
        <v>-148.0250665296449</v>
      </c>
      <c r="M23" s="250">
        <v>-113.97577374311049</v>
      </c>
      <c r="N23" s="241" t="s">
        <v>245</v>
      </c>
      <c r="O23" s="241" t="s">
        <v>230</v>
      </c>
      <c r="P23" s="241">
        <v>0</v>
      </c>
      <c r="Q23" s="241">
        <v>0</v>
      </c>
      <c r="R23" s="241">
        <v>16</v>
      </c>
      <c r="S23" s="241"/>
      <c r="T23" s="241"/>
      <c r="U23" s="241"/>
      <c r="V23" s="241"/>
      <c r="W23" s="241">
        <v>6</v>
      </c>
      <c r="X23" s="241">
        <v>7</v>
      </c>
      <c r="Y23" s="241"/>
      <c r="Z23" s="241"/>
      <c r="AA23" s="241"/>
      <c r="AB23" s="241">
        <v>1</v>
      </c>
      <c r="AC23" s="241"/>
      <c r="AD23" s="241"/>
      <c r="AE23" s="241">
        <v>314</v>
      </c>
      <c r="AF23" s="241"/>
      <c r="AG23" s="241"/>
      <c r="AH23" s="241"/>
      <c r="AI23" s="241"/>
      <c r="AJ23" s="241">
        <v>590</v>
      </c>
      <c r="AK23" s="241"/>
      <c r="AL23" s="241">
        <v>0</v>
      </c>
      <c r="AM23" s="241"/>
      <c r="AN23" s="241">
        <v>-3.06</v>
      </c>
    </row>
    <row r="24" spans="1:40" x14ac:dyDescent="0.25">
      <c r="A24" s="159" t="s">
        <v>635</v>
      </c>
      <c r="B24" s="159">
        <v>23</v>
      </c>
      <c r="C24" s="159">
        <v>750</v>
      </c>
      <c r="D24" s="159">
        <v>2000</v>
      </c>
      <c r="E24" s="159" t="s">
        <v>55</v>
      </c>
      <c r="F24" s="159" t="s">
        <v>50</v>
      </c>
      <c r="G24" s="264">
        <v>8960000</v>
      </c>
      <c r="H24" s="249">
        <v>0</v>
      </c>
      <c r="I24" s="249">
        <v>100</v>
      </c>
      <c r="J24" s="249">
        <v>0</v>
      </c>
      <c r="K24" s="249">
        <v>0</v>
      </c>
      <c r="L24" s="249">
        <v>-148.0250665296449</v>
      </c>
      <c r="M24" s="249">
        <v>-113.97577374311049</v>
      </c>
      <c r="N24" s="159" t="s">
        <v>245</v>
      </c>
      <c r="O24" s="159" t="s">
        <v>230</v>
      </c>
      <c r="P24" s="159">
        <v>0</v>
      </c>
      <c r="Q24" s="159">
        <v>0</v>
      </c>
      <c r="R24" s="159">
        <v>16</v>
      </c>
      <c r="S24" s="159"/>
      <c r="T24" s="159"/>
      <c r="U24" s="159"/>
      <c r="V24" s="159"/>
      <c r="W24" s="159">
        <v>6</v>
      </c>
      <c r="X24" s="159">
        <v>7</v>
      </c>
      <c r="Y24" s="159"/>
      <c r="Z24" s="159"/>
      <c r="AA24" s="159"/>
      <c r="AB24" s="159">
        <v>1</v>
      </c>
      <c r="AC24" s="159"/>
      <c r="AD24" s="159"/>
      <c r="AE24" s="159">
        <v>314</v>
      </c>
      <c r="AF24" s="159"/>
      <c r="AG24" s="159"/>
      <c r="AH24" s="159"/>
      <c r="AI24" s="159"/>
      <c r="AJ24" s="159">
        <v>590</v>
      </c>
      <c r="AK24" s="159"/>
      <c r="AL24" s="159">
        <v>0</v>
      </c>
      <c r="AM24" s="159"/>
      <c r="AN24" s="159">
        <v>-2.36</v>
      </c>
    </row>
    <row r="25" spans="1:40" x14ac:dyDescent="0.25">
      <c r="A25" s="241" t="s">
        <v>636</v>
      </c>
      <c r="B25" s="241">
        <v>24</v>
      </c>
      <c r="C25" s="241">
        <v>850</v>
      </c>
      <c r="D25" s="241">
        <v>100</v>
      </c>
      <c r="E25" s="241" t="s">
        <v>55</v>
      </c>
      <c r="F25" s="241" t="s">
        <v>50</v>
      </c>
      <c r="G25" s="265">
        <v>8960000</v>
      </c>
      <c r="H25" s="250">
        <v>0</v>
      </c>
      <c r="I25" s="250">
        <v>100</v>
      </c>
      <c r="J25" s="250">
        <v>0</v>
      </c>
      <c r="K25" s="250">
        <v>0</v>
      </c>
      <c r="L25" s="250">
        <v>-144.59476121179804</v>
      </c>
      <c r="M25" s="250">
        <v>-112.01341460271253</v>
      </c>
      <c r="N25" s="241" t="s">
        <v>245</v>
      </c>
      <c r="O25" s="241" t="s">
        <v>230</v>
      </c>
      <c r="P25" s="241">
        <v>0</v>
      </c>
      <c r="Q25" s="241">
        <v>0</v>
      </c>
      <c r="R25" s="241">
        <v>16</v>
      </c>
      <c r="S25" s="241"/>
      <c r="T25" s="241"/>
      <c r="U25" s="241"/>
      <c r="V25" s="241"/>
      <c r="W25" s="241">
        <v>6</v>
      </c>
      <c r="X25" s="241">
        <v>7</v>
      </c>
      <c r="Y25" s="241"/>
      <c r="Z25" s="241"/>
      <c r="AA25" s="241"/>
      <c r="AB25" s="241">
        <v>1</v>
      </c>
      <c r="AC25" s="241"/>
      <c r="AD25" s="241"/>
      <c r="AE25" s="241">
        <v>314</v>
      </c>
      <c r="AF25" s="241"/>
      <c r="AG25" s="241"/>
      <c r="AH25" s="241"/>
      <c r="AI25" s="241"/>
      <c r="AJ25" s="241">
        <v>590</v>
      </c>
      <c r="AK25" s="241"/>
      <c r="AL25" s="241">
        <v>0</v>
      </c>
      <c r="AM25" s="241"/>
      <c r="AN25" s="241">
        <v>-0.74</v>
      </c>
    </row>
    <row r="26" spans="1:40" x14ac:dyDescent="0.25">
      <c r="A26" s="159" t="s">
        <v>637</v>
      </c>
      <c r="B26" s="159">
        <v>25</v>
      </c>
      <c r="C26" s="159">
        <v>850</v>
      </c>
      <c r="D26" s="159">
        <v>500</v>
      </c>
      <c r="E26" s="159" t="s">
        <v>55</v>
      </c>
      <c r="F26" s="159" t="s">
        <v>50</v>
      </c>
      <c r="G26" s="264">
        <v>8960000</v>
      </c>
      <c r="H26" s="249">
        <v>0</v>
      </c>
      <c r="I26" s="249">
        <v>100</v>
      </c>
      <c r="J26" s="249">
        <v>0</v>
      </c>
      <c r="K26" s="249">
        <v>0</v>
      </c>
      <c r="L26" s="249">
        <v>-144.59476121179804</v>
      </c>
      <c r="M26" s="249">
        <v>-112.01341460271253</v>
      </c>
      <c r="N26" s="159" t="s">
        <v>245</v>
      </c>
      <c r="O26" s="159" t="s">
        <v>230</v>
      </c>
      <c r="P26" s="159">
        <v>0</v>
      </c>
      <c r="Q26" s="159">
        <v>0</v>
      </c>
      <c r="R26" s="159">
        <v>16</v>
      </c>
      <c r="S26" s="159"/>
      <c r="T26" s="159"/>
      <c r="U26" s="159"/>
      <c r="V26" s="159"/>
      <c r="W26" s="159">
        <v>6</v>
      </c>
      <c r="X26" s="159">
        <v>7</v>
      </c>
      <c r="Y26" s="159"/>
      <c r="Z26" s="159"/>
      <c r="AA26" s="159"/>
      <c r="AB26" s="159">
        <v>1</v>
      </c>
      <c r="AC26" s="159"/>
      <c r="AD26" s="159"/>
      <c r="AE26" s="159">
        <v>314</v>
      </c>
      <c r="AF26" s="159"/>
      <c r="AG26" s="159"/>
      <c r="AH26" s="159"/>
      <c r="AI26" s="159"/>
      <c r="AJ26" s="159">
        <v>590</v>
      </c>
      <c r="AK26" s="159"/>
      <c r="AL26" s="159">
        <v>0</v>
      </c>
      <c r="AM26" s="159"/>
      <c r="AN26" s="159">
        <v>-0.96</v>
      </c>
    </row>
    <row r="27" spans="1:40" ht="16.5" thickBot="1" x14ac:dyDescent="0.3">
      <c r="A27" s="242" t="s">
        <v>638</v>
      </c>
      <c r="B27" s="242">
        <v>26</v>
      </c>
      <c r="C27" s="242">
        <v>850</v>
      </c>
      <c r="D27" s="242">
        <v>2000</v>
      </c>
      <c r="E27" s="242" t="s">
        <v>55</v>
      </c>
      <c r="F27" s="242" t="s">
        <v>50</v>
      </c>
      <c r="G27" s="266">
        <v>8960000</v>
      </c>
      <c r="H27" s="251">
        <v>0</v>
      </c>
      <c r="I27" s="251">
        <v>100</v>
      </c>
      <c r="J27" s="251">
        <v>0</v>
      </c>
      <c r="K27" s="251">
        <v>0</v>
      </c>
      <c r="L27" s="251">
        <v>-144.59476121179804</v>
      </c>
      <c r="M27" s="251">
        <v>-112.01341460271253</v>
      </c>
      <c r="N27" s="242" t="s">
        <v>245</v>
      </c>
      <c r="O27" s="242" t="s">
        <v>230</v>
      </c>
      <c r="P27" s="242">
        <v>0</v>
      </c>
      <c r="Q27" s="242">
        <v>0</v>
      </c>
      <c r="R27" s="242">
        <v>16</v>
      </c>
      <c r="S27" s="242"/>
      <c r="T27" s="242"/>
      <c r="U27" s="242"/>
      <c r="V27" s="242"/>
      <c r="W27" s="242">
        <v>6</v>
      </c>
      <c r="X27" s="242">
        <v>7</v>
      </c>
      <c r="Y27" s="242"/>
      <c r="Z27" s="242"/>
      <c r="AA27" s="242"/>
      <c r="AB27" s="242">
        <v>1</v>
      </c>
      <c r="AC27" s="242"/>
      <c r="AD27" s="242"/>
      <c r="AE27" s="242">
        <v>314</v>
      </c>
      <c r="AF27" s="242"/>
      <c r="AG27" s="242"/>
      <c r="AH27" s="242"/>
      <c r="AI27" s="242"/>
      <c r="AJ27" s="242">
        <v>590</v>
      </c>
      <c r="AK27" s="242"/>
      <c r="AL27" s="242">
        <v>0</v>
      </c>
      <c r="AM27" s="242"/>
      <c r="AN27" s="242">
        <v>-1.5</v>
      </c>
    </row>
    <row r="28" spans="1:40" x14ac:dyDescent="0.25">
      <c r="A28" s="159" t="s">
        <v>639</v>
      </c>
      <c r="B28" s="159">
        <v>27</v>
      </c>
      <c r="C28" s="159">
        <v>550</v>
      </c>
      <c r="D28" s="159">
        <v>100</v>
      </c>
      <c r="E28" s="159" t="s">
        <v>55</v>
      </c>
      <c r="F28" s="159" t="s">
        <v>50</v>
      </c>
      <c r="G28" s="264">
        <v>8960000</v>
      </c>
      <c r="H28" s="249">
        <v>0</v>
      </c>
      <c r="I28" s="249">
        <v>100</v>
      </c>
      <c r="J28" s="249">
        <v>0</v>
      </c>
      <c r="K28" s="249">
        <v>0</v>
      </c>
      <c r="L28" s="249">
        <v>-154.88567716533856</v>
      </c>
      <c r="M28" s="249">
        <v>-117.90049202390642</v>
      </c>
      <c r="N28" s="159" t="s">
        <v>228</v>
      </c>
      <c r="O28" s="159" t="s">
        <v>230</v>
      </c>
      <c r="P28" s="159">
        <v>0</v>
      </c>
      <c r="Q28" s="159">
        <v>0</v>
      </c>
      <c r="R28" s="159"/>
      <c r="S28" s="159"/>
      <c r="T28" s="159"/>
      <c r="U28" s="159"/>
      <c r="V28" s="159"/>
      <c r="W28" s="159"/>
      <c r="X28" s="159"/>
      <c r="Y28" s="159"/>
      <c r="Z28" s="159"/>
      <c r="AA28" s="159"/>
      <c r="AB28" s="159"/>
      <c r="AC28" s="159"/>
      <c r="AD28" s="159"/>
      <c r="AE28" s="159"/>
      <c r="AF28" s="159"/>
      <c r="AG28" s="159"/>
      <c r="AH28" s="159"/>
      <c r="AI28" s="159"/>
      <c r="AJ28" s="159"/>
      <c r="AK28" s="159"/>
      <c r="AL28" s="159">
        <v>0</v>
      </c>
      <c r="AM28" s="159"/>
      <c r="AN28" s="159">
        <v>-0.48</v>
      </c>
    </row>
    <row r="29" spans="1:40" x14ac:dyDescent="0.25">
      <c r="A29" s="241" t="s">
        <v>640</v>
      </c>
      <c r="B29" s="241">
        <v>28</v>
      </c>
      <c r="C29" s="241">
        <v>550</v>
      </c>
      <c r="D29" s="241">
        <v>500</v>
      </c>
      <c r="E29" s="241" t="s">
        <v>55</v>
      </c>
      <c r="F29" s="241" t="s">
        <v>50</v>
      </c>
      <c r="G29" s="265">
        <v>8960000</v>
      </c>
      <c r="H29" s="250">
        <v>0</v>
      </c>
      <c r="I29" s="250">
        <v>100</v>
      </c>
      <c r="J29" s="250">
        <v>0</v>
      </c>
      <c r="K29" s="250">
        <v>0</v>
      </c>
      <c r="L29" s="250">
        <v>-154.88567716533856</v>
      </c>
      <c r="M29" s="250">
        <v>-117.90049202390642</v>
      </c>
      <c r="N29" s="241" t="s">
        <v>228</v>
      </c>
      <c r="O29" s="241" t="s">
        <v>230</v>
      </c>
      <c r="P29" s="241">
        <v>0</v>
      </c>
      <c r="Q29" s="241">
        <v>0</v>
      </c>
      <c r="R29" s="241"/>
      <c r="S29" s="241"/>
      <c r="T29" s="241"/>
      <c r="U29" s="241"/>
      <c r="V29" s="241"/>
      <c r="W29" s="241"/>
      <c r="X29" s="241"/>
      <c r="Y29" s="241"/>
      <c r="Z29" s="241"/>
      <c r="AA29" s="241"/>
      <c r="AB29" s="241"/>
      <c r="AC29" s="241"/>
      <c r="AD29" s="241"/>
      <c r="AE29" s="241"/>
      <c r="AF29" s="241"/>
      <c r="AG29" s="241"/>
      <c r="AH29" s="241"/>
      <c r="AI29" s="241"/>
      <c r="AJ29" s="241"/>
      <c r="AK29" s="241"/>
      <c r="AL29" s="241">
        <v>0</v>
      </c>
      <c r="AM29" s="241"/>
      <c r="AN29" s="241">
        <v>-0.84</v>
      </c>
    </row>
    <row r="30" spans="1:40" x14ac:dyDescent="0.25">
      <c r="A30" s="159" t="s">
        <v>641</v>
      </c>
      <c r="B30" s="159">
        <v>29</v>
      </c>
      <c r="C30" s="159">
        <v>550</v>
      </c>
      <c r="D30" s="159">
        <v>2000</v>
      </c>
      <c r="E30" s="159" t="s">
        <v>55</v>
      </c>
      <c r="F30" s="159" t="s">
        <v>50</v>
      </c>
      <c r="G30" s="264">
        <v>8960000</v>
      </c>
      <c r="H30" s="249">
        <v>0</v>
      </c>
      <c r="I30" s="249">
        <v>100</v>
      </c>
      <c r="J30" s="249">
        <v>0</v>
      </c>
      <c r="K30" s="249">
        <v>0</v>
      </c>
      <c r="L30" s="249">
        <v>-154.88567716533856</v>
      </c>
      <c r="M30" s="249">
        <v>-117.90049202390642</v>
      </c>
      <c r="N30" s="159" t="s">
        <v>228</v>
      </c>
      <c r="O30" s="159" t="s">
        <v>230</v>
      </c>
      <c r="P30" s="159">
        <v>0</v>
      </c>
      <c r="Q30" s="159">
        <v>0</v>
      </c>
      <c r="R30" s="159"/>
      <c r="S30" s="159"/>
      <c r="T30" s="159"/>
      <c r="U30" s="159"/>
      <c r="V30" s="159"/>
      <c r="W30" s="159"/>
      <c r="X30" s="159"/>
      <c r="Y30" s="159"/>
      <c r="Z30" s="159"/>
      <c r="AA30" s="159"/>
      <c r="AB30" s="159"/>
      <c r="AC30" s="159"/>
      <c r="AD30" s="159"/>
      <c r="AE30" s="159"/>
      <c r="AF30" s="159"/>
      <c r="AG30" s="159"/>
      <c r="AH30" s="159"/>
      <c r="AI30" s="159"/>
      <c r="AJ30" s="159"/>
      <c r="AK30" s="159"/>
      <c r="AL30" s="159">
        <v>0</v>
      </c>
      <c r="AM30" s="159"/>
      <c r="AN30" s="159">
        <v>-0.81</v>
      </c>
    </row>
    <row r="31" spans="1:40" x14ac:dyDescent="0.25">
      <c r="A31" s="241" t="s">
        <v>642</v>
      </c>
      <c r="B31" s="241">
        <v>30</v>
      </c>
      <c r="C31" s="241">
        <v>650</v>
      </c>
      <c r="D31" s="241">
        <v>100</v>
      </c>
      <c r="E31" s="241" t="s">
        <v>55</v>
      </c>
      <c r="F31" s="241" t="s">
        <v>50</v>
      </c>
      <c r="G31" s="265">
        <v>8960000</v>
      </c>
      <c r="H31" s="250">
        <v>0</v>
      </c>
      <c r="I31" s="250">
        <v>100</v>
      </c>
      <c r="J31" s="250">
        <v>0</v>
      </c>
      <c r="K31" s="250">
        <v>0</v>
      </c>
      <c r="L31" s="250">
        <v>-151.45537184749173</v>
      </c>
      <c r="M31" s="250">
        <v>-115.93813288350846</v>
      </c>
      <c r="N31" s="241" t="s">
        <v>228</v>
      </c>
      <c r="O31" s="241" t="s">
        <v>230</v>
      </c>
      <c r="P31" s="241">
        <v>0</v>
      </c>
      <c r="Q31" s="241">
        <v>0</v>
      </c>
      <c r="R31" s="241"/>
      <c r="S31" s="241"/>
      <c r="T31" s="241"/>
      <c r="U31" s="241"/>
      <c r="V31" s="241"/>
      <c r="W31" s="241"/>
      <c r="X31" s="241"/>
      <c r="Y31" s="241"/>
      <c r="Z31" s="241"/>
      <c r="AA31" s="241"/>
      <c r="AB31" s="241"/>
      <c r="AC31" s="241"/>
      <c r="AD31" s="241"/>
      <c r="AE31" s="241"/>
      <c r="AF31" s="241"/>
      <c r="AG31" s="241"/>
      <c r="AH31" s="241"/>
      <c r="AI31" s="241"/>
      <c r="AJ31" s="241"/>
      <c r="AK31" s="241"/>
      <c r="AL31" s="241">
        <v>0</v>
      </c>
      <c r="AM31" s="241"/>
      <c r="AN31" s="241">
        <v>-0.95</v>
      </c>
    </row>
    <row r="32" spans="1:40" x14ac:dyDescent="0.25">
      <c r="A32" s="159" t="s">
        <v>643</v>
      </c>
      <c r="B32" s="159">
        <v>31</v>
      </c>
      <c r="C32" s="159">
        <v>650</v>
      </c>
      <c r="D32" s="159">
        <v>500</v>
      </c>
      <c r="E32" s="159" t="s">
        <v>55</v>
      </c>
      <c r="F32" s="159" t="s">
        <v>50</v>
      </c>
      <c r="G32" s="264">
        <v>8960000</v>
      </c>
      <c r="H32" s="249">
        <v>0</v>
      </c>
      <c r="I32" s="249">
        <v>100</v>
      </c>
      <c r="J32" s="249">
        <v>0</v>
      </c>
      <c r="K32" s="249">
        <v>0</v>
      </c>
      <c r="L32" s="249">
        <v>-151.45537184749173</v>
      </c>
      <c r="M32" s="249">
        <v>-115.93813288350846</v>
      </c>
      <c r="N32" s="159" t="s">
        <v>228</v>
      </c>
      <c r="O32" s="159" t="s">
        <v>230</v>
      </c>
      <c r="P32" s="159">
        <v>0</v>
      </c>
      <c r="Q32" s="159">
        <v>0</v>
      </c>
      <c r="R32" s="159"/>
      <c r="S32" s="159"/>
      <c r="T32" s="159"/>
      <c r="U32" s="159"/>
      <c r="V32" s="159"/>
      <c r="W32" s="159"/>
      <c r="X32" s="159"/>
      <c r="Y32" s="159"/>
      <c r="Z32" s="159"/>
      <c r="AA32" s="159"/>
      <c r="AB32" s="159"/>
      <c r="AC32" s="159"/>
      <c r="AD32" s="159"/>
      <c r="AE32" s="159"/>
      <c r="AF32" s="159"/>
      <c r="AG32" s="159"/>
      <c r="AH32" s="159"/>
      <c r="AI32" s="159"/>
      <c r="AJ32" s="159"/>
      <c r="AK32" s="159"/>
      <c r="AL32" s="159">
        <v>0</v>
      </c>
      <c r="AM32" s="159"/>
      <c r="AN32" s="159">
        <v>-1.88</v>
      </c>
    </row>
    <row r="33" spans="1:40" x14ac:dyDescent="0.25">
      <c r="A33" s="241" t="s">
        <v>644</v>
      </c>
      <c r="B33" s="241">
        <v>32</v>
      </c>
      <c r="C33" s="241">
        <v>650</v>
      </c>
      <c r="D33" s="241">
        <v>2000</v>
      </c>
      <c r="E33" s="241" t="s">
        <v>55</v>
      </c>
      <c r="F33" s="241" t="s">
        <v>50</v>
      </c>
      <c r="G33" s="265">
        <v>8960000</v>
      </c>
      <c r="H33" s="250">
        <v>0</v>
      </c>
      <c r="I33" s="250">
        <v>100</v>
      </c>
      <c r="J33" s="250">
        <v>0</v>
      </c>
      <c r="K33" s="250">
        <v>0</v>
      </c>
      <c r="L33" s="250">
        <v>-151.45537184749173</v>
      </c>
      <c r="M33" s="250">
        <v>-115.93813288350846</v>
      </c>
      <c r="N33" s="241" t="s">
        <v>228</v>
      </c>
      <c r="O33" s="241" t="s">
        <v>230</v>
      </c>
      <c r="P33" s="241">
        <v>0</v>
      </c>
      <c r="Q33" s="241">
        <v>0</v>
      </c>
      <c r="R33" s="241"/>
      <c r="S33" s="241"/>
      <c r="T33" s="241"/>
      <c r="U33" s="241"/>
      <c r="V33" s="241"/>
      <c r="W33" s="241"/>
      <c r="X33" s="241"/>
      <c r="Y33" s="241"/>
      <c r="Z33" s="241"/>
      <c r="AA33" s="241"/>
      <c r="AB33" s="241"/>
      <c r="AC33" s="241"/>
      <c r="AD33" s="241"/>
      <c r="AE33" s="241"/>
      <c r="AF33" s="241"/>
      <c r="AG33" s="241"/>
      <c r="AH33" s="241"/>
      <c r="AI33" s="241"/>
      <c r="AJ33" s="241"/>
      <c r="AK33" s="241"/>
      <c r="AL33" s="241">
        <v>0</v>
      </c>
      <c r="AM33" s="241"/>
      <c r="AN33" s="241">
        <v>-0.96</v>
      </c>
    </row>
    <row r="34" spans="1:40" x14ac:dyDescent="0.25">
      <c r="A34" s="159" t="s">
        <v>645</v>
      </c>
      <c r="B34" s="159">
        <v>33</v>
      </c>
      <c r="C34" s="159">
        <v>750</v>
      </c>
      <c r="D34" s="159">
        <v>100</v>
      </c>
      <c r="E34" s="159" t="s">
        <v>55</v>
      </c>
      <c r="F34" s="159" t="s">
        <v>50</v>
      </c>
      <c r="G34" s="264">
        <v>8960000</v>
      </c>
      <c r="H34" s="249">
        <v>0</v>
      </c>
      <c r="I34" s="249">
        <v>100</v>
      </c>
      <c r="J34" s="249">
        <v>0</v>
      </c>
      <c r="K34" s="249">
        <v>0</v>
      </c>
      <c r="L34" s="249">
        <v>-148.0250665296449</v>
      </c>
      <c r="M34" s="249">
        <v>-113.97577374311049</v>
      </c>
      <c r="N34" s="159" t="s">
        <v>228</v>
      </c>
      <c r="O34" s="159" t="s">
        <v>230</v>
      </c>
      <c r="P34" s="159">
        <v>0</v>
      </c>
      <c r="Q34" s="159">
        <v>0</v>
      </c>
      <c r="R34" s="159"/>
      <c r="S34" s="159"/>
      <c r="T34" s="159"/>
      <c r="U34" s="159"/>
      <c r="V34" s="159"/>
      <c r="W34" s="159"/>
      <c r="X34" s="159"/>
      <c r="Y34" s="159"/>
      <c r="Z34" s="159"/>
      <c r="AA34" s="159"/>
      <c r="AB34" s="159"/>
      <c r="AC34" s="159"/>
      <c r="AD34" s="159"/>
      <c r="AE34" s="159"/>
      <c r="AF34" s="159"/>
      <c r="AG34" s="159"/>
      <c r="AH34" s="159"/>
      <c r="AI34" s="159"/>
      <c r="AJ34" s="159"/>
      <c r="AK34" s="159"/>
      <c r="AL34" s="159">
        <v>0</v>
      </c>
      <c r="AM34" s="159"/>
      <c r="AN34" s="159">
        <v>-1.65</v>
      </c>
    </row>
    <row r="35" spans="1:40" x14ac:dyDescent="0.25">
      <c r="A35" s="241" t="s">
        <v>646</v>
      </c>
      <c r="B35" s="241">
        <v>34</v>
      </c>
      <c r="C35" s="241">
        <v>750</v>
      </c>
      <c r="D35" s="241">
        <v>500</v>
      </c>
      <c r="E35" s="241" t="s">
        <v>55</v>
      </c>
      <c r="F35" s="241" t="s">
        <v>50</v>
      </c>
      <c r="G35" s="265">
        <v>8960000</v>
      </c>
      <c r="H35" s="250">
        <v>0</v>
      </c>
      <c r="I35" s="250">
        <v>100</v>
      </c>
      <c r="J35" s="250">
        <v>0</v>
      </c>
      <c r="K35" s="250">
        <v>0</v>
      </c>
      <c r="L35" s="250">
        <v>-148.0250665296449</v>
      </c>
      <c r="M35" s="250">
        <v>-113.97577374311049</v>
      </c>
      <c r="N35" s="241" t="s">
        <v>228</v>
      </c>
      <c r="O35" s="241" t="s">
        <v>230</v>
      </c>
      <c r="P35" s="241">
        <v>0</v>
      </c>
      <c r="Q35" s="241">
        <v>0</v>
      </c>
      <c r="R35" s="241"/>
      <c r="S35" s="241"/>
      <c r="T35" s="241"/>
      <c r="U35" s="241"/>
      <c r="V35" s="241"/>
      <c r="W35" s="241"/>
      <c r="X35" s="241"/>
      <c r="Y35" s="241"/>
      <c r="Z35" s="241"/>
      <c r="AA35" s="241"/>
      <c r="AB35" s="241"/>
      <c r="AC35" s="241"/>
      <c r="AD35" s="241"/>
      <c r="AE35" s="241"/>
      <c r="AF35" s="241"/>
      <c r="AG35" s="241"/>
      <c r="AH35" s="241"/>
      <c r="AI35" s="241"/>
      <c r="AJ35" s="241"/>
      <c r="AK35" s="241"/>
      <c r="AL35" s="241">
        <v>0</v>
      </c>
      <c r="AM35" s="241"/>
      <c r="AN35" s="241">
        <v>-1.97</v>
      </c>
    </row>
    <row r="36" spans="1:40" x14ac:dyDescent="0.25">
      <c r="A36" s="159" t="s">
        <v>647</v>
      </c>
      <c r="B36" s="159">
        <v>35</v>
      </c>
      <c r="C36" s="159">
        <v>750</v>
      </c>
      <c r="D36" s="159">
        <v>2000</v>
      </c>
      <c r="E36" s="159" t="s">
        <v>55</v>
      </c>
      <c r="F36" s="159" t="s">
        <v>50</v>
      </c>
      <c r="G36" s="264">
        <v>8960000</v>
      </c>
      <c r="H36" s="249">
        <v>0</v>
      </c>
      <c r="I36" s="249">
        <v>100</v>
      </c>
      <c r="J36" s="249">
        <v>0</v>
      </c>
      <c r="K36" s="249">
        <v>0</v>
      </c>
      <c r="L36" s="249">
        <v>-148.0250665296449</v>
      </c>
      <c r="M36" s="249">
        <v>-113.97577374311049</v>
      </c>
      <c r="N36" s="159" t="s">
        <v>228</v>
      </c>
      <c r="O36" s="159" t="s">
        <v>230</v>
      </c>
      <c r="P36" s="159">
        <v>0</v>
      </c>
      <c r="Q36" s="159">
        <v>0</v>
      </c>
      <c r="R36" s="159"/>
      <c r="S36" s="159"/>
      <c r="T36" s="159"/>
      <c r="U36" s="159"/>
      <c r="V36" s="159"/>
      <c r="W36" s="159"/>
      <c r="X36" s="159"/>
      <c r="Y36" s="159"/>
      <c r="Z36" s="159"/>
      <c r="AA36" s="159"/>
      <c r="AB36" s="159"/>
      <c r="AC36" s="159"/>
      <c r="AD36" s="159"/>
      <c r="AE36" s="159"/>
      <c r="AF36" s="159"/>
      <c r="AG36" s="159"/>
      <c r="AH36" s="159"/>
      <c r="AI36" s="159"/>
      <c r="AJ36" s="159"/>
      <c r="AK36" s="159"/>
      <c r="AL36" s="159">
        <v>0</v>
      </c>
      <c r="AM36" s="159"/>
      <c r="AN36" s="159">
        <v>-1.8</v>
      </c>
    </row>
    <row r="37" spans="1:40" x14ac:dyDescent="0.25">
      <c r="A37" s="241" t="s">
        <v>648</v>
      </c>
      <c r="B37" s="241">
        <v>36</v>
      </c>
      <c r="C37" s="241">
        <v>850</v>
      </c>
      <c r="D37" s="241">
        <v>100</v>
      </c>
      <c r="E37" s="241" t="s">
        <v>55</v>
      </c>
      <c r="F37" s="241" t="s">
        <v>50</v>
      </c>
      <c r="G37" s="265">
        <v>8960000</v>
      </c>
      <c r="H37" s="250">
        <v>0</v>
      </c>
      <c r="I37" s="250">
        <v>100</v>
      </c>
      <c r="J37" s="250">
        <v>0</v>
      </c>
      <c r="K37" s="250">
        <v>0</v>
      </c>
      <c r="L37" s="250">
        <v>-144.59476121179804</v>
      </c>
      <c r="M37" s="250">
        <v>-112.01341460271253</v>
      </c>
      <c r="N37" s="241" t="s">
        <v>228</v>
      </c>
      <c r="O37" s="241" t="s">
        <v>230</v>
      </c>
      <c r="P37" s="241">
        <v>0</v>
      </c>
      <c r="Q37" s="241">
        <v>0</v>
      </c>
      <c r="R37" s="241"/>
      <c r="S37" s="241"/>
      <c r="T37" s="241"/>
      <c r="U37" s="241"/>
      <c r="V37" s="241"/>
      <c r="W37" s="241"/>
      <c r="X37" s="241"/>
      <c r="Y37" s="241"/>
      <c r="Z37" s="241"/>
      <c r="AA37" s="241"/>
      <c r="AB37" s="241"/>
      <c r="AC37" s="241"/>
      <c r="AD37" s="241"/>
      <c r="AE37" s="241"/>
      <c r="AF37" s="241"/>
      <c r="AG37" s="241"/>
      <c r="AH37" s="241"/>
      <c r="AI37" s="241"/>
      <c r="AJ37" s="241"/>
      <c r="AK37" s="241"/>
      <c r="AL37" s="241">
        <v>0</v>
      </c>
      <c r="AM37" s="241"/>
      <c r="AN37" s="241">
        <v>-2.2400000000000002</v>
      </c>
    </row>
    <row r="38" spans="1:40" x14ac:dyDescent="0.25">
      <c r="A38" s="159" t="s">
        <v>649</v>
      </c>
      <c r="B38" s="159">
        <v>37</v>
      </c>
      <c r="C38" s="159">
        <v>850</v>
      </c>
      <c r="D38" s="159">
        <v>500</v>
      </c>
      <c r="E38" s="159" t="s">
        <v>55</v>
      </c>
      <c r="F38" s="159" t="s">
        <v>50</v>
      </c>
      <c r="G38" s="264">
        <v>8960000</v>
      </c>
      <c r="H38" s="249">
        <v>0</v>
      </c>
      <c r="I38" s="249">
        <v>100</v>
      </c>
      <c r="J38" s="249">
        <v>0</v>
      </c>
      <c r="K38" s="249">
        <v>0</v>
      </c>
      <c r="L38" s="249">
        <v>-144.59476121179804</v>
      </c>
      <c r="M38" s="249">
        <v>-112.01341460271253</v>
      </c>
      <c r="N38" s="159" t="s">
        <v>228</v>
      </c>
      <c r="O38" s="159" t="s">
        <v>230</v>
      </c>
      <c r="P38" s="159">
        <v>0</v>
      </c>
      <c r="Q38" s="159">
        <v>0</v>
      </c>
      <c r="R38" s="159"/>
      <c r="S38" s="159"/>
      <c r="T38" s="159"/>
      <c r="U38" s="159"/>
      <c r="V38" s="159"/>
      <c r="W38" s="159"/>
      <c r="X38" s="159"/>
      <c r="Y38" s="159"/>
      <c r="Z38" s="159"/>
      <c r="AA38" s="159"/>
      <c r="AB38" s="159"/>
      <c r="AC38" s="159"/>
      <c r="AD38" s="159"/>
      <c r="AE38" s="159"/>
      <c r="AF38" s="159"/>
      <c r="AG38" s="159"/>
      <c r="AH38" s="159"/>
      <c r="AI38" s="159"/>
      <c r="AJ38" s="159"/>
      <c r="AK38" s="159"/>
      <c r="AL38" s="159">
        <v>0</v>
      </c>
      <c r="AM38" s="159"/>
      <c r="AN38" s="159">
        <v>-5.77</v>
      </c>
    </row>
    <row r="39" spans="1:40" x14ac:dyDescent="0.25">
      <c r="A39" s="241" t="s">
        <v>650</v>
      </c>
      <c r="B39" s="241">
        <v>38</v>
      </c>
      <c r="C39" s="241">
        <v>850</v>
      </c>
      <c r="D39" s="241">
        <v>2000</v>
      </c>
      <c r="E39" s="241" t="s">
        <v>55</v>
      </c>
      <c r="F39" s="241" t="s">
        <v>50</v>
      </c>
      <c r="G39" s="265">
        <v>8960000</v>
      </c>
      <c r="H39" s="250">
        <v>0</v>
      </c>
      <c r="I39" s="250">
        <v>100</v>
      </c>
      <c r="J39" s="250">
        <v>0</v>
      </c>
      <c r="K39" s="250">
        <v>0</v>
      </c>
      <c r="L39" s="250">
        <v>-144.59476121179804</v>
      </c>
      <c r="M39" s="250">
        <v>-112.01341460271253</v>
      </c>
      <c r="N39" s="241" t="s">
        <v>228</v>
      </c>
      <c r="O39" s="241" t="s">
        <v>230</v>
      </c>
      <c r="P39" s="241">
        <v>0</v>
      </c>
      <c r="Q39" s="241">
        <v>0</v>
      </c>
      <c r="R39" s="241"/>
      <c r="S39" s="241"/>
      <c r="T39" s="241"/>
      <c r="U39" s="241"/>
      <c r="V39" s="241"/>
      <c r="W39" s="241"/>
      <c r="X39" s="241"/>
      <c r="Y39" s="241"/>
      <c r="Z39" s="241"/>
      <c r="AA39" s="241"/>
      <c r="AB39" s="241"/>
      <c r="AC39" s="241"/>
      <c r="AD39" s="241"/>
      <c r="AE39" s="241"/>
      <c r="AF39" s="241"/>
      <c r="AG39" s="241"/>
      <c r="AH39" s="241"/>
      <c r="AI39" s="241"/>
      <c r="AJ39" s="241"/>
      <c r="AK39" s="241"/>
      <c r="AL39" s="241">
        <v>0</v>
      </c>
      <c r="AM39" s="241"/>
      <c r="AN39" s="241">
        <v>-9.1</v>
      </c>
    </row>
    <row r="40" spans="1:40" x14ac:dyDescent="0.25">
      <c r="A40" s="159" t="s">
        <v>651</v>
      </c>
      <c r="B40" s="159">
        <v>39</v>
      </c>
      <c r="C40" s="159">
        <v>550</v>
      </c>
      <c r="D40" s="159">
        <v>100</v>
      </c>
      <c r="E40" s="159" t="s">
        <v>58</v>
      </c>
      <c r="F40" s="159" t="s">
        <v>58</v>
      </c>
      <c r="G40" s="264">
        <v>7874000</v>
      </c>
      <c r="H40" s="249">
        <v>0</v>
      </c>
      <c r="I40" s="249">
        <v>0</v>
      </c>
      <c r="J40" s="249">
        <v>0</v>
      </c>
      <c r="K40" s="249">
        <v>100</v>
      </c>
      <c r="L40" s="249">
        <v>-140.81908506289301</v>
      </c>
      <c r="M40" s="249">
        <v>-140.81908506289301</v>
      </c>
      <c r="N40" s="159" t="s">
        <v>228</v>
      </c>
      <c r="O40" s="159" t="s">
        <v>230</v>
      </c>
      <c r="P40" s="159">
        <v>0</v>
      </c>
      <c r="Q40" s="159">
        <v>0</v>
      </c>
      <c r="R40" s="159"/>
      <c r="S40" s="159"/>
      <c r="T40" s="159"/>
      <c r="U40" s="159"/>
      <c r="V40" s="159"/>
      <c r="W40" s="159"/>
      <c r="X40" s="159"/>
      <c r="Y40" s="159"/>
      <c r="Z40" s="159"/>
      <c r="AA40" s="159"/>
      <c r="AB40" s="159"/>
      <c r="AC40" s="159"/>
      <c r="AD40" s="159"/>
      <c r="AE40" s="159"/>
      <c r="AF40" s="159"/>
      <c r="AG40" s="159"/>
      <c r="AH40" s="159"/>
      <c r="AI40" s="159"/>
      <c r="AJ40" s="159"/>
      <c r="AK40" s="159"/>
      <c r="AL40" s="159">
        <v>0</v>
      </c>
      <c r="AM40" s="159"/>
      <c r="AN40" s="159">
        <v>-0.38</v>
      </c>
    </row>
    <row r="41" spans="1:40" x14ac:dyDescent="0.25">
      <c r="A41" s="241" t="s">
        <v>652</v>
      </c>
      <c r="B41" s="241">
        <v>40</v>
      </c>
      <c r="C41" s="241">
        <v>550</v>
      </c>
      <c r="D41" s="241">
        <v>500</v>
      </c>
      <c r="E41" s="241" t="s">
        <v>58</v>
      </c>
      <c r="F41" s="241" t="s">
        <v>58</v>
      </c>
      <c r="G41" s="265">
        <v>7874000</v>
      </c>
      <c r="H41" s="250">
        <v>0</v>
      </c>
      <c r="I41" s="250">
        <v>0</v>
      </c>
      <c r="J41" s="250">
        <v>0</v>
      </c>
      <c r="K41" s="250">
        <v>100</v>
      </c>
      <c r="L41" s="250">
        <v>-140.81908506289301</v>
      </c>
      <c r="M41" s="250">
        <v>-140.81908506289301</v>
      </c>
      <c r="N41" s="241" t="s">
        <v>228</v>
      </c>
      <c r="O41" s="241" t="s">
        <v>230</v>
      </c>
      <c r="P41" s="241">
        <v>0</v>
      </c>
      <c r="Q41" s="241">
        <v>0</v>
      </c>
      <c r="R41" s="241"/>
      <c r="S41" s="241"/>
      <c r="T41" s="241"/>
      <c r="U41" s="241"/>
      <c r="V41" s="241"/>
      <c r="W41" s="241"/>
      <c r="X41" s="241"/>
      <c r="Y41" s="241"/>
      <c r="Z41" s="241"/>
      <c r="AA41" s="241"/>
      <c r="AB41" s="241"/>
      <c r="AC41" s="241"/>
      <c r="AD41" s="241"/>
      <c r="AE41" s="241"/>
      <c r="AF41" s="241"/>
      <c r="AG41" s="241"/>
      <c r="AH41" s="241"/>
      <c r="AI41" s="241"/>
      <c r="AJ41" s="241"/>
      <c r="AK41" s="241"/>
      <c r="AL41" s="241">
        <v>0</v>
      </c>
      <c r="AM41" s="241"/>
      <c r="AN41" s="241">
        <v>-0.37</v>
      </c>
    </row>
    <row r="42" spans="1:40" x14ac:dyDescent="0.25">
      <c r="A42" s="159" t="s">
        <v>653</v>
      </c>
      <c r="B42" s="159">
        <v>41</v>
      </c>
      <c r="C42" s="159">
        <v>550</v>
      </c>
      <c r="D42" s="159">
        <v>2000</v>
      </c>
      <c r="E42" s="159" t="s">
        <v>58</v>
      </c>
      <c r="F42" s="159" t="s">
        <v>58</v>
      </c>
      <c r="G42" s="264">
        <v>7874000</v>
      </c>
      <c r="H42" s="249">
        <v>0</v>
      </c>
      <c r="I42" s="249">
        <v>0</v>
      </c>
      <c r="J42" s="249">
        <v>0</v>
      </c>
      <c r="K42" s="249">
        <v>100</v>
      </c>
      <c r="L42" s="249">
        <v>-140.81908506289301</v>
      </c>
      <c r="M42" s="249">
        <v>-140.81908506289301</v>
      </c>
      <c r="N42" s="159" t="s">
        <v>228</v>
      </c>
      <c r="O42" s="159" t="s">
        <v>230</v>
      </c>
      <c r="P42" s="159">
        <v>0</v>
      </c>
      <c r="Q42" s="159">
        <v>0</v>
      </c>
      <c r="R42" s="159"/>
      <c r="S42" s="159"/>
      <c r="T42" s="159"/>
      <c r="U42" s="159"/>
      <c r="V42" s="159"/>
      <c r="W42" s="159"/>
      <c r="X42" s="159"/>
      <c r="Y42" s="159"/>
      <c r="Z42" s="159"/>
      <c r="AA42" s="159"/>
      <c r="AB42" s="159"/>
      <c r="AC42" s="159"/>
      <c r="AD42" s="159"/>
      <c r="AE42" s="159"/>
      <c r="AF42" s="159"/>
      <c r="AG42" s="159"/>
      <c r="AH42" s="159"/>
      <c r="AI42" s="159"/>
      <c r="AJ42" s="159"/>
      <c r="AK42" s="159"/>
      <c r="AL42" s="159">
        <v>0</v>
      </c>
      <c r="AM42" s="159"/>
      <c r="AN42" s="159">
        <v>-0.38</v>
      </c>
    </row>
    <row r="43" spans="1:40" x14ac:dyDescent="0.25">
      <c r="A43" s="241" t="s">
        <v>654</v>
      </c>
      <c r="B43" s="241">
        <v>42</v>
      </c>
      <c r="C43" s="241">
        <v>650</v>
      </c>
      <c r="D43" s="241">
        <v>100</v>
      </c>
      <c r="E43" s="241" t="s">
        <v>58</v>
      </c>
      <c r="F43" s="241" t="s">
        <v>58</v>
      </c>
      <c r="G43" s="265">
        <v>7874000</v>
      </c>
      <c r="H43" s="250">
        <v>0</v>
      </c>
      <c r="I43" s="250">
        <v>0</v>
      </c>
      <c r="J43" s="250">
        <v>0</v>
      </c>
      <c r="K43" s="250">
        <v>100</v>
      </c>
      <c r="L43" s="250">
        <v>-137.62640239466455</v>
      </c>
      <c r="M43" s="250">
        <v>-137.62640239466455</v>
      </c>
      <c r="N43" s="241" t="s">
        <v>228</v>
      </c>
      <c r="O43" s="241" t="s">
        <v>230</v>
      </c>
      <c r="P43" s="241">
        <v>0</v>
      </c>
      <c r="Q43" s="241">
        <v>0</v>
      </c>
      <c r="R43" s="241"/>
      <c r="S43" s="241"/>
      <c r="T43" s="241"/>
      <c r="U43" s="241"/>
      <c r="V43" s="241"/>
      <c r="W43" s="241"/>
      <c r="X43" s="241"/>
      <c r="Y43" s="241"/>
      <c r="Z43" s="241"/>
      <c r="AA43" s="241"/>
      <c r="AB43" s="241"/>
      <c r="AC43" s="241"/>
      <c r="AD43" s="241"/>
      <c r="AE43" s="241"/>
      <c r="AF43" s="241"/>
      <c r="AG43" s="241"/>
      <c r="AH43" s="241"/>
      <c r="AI43" s="241"/>
      <c r="AJ43" s="241"/>
      <c r="AK43" s="241"/>
      <c r="AL43" s="241">
        <v>0</v>
      </c>
      <c r="AM43" s="241"/>
      <c r="AN43" s="241">
        <v>-0.22</v>
      </c>
    </row>
    <row r="44" spans="1:40" x14ac:dyDescent="0.25">
      <c r="A44" s="159" t="s">
        <v>655</v>
      </c>
      <c r="B44" s="159">
        <v>43</v>
      </c>
      <c r="C44" s="159">
        <v>650</v>
      </c>
      <c r="D44" s="159">
        <v>500</v>
      </c>
      <c r="E44" s="159" t="s">
        <v>58</v>
      </c>
      <c r="F44" s="159" t="s">
        <v>58</v>
      </c>
      <c r="G44" s="264">
        <v>7874000</v>
      </c>
      <c r="H44" s="249">
        <v>0</v>
      </c>
      <c r="I44" s="249">
        <v>0</v>
      </c>
      <c r="J44" s="249">
        <v>0</v>
      </c>
      <c r="K44" s="249">
        <v>100</v>
      </c>
      <c r="L44" s="249">
        <v>-137.62640239466455</v>
      </c>
      <c r="M44" s="249">
        <v>-137.62640239466455</v>
      </c>
      <c r="N44" s="159" t="s">
        <v>228</v>
      </c>
      <c r="O44" s="159" t="s">
        <v>230</v>
      </c>
      <c r="P44" s="159">
        <v>0</v>
      </c>
      <c r="Q44" s="159">
        <v>0</v>
      </c>
      <c r="R44" s="159"/>
      <c r="S44" s="159"/>
      <c r="T44" s="159"/>
      <c r="U44" s="159"/>
      <c r="V44" s="159"/>
      <c r="W44" s="159"/>
      <c r="X44" s="159"/>
      <c r="Y44" s="159"/>
      <c r="Z44" s="159"/>
      <c r="AA44" s="159"/>
      <c r="AB44" s="159"/>
      <c r="AC44" s="159"/>
      <c r="AD44" s="159"/>
      <c r="AE44" s="159"/>
      <c r="AF44" s="159"/>
      <c r="AG44" s="159"/>
      <c r="AH44" s="159"/>
      <c r="AI44" s="159"/>
      <c r="AJ44" s="159"/>
      <c r="AK44" s="159"/>
      <c r="AL44" s="159">
        <v>0</v>
      </c>
      <c r="AM44" s="159"/>
      <c r="AN44" s="159">
        <v>-0.19</v>
      </c>
    </row>
    <row r="45" spans="1:40" x14ac:dyDescent="0.25">
      <c r="A45" s="241" t="s">
        <v>656</v>
      </c>
      <c r="B45" s="241">
        <v>44</v>
      </c>
      <c r="C45" s="241">
        <v>650</v>
      </c>
      <c r="D45" s="241">
        <v>2000</v>
      </c>
      <c r="E45" s="241" t="s">
        <v>58</v>
      </c>
      <c r="F45" s="241" t="s">
        <v>58</v>
      </c>
      <c r="G45" s="265">
        <v>7874000</v>
      </c>
      <c r="H45" s="250">
        <v>0</v>
      </c>
      <c r="I45" s="250">
        <v>0</v>
      </c>
      <c r="J45" s="250">
        <v>0</v>
      </c>
      <c r="K45" s="250">
        <v>100</v>
      </c>
      <c r="L45" s="250">
        <v>-137.62640239466455</v>
      </c>
      <c r="M45" s="250">
        <v>-137.62640239466455</v>
      </c>
      <c r="N45" s="241" t="s">
        <v>228</v>
      </c>
      <c r="O45" s="241" t="s">
        <v>230</v>
      </c>
      <c r="P45" s="241">
        <v>0</v>
      </c>
      <c r="Q45" s="241">
        <v>0</v>
      </c>
      <c r="R45" s="241"/>
      <c r="S45" s="241"/>
      <c r="T45" s="241"/>
      <c r="U45" s="241"/>
      <c r="V45" s="241"/>
      <c r="W45" s="241"/>
      <c r="X45" s="241"/>
      <c r="Y45" s="241"/>
      <c r="Z45" s="241"/>
      <c r="AA45" s="241"/>
      <c r="AB45" s="241"/>
      <c r="AC45" s="241"/>
      <c r="AD45" s="241"/>
      <c r="AE45" s="241"/>
      <c r="AF45" s="241"/>
      <c r="AG45" s="241"/>
      <c r="AH45" s="241"/>
      <c r="AI45" s="241"/>
      <c r="AJ45" s="241"/>
      <c r="AK45" s="241"/>
      <c r="AL45" s="241">
        <v>0</v>
      </c>
      <c r="AM45" s="241"/>
      <c r="AN45" s="241">
        <v>-0.25</v>
      </c>
    </row>
    <row r="46" spans="1:40" x14ac:dyDescent="0.25">
      <c r="A46" s="159" t="s">
        <v>657</v>
      </c>
      <c r="B46" s="159">
        <v>45</v>
      </c>
      <c r="C46" s="159">
        <v>750</v>
      </c>
      <c r="D46" s="159">
        <v>100</v>
      </c>
      <c r="E46" s="159" t="s">
        <v>58</v>
      </c>
      <c r="F46" s="159" t="s">
        <v>58</v>
      </c>
      <c r="G46" s="264">
        <v>7874000</v>
      </c>
      <c r="H46" s="249">
        <v>0</v>
      </c>
      <c r="I46" s="249">
        <v>0</v>
      </c>
      <c r="J46" s="249">
        <v>0</v>
      </c>
      <c r="K46" s="249">
        <v>100</v>
      </c>
      <c r="L46" s="249">
        <v>-134.4337197264361</v>
      </c>
      <c r="M46" s="249">
        <v>-134.4337197264361</v>
      </c>
      <c r="N46" s="159" t="s">
        <v>228</v>
      </c>
      <c r="O46" s="159" t="s">
        <v>230</v>
      </c>
      <c r="P46" s="159">
        <v>0</v>
      </c>
      <c r="Q46" s="159">
        <v>0</v>
      </c>
      <c r="R46" s="159"/>
      <c r="S46" s="159"/>
      <c r="T46" s="159"/>
      <c r="U46" s="159"/>
      <c r="V46" s="159"/>
      <c r="W46" s="159"/>
      <c r="X46" s="159"/>
      <c r="Y46" s="159"/>
      <c r="Z46" s="159"/>
      <c r="AA46" s="159"/>
      <c r="AB46" s="159"/>
      <c r="AC46" s="159"/>
      <c r="AD46" s="159"/>
      <c r="AE46" s="159"/>
      <c r="AF46" s="159"/>
      <c r="AG46" s="159"/>
      <c r="AH46" s="159"/>
      <c r="AI46" s="159"/>
      <c r="AJ46" s="159"/>
      <c r="AK46" s="159"/>
      <c r="AL46" s="159">
        <v>0</v>
      </c>
      <c r="AM46" s="159"/>
      <c r="AN46" s="159">
        <v>-0.19</v>
      </c>
    </row>
    <row r="47" spans="1:40" x14ac:dyDescent="0.25">
      <c r="A47" s="241" t="s">
        <v>658</v>
      </c>
      <c r="B47" s="241">
        <v>46</v>
      </c>
      <c r="C47" s="241">
        <v>750</v>
      </c>
      <c r="D47" s="241">
        <v>500</v>
      </c>
      <c r="E47" s="241" t="s">
        <v>58</v>
      </c>
      <c r="F47" s="241" t="s">
        <v>58</v>
      </c>
      <c r="G47" s="265">
        <v>7874000</v>
      </c>
      <c r="H47" s="250">
        <v>0</v>
      </c>
      <c r="I47" s="250">
        <v>0</v>
      </c>
      <c r="J47" s="250">
        <v>0</v>
      </c>
      <c r="K47" s="250">
        <v>100</v>
      </c>
      <c r="L47" s="250">
        <v>-134.4337197264361</v>
      </c>
      <c r="M47" s="250">
        <v>-134.4337197264361</v>
      </c>
      <c r="N47" s="241" t="s">
        <v>228</v>
      </c>
      <c r="O47" s="241" t="s">
        <v>230</v>
      </c>
      <c r="P47" s="241">
        <v>0</v>
      </c>
      <c r="Q47" s="241">
        <v>0</v>
      </c>
      <c r="R47" s="241"/>
      <c r="S47" s="241"/>
      <c r="T47" s="241"/>
      <c r="U47" s="241"/>
      <c r="V47" s="241"/>
      <c r="W47" s="241"/>
      <c r="X47" s="241"/>
      <c r="Y47" s="241"/>
      <c r="Z47" s="241"/>
      <c r="AA47" s="241"/>
      <c r="AB47" s="241"/>
      <c r="AC47" s="241"/>
      <c r="AD47" s="241"/>
      <c r="AE47" s="241"/>
      <c r="AF47" s="241"/>
      <c r="AG47" s="241"/>
      <c r="AH47" s="241"/>
      <c r="AI47" s="241"/>
      <c r="AJ47" s="241"/>
      <c r="AK47" s="241"/>
      <c r="AL47" s="241">
        <v>0</v>
      </c>
      <c r="AM47" s="241"/>
      <c r="AN47" s="241">
        <v>-7.0000000000000007E-2</v>
      </c>
    </row>
    <row r="48" spans="1:40" x14ac:dyDescent="0.25">
      <c r="A48" s="159" t="s">
        <v>659</v>
      </c>
      <c r="B48" s="159">
        <v>47</v>
      </c>
      <c r="C48" s="159">
        <v>750</v>
      </c>
      <c r="D48" s="159">
        <v>2000</v>
      </c>
      <c r="E48" s="159" t="s">
        <v>58</v>
      </c>
      <c r="F48" s="159" t="s">
        <v>58</v>
      </c>
      <c r="G48" s="264">
        <v>7874000</v>
      </c>
      <c r="H48" s="249">
        <v>0</v>
      </c>
      <c r="I48" s="249">
        <v>0</v>
      </c>
      <c r="J48" s="249">
        <v>0</v>
      </c>
      <c r="K48" s="249">
        <v>100</v>
      </c>
      <c r="L48" s="249">
        <v>-134.4337197264361</v>
      </c>
      <c r="M48" s="249">
        <v>-134.4337197264361</v>
      </c>
      <c r="N48" s="159" t="s">
        <v>228</v>
      </c>
      <c r="O48" s="159" t="s">
        <v>230</v>
      </c>
      <c r="P48" s="159">
        <v>0</v>
      </c>
      <c r="Q48" s="159">
        <v>0</v>
      </c>
      <c r="R48" s="159"/>
      <c r="S48" s="159"/>
      <c r="T48" s="159"/>
      <c r="U48" s="159"/>
      <c r="V48" s="159"/>
      <c r="W48" s="159"/>
      <c r="X48" s="159"/>
      <c r="Y48" s="159"/>
      <c r="Z48" s="159"/>
      <c r="AA48" s="159"/>
      <c r="AB48" s="159"/>
      <c r="AC48" s="159"/>
      <c r="AD48" s="159"/>
      <c r="AE48" s="159"/>
      <c r="AF48" s="159"/>
      <c r="AG48" s="159"/>
      <c r="AH48" s="159"/>
      <c r="AI48" s="159"/>
      <c r="AJ48" s="159"/>
      <c r="AK48" s="159"/>
      <c r="AL48" s="159">
        <v>0</v>
      </c>
      <c r="AM48" s="159"/>
      <c r="AN48" s="159">
        <v>-0.02</v>
      </c>
    </row>
    <row r="49" spans="1:40" x14ac:dyDescent="0.25">
      <c r="A49" s="241" t="s">
        <v>660</v>
      </c>
      <c r="B49" s="241">
        <v>48</v>
      </c>
      <c r="C49" s="241">
        <v>850</v>
      </c>
      <c r="D49" s="241">
        <v>100</v>
      </c>
      <c r="E49" s="241" t="s">
        <v>58</v>
      </c>
      <c r="F49" s="241" t="s">
        <v>58</v>
      </c>
      <c r="G49" s="265">
        <v>7874000</v>
      </c>
      <c r="H49" s="250">
        <v>0</v>
      </c>
      <c r="I49" s="250">
        <v>0</v>
      </c>
      <c r="J49" s="250">
        <v>0</v>
      </c>
      <c r="K49" s="250">
        <v>100</v>
      </c>
      <c r="L49" s="250">
        <v>-131.24103705820767</v>
      </c>
      <c r="M49" s="250">
        <v>-131.24103705820767</v>
      </c>
      <c r="N49" s="241" t="s">
        <v>228</v>
      </c>
      <c r="O49" s="241" t="s">
        <v>230</v>
      </c>
      <c r="P49" s="241">
        <v>0</v>
      </c>
      <c r="Q49" s="241">
        <v>0</v>
      </c>
      <c r="R49" s="241"/>
      <c r="S49" s="241"/>
      <c r="T49" s="241"/>
      <c r="U49" s="241"/>
      <c r="V49" s="241"/>
      <c r="W49" s="241"/>
      <c r="X49" s="241"/>
      <c r="Y49" s="241"/>
      <c r="Z49" s="241"/>
      <c r="AA49" s="241"/>
      <c r="AB49" s="241"/>
      <c r="AC49" s="241"/>
      <c r="AD49" s="241"/>
      <c r="AE49" s="241"/>
      <c r="AF49" s="241"/>
      <c r="AG49" s="241"/>
      <c r="AH49" s="241"/>
      <c r="AI49" s="241"/>
      <c r="AJ49" s="241"/>
      <c r="AK49" s="241"/>
      <c r="AL49" s="241">
        <v>0</v>
      </c>
      <c r="AM49" s="241"/>
      <c r="AN49" s="241">
        <v>-0.08</v>
      </c>
    </row>
    <row r="50" spans="1:40" x14ac:dyDescent="0.25">
      <c r="A50" s="159" t="s">
        <v>661</v>
      </c>
      <c r="B50" s="159">
        <v>49</v>
      </c>
      <c r="C50" s="159">
        <v>850</v>
      </c>
      <c r="D50" s="159">
        <v>500</v>
      </c>
      <c r="E50" s="159" t="s">
        <v>58</v>
      </c>
      <c r="F50" s="159" t="s">
        <v>58</v>
      </c>
      <c r="G50" s="264">
        <v>7874000</v>
      </c>
      <c r="H50" s="249">
        <v>0</v>
      </c>
      <c r="I50" s="249">
        <v>0</v>
      </c>
      <c r="J50" s="249">
        <v>0</v>
      </c>
      <c r="K50" s="249">
        <v>100</v>
      </c>
      <c r="L50" s="249">
        <v>-131.24103705820767</v>
      </c>
      <c r="M50" s="249">
        <v>-131.24103705820767</v>
      </c>
      <c r="N50" s="159" t="s">
        <v>228</v>
      </c>
      <c r="O50" s="159" t="s">
        <v>230</v>
      </c>
      <c r="P50" s="159">
        <v>0</v>
      </c>
      <c r="Q50" s="159">
        <v>0</v>
      </c>
      <c r="R50" s="159"/>
      <c r="S50" s="159"/>
      <c r="T50" s="159"/>
      <c r="U50" s="159"/>
      <c r="V50" s="159"/>
      <c r="W50" s="159"/>
      <c r="X50" s="159"/>
      <c r="Y50" s="159"/>
      <c r="Z50" s="159"/>
      <c r="AA50" s="159"/>
      <c r="AB50" s="159"/>
      <c r="AC50" s="159"/>
      <c r="AD50" s="159"/>
      <c r="AE50" s="159"/>
      <c r="AF50" s="159"/>
      <c r="AG50" s="159"/>
      <c r="AH50" s="159"/>
      <c r="AI50" s="159"/>
      <c r="AJ50" s="159"/>
      <c r="AK50" s="159"/>
      <c r="AL50" s="159">
        <v>0</v>
      </c>
      <c r="AM50" s="159"/>
      <c r="AN50" s="159">
        <v>0.09</v>
      </c>
    </row>
    <row r="51" spans="1:40" ht="16.5" thickBot="1" x14ac:dyDescent="0.3">
      <c r="A51" s="242" t="s">
        <v>662</v>
      </c>
      <c r="B51" s="242">
        <v>50</v>
      </c>
      <c r="C51" s="242">
        <v>850</v>
      </c>
      <c r="D51" s="242">
        <v>2000</v>
      </c>
      <c r="E51" s="242" t="s">
        <v>58</v>
      </c>
      <c r="F51" s="242" t="s">
        <v>58</v>
      </c>
      <c r="G51" s="266">
        <v>7874000</v>
      </c>
      <c r="H51" s="251">
        <v>0</v>
      </c>
      <c r="I51" s="251">
        <v>0</v>
      </c>
      <c r="J51" s="251">
        <v>0</v>
      </c>
      <c r="K51" s="251">
        <v>100</v>
      </c>
      <c r="L51" s="251">
        <v>-131.24103705820767</v>
      </c>
      <c r="M51" s="251">
        <v>-131.24103705820767</v>
      </c>
      <c r="N51" s="242" t="s">
        <v>228</v>
      </c>
      <c r="O51" s="242" t="s">
        <v>230</v>
      </c>
      <c r="P51" s="242">
        <v>0</v>
      </c>
      <c r="Q51" s="242">
        <v>0</v>
      </c>
      <c r="R51" s="242"/>
      <c r="S51" s="242"/>
      <c r="T51" s="242"/>
      <c r="U51" s="242"/>
      <c r="V51" s="242"/>
      <c r="W51" s="242"/>
      <c r="X51" s="242"/>
      <c r="Y51" s="242"/>
      <c r="Z51" s="242"/>
      <c r="AA51" s="242"/>
      <c r="AB51" s="242"/>
      <c r="AC51" s="242"/>
      <c r="AD51" s="242"/>
      <c r="AE51" s="242"/>
      <c r="AF51" s="242"/>
      <c r="AG51" s="242"/>
      <c r="AH51" s="242"/>
      <c r="AI51" s="242"/>
      <c r="AJ51" s="242"/>
      <c r="AK51" s="242"/>
      <c r="AL51" s="242">
        <v>0</v>
      </c>
      <c r="AM51" s="242"/>
      <c r="AN51" s="242">
        <v>0.32</v>
      </c>
    </row>
    <row r="52" spans="1:40" x14ac:dyDescent="0.25">
      <c r="A52" s="159" t="s">
        <v>663</v>
      </c>
      <c r="B52" s="159">
        <v>51</v>
      </c>
      <c r="C52" s="159">
        <v>700</v>
      </c>
      <c r="D52" s="159">
        <v>500</v>
      </c>
      <c r="E52" s="159" t="s">
        <v>876</v>
      </c>
      <c r="F52" s="159" t="s">
        <v>876</v>
      </c>
      <c r="G52" s="264">
        <v>7980000</v>
      </c>
      <c r="H52" s="249">
        <v>9.4756849601929485</v>
      </c>
      <c r="I52" s="249">
        <v>17.935126397617601</v>
      </c>
      <c r="J52" s="249">
        <v>1.1416966049583539</v>
      </c>
      <c r="K52" s="249">
        <v>69.094292469684888</v>
      </c>
      <c r="L52" s="249">
        <v>-137.28961215781271</v>
      </c>
      <c r="M52" s="249">
        <v>-136.54295506071665</v>
      </c>
      <c r="N52" s="159" t="s">
        <v>245</v>
      </c>
      <c r="O52" s="159" t="s">
        <v>247</v>
      </c>
      <c r="P52" s="159">
        <v>0</v>
      </c>
      <c r="Q52" s="159">
        <v>0</v>
      </c>
      <c r="R52" s="159">
        <v>78</v>
      </c>
      <c r="S52" s="159">
        <v>54</v>
      </c>
      <c r="T52" s="159">
        <v>10.3</v>
      </c>
      <c r="U52" s="159">
        <v>10</v>
      </c>
      <c r="V52" s="159">
        <v>8.6999999999999993</v>
      </c>
      <c r="W52" s="159">
        <v>4</v>
      </c>
      <c r="X52" s="159">
        <v>2.8</v>
      </c>
      <c r="Y52" s="159">
        <v>0.8</v>
      </c>
      <c r="Z52" s="159">
        <v>0.8</v>
      </c>
      <c r="AA52" s="159"/>
      <c r="AB52" s="159">
        <v>0.7</v>
      </c>
      <c r="AC52" s="159"/>
      <c r="AD52" s="159"/>
      <c r="AE52" s="159"/>
      <c r="AF52" s="159"/>
      <c r="AG52" s="159"/>
      <c r="AH52" s="159"/>
      <c r="AI52" s="159"/>
      <c r="AJ52" s="159"/>
      <c r="AK52" s="159"/>
      <c r="AL52" s="159">
        <v>0</v>
      </c>
      <c r="AM52" s="159">
        <v>-3</v>
      </c>
      <c r="AN52" s="159">
        <v>-0.21</v>
      </c>
    </row>
    <row r="53" spans="1:40" x14ac:dyDescent="0.25">
      <c r="A53" s="159" t="s">
        <v>665</v>
      </c>
      <c r="B53" s="159">
        <v>52</v>
      </c>
      <c r="C53" s="159">
        <v>700</v>
      </c>
      <c r="D53" s="159">
        <v>500</v>
      </c>
      <c r="E53" s="159" t="s">
        <v>269</v>
      </c>
      <c r="F53" s="159" t="s">
        <v>876</v>
      </c>
      <c r="G53" s="264">
        <v>7980000</v>
      </c>
      <c r="H53" s="249">
        <v>9.4756849601929485</v>
      </c>
      <c r="I53" s="249">
        <v>17.935126397617601</v>
      </c>
      <c r="J53" s="249">
        <v>1.1416966049583539</v>
      </c>
      <c r="K53" s="249">
        <v>69.094292469684888</v>
      </c>
      <c r="L53" s="249">
        <v>-137.28961215781271</v>
      </c>
      <c r="M53" s="249">
        <v>-63.529671587210359</v>
      </c>
      <c r="N53" s="159" t="s">
        <v>245</v>
      </c>
      <c r="O53" s="159" t="s">
        <v>247</v>
      </c>
      <c r="P53" s="159">
        <v>0</v>
      </c>
      <c r="Q53" s="159">
        <v>0</v>
      </c>
      <c r="R53" s="159">
        <v>78</v>
      </c>
      <c r="S53" s="159">
        <v>54</v>
      </c>
      <c r="T53" s="159">
        <v>10.3</v>
      </c>
      <c r="U53" s="159">
        <v>10</v>
      </c>
      <c r="V53" s="159">
        <v>8.6999999999999993</v>
      </c>
      <c r="W53" s="159">
        <v>4</v>
      </c>
      <c r="X53" s="159">
        <v>2.8</v>
      </c>
      <c r="Y53" s="159">
        <v>0.8</v>
      </c>
      <c r="Z53" s="159">
        <v>0.8</v>
      </c>
      <c r="AA53" s="159"/>
      <c r="AB53" s="159">
        <v>0.7</v>
      </c>
      <c r="AC53" s="159"/>
      <c r="AD53" s="159"/>
      <c r="AE53" s="159"/>
      <c r="AF53" s="159"/>
      <c r="AG53" s="159"/>
      <c r="AH53" s="159"/>
      <c r="AI53" s="159"/>
      <c r="AJ53" s="159"/>
      <c r="AK53" s="159"/>
      <c r="AL53" s="159">
        <v>0</v>
      </c>
      <c r="AM53" s="159">
        <v>-7.7</v>
      </c>
      <c r="AN53" s="159">
        <v>-1.7</v>
      </c>
    </row>
    <row r="54" spans="1:40" x14ac:dyDescent="0.25">
      <c r="A54" s="241" t="s">
        <v>666</v>
      </c>
      <c r="B54" s="241">
        <v>53</v>
      </c>
      <c r="C54" s="241">
        <v>700</v>
      </c>
      <c r="D54" s="241">
        <v>500</v>
      </c>
      <c r="E54" s="241" t="s">
        <v>269</v>
      </c>
      <c r="F54" s="241" t="s">
        <v>876</v>
      </c>
      <c r="G54" s="265">
        <v>7980000</v>
      </c>
      <c r="H54" s="250">
        <v>9.4667153159315394</v>
      </c>
      <c r="I54" s="250">
        <v>17.954057195408527</v>
      </c>
      <c r="J54" s="250">
        <v>1.2531307793648654</v>
      </c>
      <c r="K54" s="250">
        <v>68.80936995962611</v>
      </c>
      <c r="L54" s="250">
        <v>-137.41261437808242</v>
      </c>
      <c r="M54" s="250">
        <v>-63.529671587210359</v>
      </c>
      <c r="N54" s="241" t="s">
        <v>245</v>
      </c>
      <c r="O54" s="241" t="s">
        <v>247</v>
      </c>
      <c r="P54" s="241">
        <v>0</v>
      </c>
      <c r="Q54" s="241">
        <v>0</v>
      </c>
      <c r="R54" s="241">
        <v>78</v>
      </c>
      <c r="S54" s="241">
        <v>54</v>
      </c>
      <c r="T54" s="241">
        <v>10.3</v>
      </c>
      <c r="U54" s="241">
        <v>10</v>
      </c>
      <c r="V54" s="241">
        <v>8.6999999999999993</v>
      </c>
      <c r="W54" s="241">
        <v>4</v>
      </c>
      <c r="X54" s="241">
        <v>2.8</v>
      </c>
      <c r="Y54" s="241">
        <v>0.8</v>
      </c>
      <c r="Z54" s="241">
        <v>0.8</v>
      </c>
      <c r="AA54" s="241"/>
      <c r="AB54" s="241">
        <v>0.7</v>
      </c>
      <c r="AC54" s="241"/>
      <c r="AD54" s="241"/>
      <c r="AE54" s="241"/>
      <c r="AF54" s="241"/>
      <c r="AG54" s="241"/>
      <c r="AH54" s="241"/>
      <c r="AI54" s="241"/>
      <c r="AJ54" s="241"/>
      <c r="AK54" s="241"/>
      <c r="AL54" s="241">
        <v>0</v>
      </c>
      <c r="AM54" s="241">
        <v>-5.8</v>
      </c>
      <c r="AN54" s="241">
        <v>-2</v>
      </c>
    </row>
    <row r="55" spans="1:40" ht="16.5" thickBot="1" x14ac:dyDescent="0.3">
      <c r="A55" s="160" t="s">
        <v>667</v>
      </c>
      <c r="B55" s="160">
        <v>54</v>
      </c>
      <c r="C55" s="160">
        <v>700</v>
      </c>
      <c r="D55" s="160">
        <v>500</v>
      </c>
      <c r="E55" s="160" t="s">
        <v>876</v>
      </c>
      <c r="F55" s="160" t="s">
        <v>876</v>
      </c>
      <c r="G55" s="267">
        <v>7980000</v>
      </c>
      <c r="H55" s="252">
        <v>9.4667153159315394</v>
      </c>
      <c r="I55" s="252">
        <v>17.954057195408527</v>
      </c>
      <c r="J55" s="252">
        <v>1.2531307793648654</v>
      </c>
      <c r="K55" s="252">
        <v>68.80936995962611</v>
      </c>
      <c r="L55" s="252">
        <v>-137.41261437808242</v>
      </c>
      <c r="M55" s="252">
        <v>-137.41261437808242</v>
      </c>
      <c r="N55" s="160" t="s">
        <v>245</v>
      </c>
      <c r="O55" s="160" t="s">
        <v>247</v>
      </c>
      <c r="P55" s="160">
        <v>0</v>
      </c>
      <c r="Q55" s="160">
        <v>0</v>
      </c>
      <c r="R55" s="160">
        <v>78</v>
      </c>
      <c r="S55" s="160">
        <v>54</v>
      </c>
      <c r="T55" s="160">
        <v>10.3</v>
      </c>
      <c r="U55" s="160">
        <v>10</v>
      </c>
      <c r="V55" s="160">
        <v>8.6999999999999993</v>
      </c>
      <c r="W55" s="160">
        <v>4</v>
      </c>
      <c r="X55" s="160">
        <v>2.8</v>
      </c>
      <c r="Y55" s="160">
        <v>0.8</v>
      </c>
      <c r="Z55" s="160">
        <v>0.8</v>
      </c>
      <c r="AA55" s="160"/>
      <c r="AB55" s="160">
        <v>0.7</v>
      </c>
      <c r="AC55" s="160"/>
      <c r="AD55" s="160"/>
      <c r="AE55" s="160"/>
      <c r="AF55" s="160"/>
      <c r="AG55" s="160"/>
      <c r="AH55" s="160"/>
      <c r="AI55" s="160"/>
      <c r="AJ55" s="160"/>
      <c r="AK55" s="160"/>
      <c r="AL55" s="160">
        <v>0</v>
      </c>
      <c r="AM55" s="160">
        <v>-6</v>
      </c>
      <c r="AN55" s="160">
        <v>-0.11899999999999999</v>
      </c>
    </row>
    <row r="56" spans="1:40" x14ac:dyDescent="0.25">
      <c r="A56" s="159" t="s">
        <v>669</v>
      </c>
      <c r="B56" s="159">
        <v>55</v>
      </c>
      <c r="C56" s="159">
        <v>600</v>
      </c>
      <c r="D56" s="159">
        <v>100</v>
      </c>
      <c r="E56" s="159" t="s">
        <v>48</v>
      </c>
      <c r="F56" s="159" t="s">
        <v>275</v>
      </c>
      <c r="G56" s="264">
        <v>9220000</v>
      </c>
      <c r="H56" s="249">
        <v>68.825839891971</v>
      </c>
      <c r="I56" s="249">
        <v>1.7926280517425051</v>
      </c>
      <c r="J56" s="249">
        <v>18.456820707811541</v>
      </c>
      <c r="K56" s="249">
        <v>1.6690538709151344</v>
      </c>
      <c r="L56" s="249">
        <v>-126.67062094491158</v>
      </c>
      <c r="M56" s="249">
        <v>-125.32307267842094</v>
      </c>
      <c r="N56" s="159" t="s">
        <v>245</v>
      </c>
      <c r="O56" s="159" t="s">
        <v>247</v>
      </c>
      <c r="P56" s="159">
        <v>3.19</v>
      </c>
      <c r="Q56" s="159">
        <v>0</v>
      </c>
      <c r="R56" s="159"/>
      <c r="S56" s="159"/>
      <c r="T56" s="159"/>
      <c r="U56" s="159"/>
      <c r="V56" s="159"/>
      <c r="W56" s="159"/>
      <c r="X56" s="159"/>
      <c r="Y56" s="159"/>
      <c r="Z56" s="159"/>
      <c r="AA56" s="159"/>
      <c r="AB56" s="159"/>
      <c r="AC56" s="159"/>
      <c r="AD56" s="159"/>
      <c r="AE56" s="159"/>
      <c r="AF56" s="159"/>
      <c r="AG56" s="159"/>
      <c r="AH56" s="159"/>
      <c r="AI56" s="159"/>
      <c r="AJ56" s="159"/>
      <c r="AK56" s="159"/>
      <c r="AL56" s="159">
        <v>0</v>
      </c>
      <c r="AM56" s="159"/>
      <c r="AN56" s="159">
        <v>-12.37</v>
      </c>
    </row>
    <row r="57" spans="1:40" x14ac:dyDescent="0.25">
      <c r="A57" s="241" t="s">
        <v>670</v>
      </c>
      <c r="B57" s="241">
        <v>56</v>
      </c>
      <c r="C57" s="241">
        <v>600</v>
      </c>
      <c r="D57" s="241">
        <v>300</v>
      </c>
      <c r="E57" s="241" t="s">
        <v>48</v>
      </c>
      <c r="F57" s="241" t="s">
        <v>275</v>
      </c>
      <c r="G57" s="265">
        <v>9220000</v>
      </c>
      <c r="H57" s="250">
        <v>68.825839891971</v>
      </c>
      <c r="I57" s="250">
        <v>1.7926280517425051</v>
      </c>
      <c r="J57" s="250">
        <v>18.456820707811541</v>
      </c>
      <c r="K57" s="250">
        <v>1.6690538709151344</v>
      </c>
      <c r="L57" s="250">
        <v>-126.67062094491158</v>
      </c>
      <c r="M57" s="250">
        <v>-125.32307267842094</v>
      </c>
      <c r="N57" s="241" t="s">
        <v>245</v>
      </c>
      <c r="O57" s="241" t="s">
        <v>247</v>
      </c>
      <c r="P57" s="241">
        <v>3.19</v>
      </c>
      <c r="Q57" s="241">
        <v>0</v>
      </c>
      <c r="R57" s="241"/>
      <c r="S57" s="241"/>
      <c r="T57" s="241"/>
      <c r="U57" s="241"/>
      <c r="V57" s="241"/>
      <c r="W57" s="241"/>
      <c r="X57" s="241"/>
      <c r="Y57" s="241"/>
      <c r="Z57" s="241"/>
      <c r="AA57" s="241"/>
      <c r="AB57" s="241"/>
      <c r="AC57" s="241"/>
      <c r="AD57" s="241"/>
      <c r="AE57" s="241"/>
      <c r="AF57" s="241"/>
      <c r="AG57" s="241"/>
      <c r="AH57" s="241"/>
      <c r="AI57" s="241"/>
      <c r="AJ57" s="241"/>
      <c r="AK57" s="241"/>
      <c r="AL57" s="241">
        <v>0</v>
      </c>
      <c r="AM57" s="241"/>
      <c r="AN57" s="241">
        <v>-24.48</v>
      </c>
    </row>
    <row r="58" spans="1:40" x14ac:dyDescent="0.25">
      <c r="A58" s="159" t="s">
        <v>671</v>
      </c>
      <c r="B58" s="159">
        <v>57</v>
      </c>
      <c r="C58" s="159">
        <v>700</v>
      </c>
      <c r="D58" s="159">
        <v>100</v>
      </c>
      <c r="E58" s="159" t="s">
        <v>48</v>
      </c>
      <c r="F58" s="159" t="s">
        <v>275</v>
      </c>
      <c r="G58" s="264">
        <v>9220000</v>
      </c>
      <c r="H58" s="249">
        <v>68.825839891971</v>
      </c>
      <c r="I58" s="249">
        <v>1.7926280517425051</v>
      </c>
      <c r="J58" s="249">
        <v>18.456820707811541</v>
      </c>
      <c r="K58" s="249">
        <v>1.6690538709151344</v>
      </c>
      <c r="L58" s="249">
        <v>-123.42862137745254</v>
      </c>
      <c r="M58" s="249">
        <v>-121.74823772574202</v>
      </c>
      <c r="N58" s="159" t="s">
        <v>245</v>
      </c>
      <c r="O58" s="159" t="s">
        <v>247</v>
      </c>
      <c r="P58" s="159">
        <v>3.19</v>
      </c>
      <c r="Q58" s="159">
        <v>0</v>
      </c>
      <c r="R58" s="159"/>
      <c r="S58" s="159"/>
      <c r="T58" s="159"/>
      <c r="U58" s="159"/>
      <c r="V58" s="159"/>
      <c r="W58" s="159"/>
      <c r="X58" s="159"/>
      <c r="Y58" s="159"/>
      <c r="Z58" s="159"/>
      <c r="AA58" s="159"/>
      <c r="AB58" s="159"/>
      <c r="AC58" s="159"/>
      <c r="AD58" s="159"/>
      <c r="AE58" s="159"/>
      <c r="AF58" s="159"/>
      <c r="AG58" s="159"/>
      <c r="AH58" s="159"/>
      <c r="AI58" s="159"/>
      <c r="AJ58" s="159"/>
      <c r="AK58" s="159"/>
      <c r="AL58" s="159">
        <v>0</v>
      </c>
      <c r="AM58" s="159"/>
      <c r="AN58" s="159">
        <v>-58.04</v>
      </c>
    </row>
    <row r="59" spans="1:40" x14ac:dyDescent="0.25">
      <c r="A59" s="241" t="s">
        <v>672</v>
      </c>
      <c r="B59" s="241">
        <v>58</v>
      </c>
      <c r="C59" s="241">
        <v>700</v>
      </c>
      <c r="D59" s="241">
        <v>200</v>
      </c>
      <c r="E59" s="241" t="s">
        <v>48</v>
      </c>
      <c r="F59" s="241" t="s">
        <v>275</v>
      </c>
      <c r="G59" s="265">
        <v>9220000</v>
      </c>
      <c r="H59" s="250">
        <v>68.825839891971</v>
      </c>
      <c r="I59" s="250">
        <v>1.7926280517425051</v>
      </c>
      <c r="J59" s="250">
        <v>18.456820707811541</v>
      </c>
      <c r="K59" s="250">
        <v>1.6690538709151344</v>
      </c>
      <c r="L59" s="250">
        <v>-123.42862137745254</v>
      </c>
      <c r="M59" s="250">
        <v>-121.74823772574202</v>
      </c>
      <c r="N59" s="241" t="s">
        <v>245</v>
      </c>
      <c r="O59" s="241" t="s">
        <v>247</v>
      </c>
      <c r="P59" s="241">
        <v>3.19</v>
      </c>
      <c r="Q59" s="241">
        <v>0</v>
      </c>
      <c r="R59" s="241"/>
      <c r="S59" s="241"/>
      <c r="T59" s="241"/>
      <c r="U59" s="241"/>
      <c r="V59" s="241"/>
      <c r="W59" s="241"/>
      <c r="X59" s="241"/>
      <c r="Y59" s="241"/>
      <c r="Z59" s="241"/>
      <c r="AA59" s="241"/>
      <c r="AB59" s="241"/>
      <c r="AC59" s="241"/>
      <c r="AD59" s="241"/>
      <c r="AE59" s="241"/>
      <c r="AF59" s="241"/>
      <c r="AG59" s="241"/>
      <c r="AH59" s="241"/>
      <c r="AI59" s="241"/>
      <c r="AJ59" s="241"/>
      <c r="AK59" s="241"/>
      <c r="AL59" s="241">
        <v>0</v>
      </c>
      <c r="AM59" s="241"/>
      <c r="AN59" s="241">
        <v>-124.09</v>
      </c>
    </row>
    <row r="60" spans="1:40" x14ac:dyDescent="0.25">
      <c r="A60" s="159" t="s">
        <v>673</v>
      </c>
      <c r="B60" s="159">
        <v>59</v>
      </c>
      <c r="C60" s="159">
        <v>700</v>
      </c>
      <c r="D60" s="159">
        <v>100</v>
      </c>
      <c r="E60" s="159" t="s">
        <v>48</v>
      </c>
      <c r="F60" s="159" t="s">
        <v>275</v>
      </c>
      <c r="G60" s="264">
        <v>9220000</v>
      </c>
      <c r="H60" s="249">
        <v>68.825839891971</v>
      </c>
      <c r="I60" s="249">
        <v>1.7926280517425051</v>
      </c>
      <c r="J60" s="249">
        <v>18.456820707811541</v>
      </c>
      <c r="K60" s="249">
        <v>1.6690538709151344</v>
      </c>
      <c r="L60" s="249">
        <v>-123.42862137745254</v>
      </c>
      <c r="M60" s="249">
        <v>-121.74823772574202</v>
      </c>
      <c r="N60" s="159" t="s">
        <v>245</v>
      </c>
      <c r="O60" s="159" t="s">
        <v>247</v>
      </c>
      <c r="P60" s="159">
        <v>1.91</v>
      </c>
      <c r="Q60" s="159">
        <v>0</v>
      </c>
      <c r="R60" s="159"/>
      <c r="S60" s="159"/>
      <c r="T60" s="159"/>
      <c r="U60" s="159"/>
      <c r="V60" s="159"/>
      <c r="W60" s="159"/>
      <c r="X60" s="159"/>
      <c r="Y60" s="159"/>
      <c r="Z60" s="159"/>
      <c r="AA60" s="159"/>
      <c r="AB60" s="159"/>
      <c r="AC60" s="159"/>
      <c r="AD60" s="159"/>
      <c r="AE60" s="159"/>
      <c r="AF60" s="159"/>
      <c r="AG60" s="159"/>
      <c r="AH60" s="159"/>
      <c r="AI60" s="159"/>
      <c r="AJ60" s="159"/>
      <c r="AK60" s="159"/>
      <c r="AL60" s="159">
        <v>0</v>
      </c>
      <c r="AM60" s="159"/>
      <c r="AN60" s="159">
        <v>-19.670000000000002</v>
      </c>
    </row>
    <row r="61" spans="1:40" x14ac:dyDescent="0.25">
      <c r="A61" s="241" t="s">
        <v>674</v>
      </c>
      <c r="B61" s="241">
        <v>60</v>
      </c>
      <c r="C61" s="241">
        <v>700</v>
      </c>
      <c r="D61" s="241">
        <v>200</v>
      </c>
      <c r="E61" s="241" t="s">
        <v>48</v>
      </c>
      <c r="F61" s="241" t="s">
        <v>275</v>
      </c>
      <c r="G61" s="265">
        <v>9220000</v>
      </c>
      <c r="H61" s="250">
        <v>68.825839891971</v>
      </c>
      <c r="I61" s="250">
        <v>1.7926280517425051</v>
      </c>
      <c r="J61" s="250">
        <v>18.456820707811541</v>
      </c>
      <c r="K61" s="250">
        <v>1.6690538709151344</v>
      </c>
      <c r="L61" s="250">
        <v>-123.42862137745254</v>
      </c>
      <c r="M61" s="250">
        <v>-121.74823772574202</v>
      </c>
      <c r="N61" s="241" t="s">
        <v>245</v>
      </c>
      <c r="O61" s="241" t="s">
        <v>247</v>
      </c>
      <c r="P61" s="241">
        <v>1.91</v>
      </c>
      <c r="Q61" s="241">
        <v>0</v>
      </c>
      <c r="R61" s="241"/>
      <c r="S61" s="241"/>
      <c r="T61" s="241"/>
      <c r="U61" s="241"/>
      <c r="V61" s="241"/>
      <c r="W61" s="241"/>
      <c r="X61" s="241"/>
      <c r="Y61" s="241"/>
      <c r="Z61" s="241"/>
      <c r="AA61" s="241"/>
      <c r="AB61" s="241"/>
      <c r="AC61" s="241"/>
      <c r="AD61" s="241"/>
      <c r="AE61" s="241"/>
      <c r="AF61" s="241"/>
      <c r="AG61" s="241"/>
      <c r="AH61" s="241"/>
      <c r="AI61" s="241"/>
      <c r="AJ61" s="241"/>
      <c r="AK61" s="241"/>
      <c r="AL61" s="241">
        <v>0</v>
      </c>
      <c r="AM61" s="241"/>
      <c r="AN61" s="241">
        <v>-34.19</v>
      </c>
    </row>
    <row r="62" spans="1:40" x14ac:dyDescent="0.25">
      <c r="A62" s="159" t="s">
        <v>675</v>
      </c>
      <c r="B62" s="159">
        <v>61</v>
      </c>
      <c r="C62" s="159">
        <v>600</v>
      </c>
      <c r="D62" s="159">
        <v>100</v>
      </c>
      <c r="E62" s="159" t="s">
        <v>48</v>
      </c>
      <c r="F62" s="159" t="s">
        <v>239</v>
      </c>
      <c r="G62" s="264">
        <v>8860000</v>
      </c>
      <c r="H62" s="249">
        <v>73.616065298412209</v>
      </c>
      <c r="I62" s="249">
        <v>8.1916815023149212</v>
      </c>
      <c r="J62" s="249">
        <v>10.146309488962684</v>
      </c>
      <c r="K62" s="249">
        <v>3.268710357746841</v>
      </c>
      <c r="L62" s="249">
        <v>-128.49755875494913</v>
      </c>
      <c r="M62" s="249">
        <v>-125.32307267842094</v>
      </c>
      <c r="N62" s="159" t="s">
        <v>245</v>
      </c>
      <c r="O62" s="159" t="s">
        <v>247</v>
      </c>
      <c r="P62" s="159">
        <v>3.19</v>
      </c>
      <c r="Q62" s="159">
        <v>0</v>
      </c>
      <c r="R62" s="159"/>
      <c r="S62" s="159"/>
      <c r="T62" s="159"/>
      <c r="U62" s="159"/>
      <c r="V62" s="159"/>
      <c r="W62" s="159"/>
      <c r="X62" s="159"/>
      <c r="Y62" s="159"/>
      <c r="Z62" s="159"/>
      <c r="AA62" s="159"/>
      <c r="AB62" s="159"/>
      <c r="AC62" s="159"/>
      <c r="AD62" s="159"/>
      <c r="AE62" s="159"/>
      <c r="AF62" s="159"/>
      <c r="AG62" s="159"/>
      <c r="AH62" s="159"/>
      <c r="AI62" s="159"/>
      <c r="AJ62" s="159"/>
      <c r="AK62" s="159"/>
      <c r="AL62" s="159">
        <v>0</v>
      </c>
      <c r="AM62" s="159"/>
      <c r="AN62" s="159">
        <v>-12.17</v>
      </c>
    </row>
    <row r="63" spans="1:40" x14ac:dyDescent="0.25">
      <c r="A63" s="241" t="s">
        <v>676</v>
      </c>
      <c r="B63" s="241">
        <v>62</v>
      </c>
      <c r="C63" s="241">
        <v>600</v>
      </c>
      <c r="D63" s="241">
        <v>300</v>
      </c>
      <c r="E63" s="241" t="s">
        <v>48</v>
      </c>
      <c r="F63" s="241" t="s">
        <v>239</v>
      </c>
      <c r="G63" s="265">
        <v>8860000</v>
      </c>
      <c r="H63" s="250">
        <v>73.616065298412209</v>
      </c>
      <c r="I63" s="250">
        <v>8.1916815023149212</v>
      </c>
      <c r="J63" s="250">
        <v>10.146309488962684</v>
      </c>
      <c r="K63" s="250">
        <v>3.268710357746841</v>
      </c>
      <c r="L63" s="250">
        <v>-128.49755875494913</v>
      </c>
      <c r="M63" s="250">
        <v>-125.32307267842094</v>
      </c>
      <c r="N63" s="241" t="s">
        <v>245</v>
      </c>
      <c r="O63" s="241" t="s">
        <v>247</v>
      </c>
      <c r="P63" s="241">
        <v>3.19</v>
      </c>
      <c r="Q63" s="241">
        <v>0</v>
      </c>
      <c r="R63" s="241"/>
      <c r="S63" s="241"/>
      <c r="T63" s="241"/>
      <c r="U63" s="241"/>
      <c r="V63" s="241"/>
      <c r="W63" s="241"/>
      <c r="X63" s="241"/>
      <c r="Y63" s="241"/>
      <c r="Z63" s="241"/>
      <c r="AA63" s="241"/>
      <c r="AB63" s="241"/>
      <c r="AC63" s="241"/>
      <c r="AD63" s="241"/>
      <c r="AE63" s="241"/>
      <c r="AF63" s="241"/>
      <c r="AG63" s="241"/>
      <c r="AH63" s="241"/>
      <c r="AI63" s="241"/>
      <c r="AJ63" s="241"/>
      <c r="AK63" s="241"/>
      <c r="AL63" s="241">
        <v>0</v>
      </c>
      <c r="AM63" s="241"/>
      <c r="AN63" s="241">
        <v>-23.19</v>
      </c>
    </row>
    <row r="64" spans="1:40" x14ac:dyDescent="0.25">
      <c r="A64" s="159" t="s">
        <v>677</v>
      </c>
      <c r="B64" s="159">
        <v>63</v>
      </c>
      <c r="C64" s="159">
        <v>700</v>
      </c>
      <c r="D64" s="159">
        <v>100</v>
      </c>
      <c r="E64" s="159" t="s">
        <v>48</v>
      </c>
      <c r="F64" s="159" t="s">
        <v>239</v>
      </c>
      <c r="G64" s="264">
        <v>8860000</v>
      </c>
      <c r="H64" s="249">
        <v>73.616065298412209</v>
      </c>
      <c r="I64" s="249">
        <v>8.1916815023149212</v>
      </c>
      <c r="J64" s="249">
        <v>10.146309488962684</v>
      </c>
      <c r="K64" s="249">
        <v>3.268710357746841</v>
      </c>
      <c r="L64" s="249">
        <v>-125.16730201123855</v>
      </c>
      <c r="M64" s="249">
        <v>-121.74823772574202</v>
      </c>
      <c r="N64" s="159" t="s">
        <v>245</v>
      </c>
      <c r="O64" s="159" t="s">
        <v>247</v>
      </c>
      <c r="P64" s="159">
        <v>3.19</v>
      </c>
      <c r="Q64" s="159">
        <v>0</v>
      </c>
      <c r="R64" s="159"/>
      <c r="S64" s="159"/>
      <c r="T64" s="159"/>
      <c r="U64" s="159"/>
      <c r="V64" s="159"/>
      <c r="W64" s="159"/>
      <c r="X64" s="159"/>
      <c r="Y64" s="159"/>
      <c r="Z64" s="159"/>
      <c r="AA64" s="159"/>
      <c r="AB64" s="159"/>
      <c r="AC64" s="159"/>
      <c r="AD64" s="159"/>
      <c r="AE64" s="159"/>
      <c r="AF64" s="159"/>
      <c r="AG64" s="159"/>
      <c r="AH64" s="159"/>
      <c r="AI64" s="159"/>
      <c r="AJ64" s="159"/>
      <c r="AK64" s="159"/>
      <c r="AL64" s="159">
        <v>0</v>
      </c>
      <c r="AM64" s="159"/>
      <c r="AN64" s="159">
        <v>-78.52</v>
      </c>
    </row>
    <row r="65" spans="1:40" x14ac:dyDescent="0.25">
      <c r="A65" s="241" t="s">
        <v>678</v>
      </c>
      <c r="B65" s="241">
        <v>64</v>
      </c>
      <c r="C65" s="241">
        <v>700</v>
      </c>
      <c r="D65" s="241">
        <v>200</v>
      </c>
      <c r="E65" s="241" t="s">
        <v>48</v>
      </c>
      <c r="F65" s="241" t="s">
        <v>239</v>
      </c>
      <c r="G65" s="265">
        <v>8860000</v>
      </c>
      <c r="H65" s="250">
        <v>73.616065298412209</v>
      </c>
      <c r="I65" s="250">
        <v>8.1916815023149212</v>
      </c>
      <c r="J65" s="250">
        <v>10.146309488962684</v>
      </c>
      <c r="K65" s="250">
        <v>3.268710357746841</v>
      </c>
      <c r="L65" s="250">
        <v>-125.16730201123855</v>
      </c>
      <c r="M65" s="250">
        <v>-121.74823772574202</v>
      </c>
      <c r="N65" s="241" t="s">
        <v>245</v>
      </c>
      <c r="O65" s="241" t="s">
        <v>247</v>
      </c>
      <c r="P65" s="241">
        <v>3.19</v>
      </c>
      <c r="Q65" s="241">
        <v>0</v>
      </c>
      <c r="R65" s="241"/>
      <c r="S65" s="241"/>
      <c r="T65" s="241"/>
      <c r="U65" s="241"/>
      <c r="V65" s="241"/>
      <c r="W65" s="241"/>
      <c r="X65" s="241"/>
      <c r="Y65" s="241"/>
      <c r="Z65" s="241"/>
      <c r="AA65" s="241"/>
      <c r="AB65" s="241"/>
      <c r="AC65" s="241"/>
      <c r="AD65" s="241"/>
      <c r="AE65" s="241"/>
      <c r="AF65" s="241"/>
      <c r="AG65" s="241"/>
      <c r="AH65" s="241"/>
      <c r="AI65" s="241"/>
      <c r="AJ65" s="241"/>
      <c r="AK65" s="241"/>
      <c r="AL65" s="241">
        <v>0</v>
      </c>
      <c r="AM65" s="241"/>
      <c r="AN65" s="241">
        <v>-102.07</v>
      </c>
    </row>
    <row r="66" spans="1:40" x14ac:dyDescent="0.25">
      <c r="A66" s="159" t="s">
        <v>679</v>
      </c>
      <c r="B66" s="159">
        <v>65</v>
      </c>
      <c r="C66" s="159">
        <v>700</v>
      </c>
      <c r="D66" s="159">
        <v>100</v>
      </c>
      <c r="E66" s="159" t="s">
        <v>48</v>
      </c>
      <c r="F66" s="159" t="s">
        <v>239</v>
      </c>
      <c r="G66" s="264">
        <v>8860000</v>
      </c>
      <c r="H66" s="249">
        <v>73.616065298412209</v>
      </c>
      <c r="I66" s="249">
        <v>8.1916815023149212</v>
      </c>
      <c r="J66" s="249">
        <v>10.146309488962684</v>
      </c>
      <c r="K66" s="249">
        <v>3.268710357746841</v>
      </c>
      <c r="L66" s="249">
        <v>-125.16730201123855</v>
      </c>
      <c r="M66" s="249">
        <v>-121.74823772574202</v>
      </c>
      <c r="N66" s="159" t="s">
        <v>245</v>
      </c>
      <c r="O66" s="159" t="s">
        <v>247</v>
      </c>
      <c r="P66" s="159">
        <v>1.91</v>
      </c>
      <c r="Q66" s="159">
        <v>0</v>
      </c>
      <c r="R66" s="159"/>
      <c r="S66" s="159"/>
      <c r="T66" s="159"/>
      <c r="U66" s="159"/>
      <c r="V66" s="159"/>
      <c r="W66" s="159"/>
      <c r="X66" s="159"/>
      <c r="Y66" s="159"/>
      <c r="Z66" s="159"/>
      <c r="AA66" s="159"/>
      <c r="AB66" s="159"/>
      <c r="AC66" s="159"/>
      <c r="AD66" s="159"/>
      <c r="AE66" s="159"/>
      <c r="AF66" s="159"/>
      <c r="AG66" s="159"/>
      <c r="AH66" s="159"/>
      <c r="AI66" s="159"/>
      <c r="AJ66" s="159"/>
      <c r="AK66" s="159"/>
      <c r="AL66" s="159">
        <v>0</v>
      </c>
      <c r="AM66" s="159"/>
      <c r="AN66" s="159">
        <v>-20.94</v>
      </c>
    </row>
    <row r="67" spans="1:40" x14ac:dyDescent="0.25">
      <c r="A67" s="241" t="s">
        <v>680</v>
      </c>
      <c r="B67" s="241">
        <v>66</v>
      </c>
      <c r="C67" s="241">
        <v>700</v>
      </c>
      <c r="D67" s="241">
        <v>200</v>
      </c>
      <c r="E67" s="241" t="s">
        <v>48</v>
      </c>
      <c r="F67" s="241" t="s">
        <v>239</v>
      </c>
      <c r="G67" s="265">
        <v>8860000</v>
      </c>
      <c r="H67" s="250">
        <v>73.616065298412209</v>
      </c>
      <c r="I67" s="250">
        <v>8.1916815023149212</v>
      </c>
      <c r="J67" s="250">
        <v>10.146309488962684</v>
      </c>
      <c r="K67" s="250">
        <v>3.268710357746841</v>
      </c>
      <c r="L67" s="250">
        <v>-125.16730201123855</v>
      </c>
      <c r="M67" s="250">
        <v>-121.74823772574202</v>
      </c>
      <c r="N67" s="241" t="s">
        <v>245</v>
      </c>
      <c r="O67" s="241" t="s">
        <v>247</v>
      </c>
      <c r="P67" s="241">
        <v>1.91</v>
      </c>
      <c r="Q67" s="241">
        <v>0</v>
      </c>
      <c r="R67" s="241"/>
      <c r="S67" s="241"/>
      <c r="T67" s="241"/>
      <c r="U67" s="241"/>
      <c r="V67" s="241"/>
      <c r="W67" s="241"/>
      <c r="X67" s="241"/>
      <c r="Y67" s="241"/>
      <c r="Z67" s="241"/>
      <c r="AA67" s="241"/>
      <c r="AB67" s="241"/>
      <c r="AC67" s="241"/>
      <c r="AD67" s="241"/>
      <c r="AE67" s="241"/>
      <c r="AF67" s="241"/>
      <c r="AG67" s="241"/>
      <c r="AH67" s="241"/>
      <c r="AI67" s="241"/>
      <c r="AJ67" s="241"/>
      <c r="AK67" s="241"/>
      <c r="AL67" s="241">
        <v>0</v>
      </c>
      <c r="AM67" s="241"/>
      <c r="AN67" s="241">
        <v>-34.44</v>
      </c>
    </row>
    <row r="68" spans="1:40" x14ac:dyDescent="0.25">
      <c r="A68" s="159" t="s">
        <v>681</v>
      </c>
      <c r="B68" s="159">
        <v>67</v>
      </c>
      <c r="C68" s="159">
        <v>600</v>
      </c>
      <c r="D68" s="159">
        <v>100</v>
      </c>
      <c r="E68" s="159" t="s">
        <v>48</v>
      </c>
      <c r="F68" s="159" t="s">
        <v>281</v>
      </c>
      <c r="G68" s="264">
        <v>9050000</v>
      </c>
      <c r="H68" s="249">
        <v>67.384324899033473</v>
      </c>
      <c r="I68" s="249">
        <v>9.3604403037260937</v>
      </c>
      <c r="J68" s="249">
        <v>15.851099930757506</v>
      </c>
      <c r="K68" s="249">
        <v>2.1787954153704425</v>
      </c>
      <c r="L68" s="249">
        <v>-127.74016666079825</v>
      </c>
      <c r="M68" s="249">
        <v>-125.32307267842094</v>
      </c>
      <c r="N68" s="159" t="s">
        <v>245</v>
      </c>
      <c r="O68" s="159" t="s">
        <v>247</v>
      </c>
      <c r="P68" s="159">
        <v>3.19</v>
      </c>
      <c r="Q68" s="159">
        <v>0</v>
      </c>
      <c r="R68" s="159"/>
      <c r="S68" s="159"/>
      <c r="T68" s="159"/>
      <c r="U68" s="159"/>
      <c r="V68" s="159"/>
      <c r="W68" s="159"/>
      <c r="X68" s="159"/>
      <c r="Y68" s="159"/>
      <c r="Z68" s="159"/>
      <c r="AA68" s="159"/>
      <c r="AB68" s="159"/>
      <c r="AC68" s="159"/>
      <c r="AD68" s="159"/>
      <c r="AE68" s="159"/>
      <c r="AF68" s="159"/>
      <c r="AG68" s="159"/>
      <c r="AH68" s="159"/>
      <c r="AI68" s="159"/>
      <c r="AJ68" s="159"/>
      <c r="AK68" s="159"/>
      <c r="AL68" s="159">
        <v>0</v>
      </c>
      <c r="AM68" s="159"/>
      <c r="AN68" s="159">
        <v>-19</v>
      </c>
    </row>
    <row r="69" spans="1:40" x14ac:dyDescent="0.25">
      <c r="A69" s="241" t="s">
        <v>682</v>
      </c>
      <c r="B69" s="241">
        <v>68</v>
      </c>
      <c r="C69" s="241">
        <v>600</v>
      </c>
      <c r="D69" s="241">
        <v>300</v>
      </c>
      <c r="E69" s="241" t="s">
        <v>48</v>
      </c>
      <c r="F69" s="241" t="s">
        <v>281</v>
      </c>
      <c r="G69" s="265">
        <v>9050000</v>
      </c>
      <c r="H69" s="250">
        <v>67.384324899033473</v>
      </c>
      <c r="I69" s="250">
        <v>9.3604403037260937</v>
      </c>
      <c r="J69" s="250">
        <v>15.851099930757506</v>
      </c>
      <c r="K69" s="250">
        <v>2.1787954153704425</v>
      </c>
      <c r="L69" s="250">
        <v>-127.74016666079825</v>
      </c>
      <c r="M69" s="250">
        <v>-125.32307267842094</v>
      </c>
      <c r="N69" s="241" t="s">
        <v>245</v>
      </c>
      <c r="O69" s="241" t="s">
        <v>247</v>
      </c>
      <c r="P69" s="241">
        <v>3.19</v>
      </c>
      <c r="Q69" s="241">
        <v>0</v>
      </c>
      <c r="R69" s="241"/>
      <c r="S69" s="241"/>
      <c r="T69" s="241"/>
      <c r="U69" s="241"/>
      <c r="V69" s="241"/>
      <c r="W69" s="241"/>
      <c r="X69" s="241"/>
      <c r="Y69" s="241"/>
      <c r="Z69" s="241"/>
      <c r="AA69" s="241"/>
      <c r="AB69" s="241"/>
      <c r="AC69" s="241"/>
      <c r="AD69" s="241"/>
      <c r="AE69" s="241"/>
      <c r="AF69" s="241"/>
      <c r="AG69" s="241"/>
      <c r="AH69" s="241"/>
      <c r="AI69" s="241"/>
      <c r="AJ69" s="241"/>
      <c r="AK69" s="241"/>
      <c r="AL69" s="241">
        <v>0</v>
      </c>
      <c r="AM69" s="241"/>
      <c r="AN69" s="241">
        <v>-45</v>
      </c>
    </row>
    <row r="70" spans="1:40" x14ac:dyDescent="0.25">
      <c r="A70" s="159" t="s">
        <v>683</v>
      </c>
      <c r="B70" s="159">
        <v>69</v>
      </c>
      <c r="C70" s="159">
        <v>600</v>
      </c>
      <c r="D70" s="159">
        <v>100</v>
      </c>
      <c r="E70" s="159" t="s">
        <v>48</v>
      </c>
      <c r="F70" s="159" t="s">
        <v>284</v>
      </c>
      <c r="G70" s="264">
        <v>8360000</v>
      </c>
      <c r="H70" s="249">
        <v>49.477094392010336</v>
      </c>
      <c r="I70" s="249">
        <v>21.477889570022832</v>
      </c>
      <c r="J70" s="249">
        <v>3.491611893417633</v>
      </c>
      <c r="K70" s="249">
        <v>0.69990615966770886</v>
      </c>
      <c r="L70" s="249">
        <v>-133.86606970902423</v>
      </c>
      <c r="M70" s="249">
        <v>-125.32307267842094</v>
      </c>
      <c r="N70" s="159" t="s">
        <v>245</v>
      </c>
      <c r="O70" s="159" t="s">
        <v>247</v>
      </c>
      <c r="P70" s="159">
        <v>3.19</v>
      </c>
      <c r="Q70" s="159">
        <v>0</v>
      </c>
      <c r="R70" s="159"/>
      <c r="S70" s="159"/>
      <c r="T70" s="159"/>
      <c r="U70" s="159"/>
      <c r="V70" s="159"/>
      <c r="W70" s="159"/>
      <c r="X70" s="159"/>
      <c r="Y70" s="159"/>
      <c r="Z70" s="159"/>
      <c r="AA70" s="159"/>
      <c r="AB70" s="159"/>
      <c r="AC70" s="159"/>
      <c r="AD70" s="159"/>
      <c r="AE70" s="159"/>
      <c r="AF70" s="159"/>
      <c r="AG70" s="159"/>
      <c r="AH70" s="159"/>
      <c r="AI70" s="159"/>
      <c r="AJ70" s="159"/>
      <c r="AK70" s="159"/>
      <c r="AL70" s="159">
        <v>0</v>
      </c>
      <c r="AM70" s="159"/>
      <c r="AN70" s="159">
        <v>-40</v>
      </c>
    </row>
    <row r="71" spans="1:40" x14ac:dyDescent="0.25">
      <c r="A71" s="241" t="s">
        <v>684</v>
      </c>
      <c r="B71" s="241">
        <v>70</v>
      </c>
      <c r="C71" s="241">
        <v>600</v>
      </c>
      <c r="D71" s="241">
        <v>300</v>
      </c>
      <c r="E71" s="241" t="s">
        <v>48</v>
      </c>
      <c r="F71" s="241" t="s">
        <v>284</v>
      </c>
      <c r="G71" s="265">
        <v>8360000</v>
      </c>
      <c r="H71" s="250">
        <v>49.477094392010336</v>
      </c>
      <c r="I71" s="250">
        <v>21.477889570022832</v>
      </c>
      <c r="J71" s="250">
        <v>3.491611893417633</v>
      </c>
      <c r="K71" s="250">
        <v>0.69990615966770886</v>
      </c>
      <c r="L71" s="250">
        <v>-133.86606970902423</v>
      </c>
      <c r="M71" s="250">
        <v>-125.32307267842094</v>
      </c>
      <c r="N71" s="241" t="s">
        <v>245</v>
      </c>
      <c r="O71" s="241" t="s">
        <v>247</v>
      </c>
      <c r="P71" s="241">
        <v>3.19</v>
      </c>
      <c r="Q71" s="241">
        <v>0</v>
      </c>
      <c r="R71" s="241"/>
      <c r="S71" s="241"/>
      <c r="T71" s="241"/>
      <c r="U71" s="241"/>
      <c r="V71" s="241"/>
      <c r="W71" s="241"/>
      <c r="X71" s="241"/>
      <c r="Y71" s="241"/>
      <c r="Z71" s="241"/>
      <c r="AA71" s="241"/>
      <c r="AB71" s="241"/>
      <c r="AC71" s="241"/>
      <c r="AD71" s="241"/>
      <c r="AE71" s="241"/>
      <c r="AF71" s="241"/>
      <c r="AG71" s="241"/>
      <c r="AH71" s="241"/>
      <c r="AI71" s="241"/>
      <c r="AJ71" s="241"/>
      <c r="AK71" s="241"/>
      <c r="AL71" s="241">
        <v>0</v>
      </c>
      <c r="AM71" s="241"/>
      <c r="AN71" s="241">
        <v>-60</v>
      </c>
    </row>
    <row r="72" spans="1:40" x14ac:dyDescent="0.25">
      <c r="A72" s="159" t="s">
        <v>685</v>
      </c>
      <c r="B72" s="159">
        <v>71</v>
      </c>
      <c r="C72" s="159">
        <v>600</v>
      </c>
      <c r="D72" s="159">
        <v>100</v>
      </c>
      <c r="E72" s="159" t="s">
        <v>48</v>
      </c>
      <c r="F72" s="159" t="s">
        <v>286</v>
      </c>
      <c r="G72" s="264">
        <v>10220000</v>
      </c>
      <c r="H72" s="249">
        <v>8.1293183043352323E-3</v>
      </c>
      <c r="I72" s="249">
        <v>0</v>
      </c>
      <c r="J72" s="249">
        <v>98.842649673561112</v>
      </c>
      <c r="K72" s="249">
        <v>1.7085396285816821E-2</v>
      </c>
      <c r="L72" s="249">
        <v>-117.13725192930569</v>
      </c>
      <c r="M72" s="249">
        <v>-125.32307267842094</v>
      </c>
      <c r="N72" s="159" t="s">
        <v>245</v>
      </c>
      <c r="O72" s="159" t="s">
        <v>247</v>
      </c>
      <c r="P72" s="159">
        <v>3.19</v>
      </c>
      <c r="Q72" s="159">
        <v>0</v>
      </c>
      <c r="R72" s="159"/>
      <c r="S72" s="159"/>
      <c r="T72" s="159"/>
      <c r="U72" s="159"/>
      <c r="V72" s="159"/>
      <c r="W72" s="159"/>
      <c r="X72" s="159"/>
      <c r="Y72" s="159"/>
      <c r="Z72" s="159"/>
      <c r="AA72" s="159"/>
      <c r="AB72" s="159"/>
      <c r="AC72" s="159"/>
      <c r="AD72" s="159"/>
      <c r="AE72" s="159"/>
      <c r="AF72" s="159"/>
      <c r="AG72" s="159"/>
      <c r="AH72" s="159"/>
      <c r="AI72" s="159"/>
      <c r="AJ72" s="159"/>
      <c r="AK72" s="159"/>
      <c r="AL72" s="159">
        <v>0</v>
      </c>
      <c r="AM72" s="159"/>
      <c r="AN72" s="159">
        <v>-62</v>
      </c>
    </row>
    <row r="73" spans="1:40" ht="16.5" thickBot="1" x14ac:dyDescent="0.3">
      <c r="A73" s="242" t="s">
        <v>686</v>
      </c>
      <c r="B73" s="242">
        <v>72</v>
      </c>
      <c r="C73" s="242">
        <v>600</v>
      </c>
      <c r="D73" s="242">
        <v>300</v>
      </c>
      <c r="E73" s="242" t="s">
        <v>48</v>
      </c>
      <c r="F73" s="242" t="s">
        <v>286</v>
      </c>
      <c r="G73" s="266">
        <v>10220000</v>
      </c>
      <c r="H73" s="251">
        <v>8.1293183043352323E-3</v>
      </c>
      <c r="I73" s="251">
        <v>0</v>
      </c>
      <c r="J73" s="251">
        <v>98.842649673561112</v>
      </c>
      <c r="K73" s="251">
        <v>1.7085396285816821E-2</v>
      </c>
      <c r="L73" s="251">
        <v>-117.13725192930569</v>
      </c>
      <c r="M73" s="251">
        <v>-125.32307267842094</v>
      </c>
      <c r="N73" s="242" t="s">
        <v>245</v>
      </c>
      <c r="O73" s="242" t="s">
        <v>247</v>
      </c>
      <c r="P73" s="242">
        <v>3.19</v>
      </c>
      <c r="Q73" s="242">
        <v>0</v>
      </c>
      <c r="R73" s="242"/>
      <c r="S73" s="242"/>
      <c r="T73" s="242"/>
      <c r="U73" s="242"/>
      <c r="V73" s="242"/>
      <c r="W73" s="242"/>
      <c r="X73" s="242"/>
      <c r="Y73" s="242"/>
      <c r="Z73" s="242"/>
      <c r="AA73" s="242"/>
      <c r="AB73" s="242"/>
      <c r="AC73" s="242"/>
      <c r="AD73" s="242"/>
      <c r="AE73" s="242"/>
      <c r="AF73" s="242"/>
      <c r="AG73" s="242"/>
      <c r="AH73" s="242"/>
      <c r="AI73" s="242"/>
      <c r="AJ73" s="242"/>
      <c r="AK73" s="242"/>
      <c r="AL73" s="242">
        <v>0</v>
      </c>
      <c r="AM73" s="242"/>
      <c r="AN73" s="242">
        <v>-77</v>
      </c>
    </row>
    <row r="74" spans="1:40" x14ac:dyDescent="0.25">
      <c r="A74" s="241" t="s">
        <v>687</v>
      </c>
      <c r="B74" s="241">
        <v>73</v>
      </c>
      <c r="C74" s="241">
        <v>650</v>
      </c>
      <c r="D74" s="241">
        <v>200</v>
      </c>
      <c r="E74" s="241" t="s">
        <v>269</v>
      </c>
      <c r="F74" s="241" t="s">
        <v>239</v>
      </c>
      <c r="G74" s="265">
        <v>8860000</v>
      </c>
      <c r="H74" s="250">
        <v>73.906724702129594</v>
      </c>
      <c r="I74" s="250">
        <v>8.3296621720823136</v>
      </c>
      <c r="J74" s="250">
        <v>10.979467504857102</v>
      </c>
      <c r="K74" s="250">
        <v>4.4458752800864172</v>
      </c>
      <c r="L74" s="250">
        <v>-126.56517208598308</v>
      </c>
      <c r="M74" s="250">
        <v>-64.432312040620616</v>
      </c>
      <c r="N74" s="241" t="s">
        <v>245</v>
      </c>
      <c r="O74" s="241" t="s">
        <v>247</v>
      </c>
      <c r="P74" s="241">
        <v>0</v>
      </c>
      <c r="Q74" s="241">
        <v>0</v>
      </c>
      <c r="R74" s="241">
        <v>21.1</v>
      </c>
      <c r="S74" s="241">
        <v>240</v>
      </c>
      <c r="T74" s="241"/>
      <c r="U74" s="241">
        <v>152</v>
      </c>
      <c r="V74" s="241">
        <v>61.4</v>
      </c>
      <c r="W74" s="241">
        <v>32.200000000000003</v>
      </c>
      <c r="X74" s="241">
        <v>5.88</v>
      </c>
      <c r="Y74" s="241">
        <v>2.95</v>
      </c>
      <c r="Z74" s="241">
        <v>4.42</v>
      </c>
      <c r="AA74" s="241">
        <v>32.200000000000003</v>
      </c>
      <c r="AB74" s="241">
        <v>4.42</v>
      </c>
      <c r="AC74" s="241">
        <v>5.88</v>
      </c>
      <c r="AD74" s="241"/>
      <c r="AE74" s="241"/>
      <c r="AF74" s="241"/>
      <c r="AG74" s="241"/>
      <c r="AH74" s="241">
        <v>17.559999999999999</v>
      </c>
      <c r="AI74" s="241"/>
      <c r="AJ74" s="241"/>
      <c r="AK74" s="241"/>
      <c r="AL74" s="241">
        <v>0</v>
      </c>
      <c r="AM74" s="241"/>
      <c r="AN74" s="241">
        <v>-1.47</v>
      </c>
    </row>
    <row r="75" spans="1:40" x14ac:dyDescent="0.25">
      <c r="A75" s="159" t="s">
        <v>688</v>
      </c>
      <c r="B75" s="159">
        <v>74</v>
      </c>
      <c r="C75" s="159">
        <v>650</v>
      </c>
      <c r="D75" s="159">
        <v>500</v>
      </c>
      <c r="E75" s="159" t="s">
        <v>269</v>
      </c>
      <c r="F75" s="159" t="s">
        <v>239</v>
      </c>
      <c r="G75" s="264">
        <v>8860000</v>
      </c>
      <c r="H75" s="249">
        <v>73.906724702129594</v>
      </c>
      <c r="I75" s="249">
        <v>8.3296621720823136</v>
      </c>
      <c r="J75" s="249">
        <v>10.979467504857102</v>
      </c>
      <c r="K75" s="249">
        <v>4.4458752800864172</v>
      </c>
      <c r="L75" s="249">
        <v>-126.56517208598308</v>
      </c>
      <c r="M75" s="249">
        <v>-64.432312040620616</v>
      </c>
      <c r="N75" s="159" t="s">
        <v>245</v>
      </c>
      <c r="O75" s="159" t="s">
        <v>247</v>
      </c>
      <c r="P75" s="159">
        <v>0</v>
      </c>
      <c r="Q75" s="159">
        <v>0</v>
      </c>
      <c r="R75" s="159">
        <v>21.1</v>
      </c>
      <c r="S75" s="159">
        <v>240</v>
      </c>
      <c r="T75" s="159"/>
      <c r="U75" s="159">
        <v>152</v>
      </c>
      <c r="V75" s="159">
        <v>61.4</v>
      </c>
      <c r="W75" s="159">
        <v>32.200000000000003</v>
      </c>
      <c r="X75" s="159">
        <v>5.88</v>
      </c>
      <c r="Y75" s="159">
        <v>2.95</v>
      </c>
      <c r="Z75" s="159">
        <v>4.42</v>
      </c>
      <c r="AA75" s="159">
        <v>32.200000000000003</v>
      </c>
      <c r="AB75" s="159">
        <v>4.42</v>
      </c>
      <c r="AC75" s="159">
        <v>5.88</v>
      </c>
      <c r="AD75" s="159"/>
      <c r="AE75" s="159"/>
      <c r="AF75" s="159"/>
      <c r="AG75" s="159"/>
      <c r="AH75" s="159">
        <v>17.559999999999999</v>
      </c>
      <c r="AI75" s="159"/>
      <c r="AJ75" s="159"/>
      <c r="AK75" s="159"/>
      <c r="AL75" s="159">
        <v>0</v>
      </c>
      <c r="AM75" s="159"/>
      <c r="AN75" s="159">
        <v>-2.88</v>
      </c>
    </row>
    <row r="76" spans="1:40" x14ac:dyDescent="0.25">
      <c r="A76" s="241" t="s">
        <v>689</v>
      </c>
      <c r="B76" s="241">
        <v>75</v>
      </c>
      <c r="C76" s="241">
        <v>650</v>
      </c>
      <c r="D76" s="241">
        <v>750</v>
      </c>
      <c r="E76" s="241" t="s">
        <v>269</v>
      </c>
      <c r="F76" s="241" t="s">
        <v>239</v>
      </c>
      <c r="G76" s="265">
        <v>8860000</v>
      </c>
      <c r="H76" s="250">
        <v>73.906724702129594</v>
      </c>
      <c r="I76" s="250">
        <v>8.3296621720823136</v>
      </c>
      <c r="J76" s="250">
        <v>10.979467504857102</v>
      </c>
      <c r="K76" s="250">
        <v>4.4458752800864172</v>
      </c>
      <c r="L76" s="250">
        <v>-126.56517208598308</v>
      </c>
      <c r="M76" s="250">
        <v>-64.432312040620616</v>
      </c>
      <c r="N76" s="241" t="s">
        <v>245</v>
      </c>
      <c r="O76" s="241" t="s">
        <v>247</v>
      </c>
      <c r="P76" s="241">
        <v>0</v>
      </c>
      <c r="Q76" s="241">
        <v>0</v>
      </c>
      <c r="R76" s="241">
        <v>21.1</v>
      </c>
      <c r="S76" s="241">
        <v>240</v>
      </c>
      <c r="T76" s="241"/>
      <c r="U76" s="241">
        <v>152</v>
      </c>
      <c r="V76" s="241">
        <v>61.4</v>
      </c>
      <c r="W76" s="241">
        <v>32.200000000000003</v>
      </c>
      <c r="X76" s="241">
        <v>5.88</v>
      </c>
      <c r="Y76" s="241">
        <v>2.95</v>
      </c>
      <c r="Z76" s="241">
        <v>4.42</v>
      </c>
      <c r="AA76" s="241">
        <v>32.200000000000003</v>
      </c>
      <c r="AB76" s="241">
        <v>4.42</v>
      </c>
      <c r="AC76" s="241">
        <v>5.88</v>
      </c>
      <c r="AD76" s="241"/>
      <c r="AE76" s="241"/>
      <c r="AF76" s="241"/>
      <c r="AG76" s="241"/>
      <c r="AH76" s="241">
        <v>17.559999999999999</v>
      </c>
      <c r="AI76" s="241"/>
      <c r="AJ76" s="241"/>
      <c r="AK76" s="241"/>
      <c r="AL76" s="241">
        <v>0</v>
      </c>
      <c r="AM76" s="241"/>
      <c r="AN76" s="241">
        <v>-4.3899999999999997</v>
      </c>
    </row>
    <row r="77" spans="1:40" x14ac:dyDescent="0.25">
      <c r="A77" s="159" t="s">
        <v>690</v>
      </c>
      <c r="B77" s="159">
        <v>76</v>
      </c>
      <c r="C77" s="159">
        <v>650</v>
      </c>
      <c r="D77" s="159">
        <v>200</v>
      </c>
      <c r="E77" s="159" t="s">
        <v>269</v>
      </c>
      <c r="F77" s="159" t="s">
        <v>239</v>
      </c>
      <c r="G77" s="264">
        <v>8860000</v>
      </c>
      <c r="H77" s="249">
        <v>75.737756913619336</v>
      </c>
      <c r="I77" s="249">
        <v>8.3888883733293156</v>
      </c>
      <c r="J77" s="249">
        <v>10.038008787044493</v>
      </c>
      <c r="K77" s="249">
        <v>4.0755750093685528</v>
      </c>
      <c r="L77" s="249">
        <v>-126.10864419245155</v>
      </c>
      <c r="M77" s="249">
        <v>-64.432312040620616</v>
      </c>
      <c r="N77" s="159" t="s">
        <v>245</v>
      </c>
      <c r="O77" s="159" t="s">
        <v>247</v>
      </c>
      <c r="P77" s="159">
        <v>0</v>
      </c>
      <c r="Q77" s="159">
        <v>0</v>
      </c>
      <c r="R77" s="159">
        <v>21.1</v>
      </c>
      <c r="S77" s="159">
        <v>240</v>
      </c>
      <c r="T77" s="159"/>
      <c r="U77" s="159">
        <v>152</v>
      </c>
      <c r="V77" s="159">
        <v>61.4</v>
      </c>
      <c r="W77" s="159">
        <v>32.200000000000003</v>
      </c>
      <c r="X77" s="159">
        <v>5.88</v>
      </c>
      <c r="Y77" s="159">
        <v>2.95</v>
      </c>
      <c r="Z77" s="159">
        <v>4.42</v>
      </c>
      <c r="AA77" s="159">
        <v>32.200000000000003</v>
      </c>
      <c r="AB77" s="159">
        <v>4.42</v>
      </c>
      <c r="AC77" s="159">
        <v>5.88</v>
      </c>
      <c r="AD77" s="159"/>
      <c r="AE77" s="159"/>
      <c r="AF77" s="159"/>
      <c r="AG77" s="159"/>
      <c r="AH77" s="159">
        <v>17.559999999999999</v>
      </c>
      <c r="AI77" s="159"/>
      <c r="AJ77" s="159"/>
      <c r="AK77" s="159"/>
      <c r="AL77" s="159">
        <v>0</v>
      </c>
      <c r="AM77" s="159"/>
      <c r="AN77" s="159">
        <v>-1.29</v>
      </c>
    </row>
    <row r="78" spans="1:40" x14ac:dyDescent="0.25">
      <c r="A78" s="241" t="s">
        <v>691</v>
      </c>
      <c r="B78" s="241">
        <v>77</v>
      </c>
      <c r="C78" s="241">
        <v>650</v>
      </c>
      <c r="D78" s="241">
        <v>500</v>
      </c>
      <c r="E78" s="241" t="s">
        <v>269</v>
      </c>
      <c r="F78" s="241" t="s">
        <v>239</v>
      </c>
      <c r="G78" s="265">
        <v>8860000</v>
      </c>
      <c r="H78" s="250">
        <v>75.737756913619336</v>
      </c>
      <c r="I78" s="250">
        <v>8.3888883733293156</v>
      </c>
      <c r="J78" s="250">
        <v>10.038008787044493</v>
      </c>
      <c r="K78" s="250">
        <v>4.0755750093685528</v>
      </c>
      <c r="L78" s="250">
        <v>-126.10864419245155</v>
      </c>
      <c r="M78" s="250">
        <v>-64.432312040620616</v>
      </c>
      <c r="N78" s="241" t="s">
        <v>245</v>
      </c>
      <c r="O78" s="241" t="s">
        <v>247</v>
      </c>
      <c r="P78" s="241">
        <v>0</v>
      </c>
      <c r="Q78" s="241">
        <v>0</v>
      </c>
      <c r="R78" s="241">
        <v>21.1</v>
      </c>
      <c r="S78" s="241">
        <v>240</v>
      </c>
      <c r="T78" s="241"/>
      <c r="U78" s="241">
        <v>152</v>
      </c>
      <c r="V78" s="241">
        <v>61.4</v>
      </c>
      <c r="W78" s="241">
        <v>32.200000000000003</v>
      </c>
      <c r="X78" s="241">
        <v>5.88</v>
      </c>
      <c r="Y78" s="241">
        <v>2.95</v>
      </c>
      <c r="Z78" s="241">
        <v>4.42</v>
      </c>
      <c r="AA78" s="241">
        <v>32.200000000000003</v>
      </c>
      <c r="AB78" s="241">
        <v>4.42</v>
      </c>
      <c r="AC78" s="241">
        <v>5.88</v>
      </c>
      <c r="AD78" s="241"/>
      <c r="AE78" s="241"/>
      <c r="AF78" s="241"/>
      <c r="AG78" s="241"/>
      <c r="AH78" s="241">
        <v>17.559999999999999</v>
      </c>
      <c r="AI78" s="241"/>
      <c r="AJ78" s="241"/>
      <c r="AK78" s="241"/>
      <c r="AL78" s="241">
        <v>0</v>
      </c>
      <c r="AM78" s="241"/>
      <c r="AN78" s="241">
        <v>-2.37</v>
      </c>
    </row>
    <row r="79" spans="1:40" ht="16.5" thickBot="1" x14ac:dyDescent="0.3">
      <c r="A79" s="160" t="s">
        <v>692</v>
      </c>
      <c r="B79" s="160">
        <v>78</v>
      </c>
      <c r="C79" s="160">
        <v>650</v>
      </c>
      <c r="D79" s="160">
        <v>750</v>
      </c>
      <c r="E79" s="160" t="s">
        <v>269</v>
      </c>
      <c r="F79" s="160" t="s">
        <v>239</v>
      </c>
      <c r="G79" s="267">
        <v>8860000</v>
      </c>
      <c r="H79" s="252">
        <v>75.737756913619336</v>
      </c>
      <c r="I79" s="252">
        <v>8.3888883733293156</v>
      </c>
      <c r="J79" s="252">
        <v>10.038008787044493</v>
      </c>
      <c r="K79" s="252">
        <v>4.0755750093685528</v>
      </c>
      <c r="L79" s="252">
        <v>-126.10864419245155</v>
      </c>
      <c r="M79" s="252">
        <v>-64.432312040620616</v>
      </c>
      <c r="N79" s="160" t="s">
        <v>245</v>
      </c>
      <c r="O79" s="160" t="s">
        <v>247</v>
      </c>
      <c r="P79" s="160">
        <v>0</v>
      </c>
      <c r="Q79" s="160">
        <v>0</v>
      </c>
      <c r="R79" s="160">
        <v>21.1</v>
      </c>
      <c r="S79" s="160">
        <v>240</v>
      </c>
      <c r="T79" s="160"/>
      <c r="U79" s="160">
        <v>152</v>
      </c>
      <c r="V79" s="160">
        <v>61.4</v>
      </c>
      <c r="W79" s="160">
        <v>32.200000000000003</v>
      </c>
      <c r="X79" s="160">
        <v>5.88</v>
      </c>
      <c r="Y79" s="160">
        <v>2.95</v>
      </c>
      <c r="Z79" s="160">
        <v>4.42</v>
      </c>
      <c r="AA79" s="160">
        <v>32.200000000000003</v>
      </c>
      <c r="AB79" s="160">
        <v>4.42</v>
      </c>
      <c r="AC79" s="160">
        <v>5.88</v>
      </c>
      <c r="AD79" s="160"/>
      <c r="AE79" s="160"/>
      <c r="AF79" s="160"/>
      <c r="AG79" s="160"/>
      <c r="AH79" s="160">
        <v>17.559999999999999</v>
      </c>
      <c r="AI79" s="160"/>
      <c r="AJ79" s="160"/>
      <c r="AK79" s="160"/>
      <c r="AL79" s="160">
        <v>0</v>
      </c>
      <c r="AM79" s="160"/>
      <c r="AN79" s="160">
        <v>-4.03</v>
      </c>
    </row>
    <row r="80" spans="1:40" x14ac:dyDescent="0.25">
      <c r="A80" s="159" t="s">
        <v>693</v>
      </c>
      <c r="B80" s="159">
        <v>79</v>
      </c>
      <c r="C80" s="159">
        <v>500</v>
      </c>
      <c r="D80" s="159">
        <v>1000</v>
      </c>
      <c r="E80" s="159" t="s">
        <v>308</v>
      </c>
      <c r="F80" s="159" t="s">
        <v>308</v>
      </c>
      <c r="G80" s="264">
        <v>8890000</v>
      </c>
      <c r="H80" s="249">
        <v>62.170640393951501</v>
      </c>
      <c r="I80" s="249">
        <v>18.818571337592598</v>
      </c>
      <c r="J80" s="249">
        <v>10.301765800532134</v>
      </c>
      <c r="K80" s="249">
        <v>7.0219456413920263</v>
      </c>
      <c r="L80" s="249">
        <v>-134.28076087730219</v>
      </c>
      <c r="M80" s="249">
        <v>-134.28076087730219</v>
      </c>
      <c r="N80" s="159" t="s">
        <v>228</v>
      </c>
      <c r="O80" s="159" t="s">
        <v>230</v>
      </c>
      <c r="P80" s="159">
        <v>0</v>
      </c>
      <c r="Q80" s="159">
        <v>0</v>
      </c>
      <c r="R80" s="159">
        <v>70</v>
      </c>
      <c r="S80" s="159"/>
      <c r="T80" s="159"/>
      <c r="U80" s="159"/>
      <c r="V80" s="159"/>
      <c r="W80" s="159">
        <v>16</v>
      </c>
      <c r="X80" s="159">
        <v>5</v>
      </c>
      <c r="Y80" s="159"/>
      <c r="Z80" s="159">
        <v>1</v>
      </c>
      <c r="AA80" s="159"/>
      <c r="AB80" s="159"/>
      <c r="AC80" s="159"/>
      <c r="AD80" s="159">
        <v>180</v>
      </c>
      <c r="AE80" s="159"/>
      <c r="AF80" s="159"/>
      <c r="AG80" s="159">
        <v>1</v>
      </c>
      <c r="AH80" s="159"/>
      <c r="AI80" s="159"/>
      <c r="AJ80" s="159"/>
      <c r="AK80" s="159"/>
      <c r="AL80" s="159">
        <v>0</v>
      </c>
      <c r="AM80" s="159"/>
      <c r="AN80" s="159">
        <v>-0.22700000000000001</v>
      </c>
    </row>
    <row r="81" spans="1:40" x14ac:dyDescent="0.25">
      <c r="A81" s="241" t="s">
        <v>694</v>
      </c>
      <c r="B81" s="241">
        <v>80</v>
      </c>
      <c r="C81" s="241">
        <v>600</v>
      </c>
      <c r="D81" s="241">
        <v>1000</v>
      </c>
      <c r="E81" s="241" t="s">
        <v>308</v>
      </c>
      <c r="F81" s="241" t="s">
        <v>308</v>
      </c>
      <c r="G81" s="265">
        <v>8890000</v>
      </c>
      <c r="H81" s="250">
        <v>62.170640393951501</v>
      </c>
      <c r="I81" s="250">
        <v>18.818571337592598</v>
      </c>
      <c r="J81" s="250">
        <v>10.301765800532134</v>
      </c>
      <c r="K81" s="250">
        <v>7.0219456413920263</v>
      </c>
      <c r="L81" s="250">
        <v>-130.93157850689349</v>
      </c>
      <c r="M81" s="250">
        <v>-130.93157850689349</v>
      </c>
      <c r="N81" s="241" t="s">
        <v>228</v>
      </c>
      <c r="O81" s="241" t="s">
        <v>230</v>
      </c>
      <c r="P81" s="241">
        <v>0</v>
      </c>
      <c r="Q81" s="241">
        <v>0</v>
      </c>
      <c r="R81" s="241">
        <v>70</v>
      </c>
      <c r="S81" s="241"/>
      <c r="T81" s="241"/>
      <c r="U81" s="241"/>
      <c r="V81" s="241"/>
      <c r="W81" s="241">
        <v>16</v>
      </c>
      <c r="X81" s="241">
        <v>5</v>
      </c>
      <c r="Y81" s="241"/>
      <c r="Z81" s="241">
        <v>1</v>
      </c>
      <c r="AA81" s="241"/>
      <c r="AB81" s="241"/>
      <c r="AC81" s="241"/>
      <c r="AD81" s="241">
        <v>180</v>
      </c>
      <c r="AE81" s="241"/>
      <c r="AF81" s="241"/>
      <c r="AG81" s="241">
        <v>1</v>
      </c>
      <c r="AH81" s="241"/>
      <c r="AI81" s="241"/>
      <c r="AJ81" s="241"/>
      <c r="AK81" s="241"/>
      <c r="AL81" s="241">
        <v>0</v>
      </c>
      <c r="AM81" s="241"/>
      <c r="AN81" s="241">
        <v>-0.34300000000000003</v>
      </c>
    </row>
    <row r="82" spans="1:40" x14ac:dyDescent="0.25">
      <c r="A82" s="159" t="s">
        <v>695</v>
      </c>
      <c r="B82" s="159">
        <v>81</v>
      </c>
      <c r="C82" s="159">
        <v>500</v>
      </c>
      <c r="D82" s="159">
        <v>1000</v>
      </c>
      <c r="E82" s="159" t="s">
        <v>312</v>
      </c>
      <c r="F82" s="159" t="s">
        <v>312</v>
      </c>
      <c r="G82" s="264">
        <v>8470000</v>
      </c>
      <c r="H82" s="249">
        <v>75.015101953020505</v>
      </c>
      <c r="I82" s="249">
        <v>17.331567618763543</v>
      </c>
      <c r="J82" s="249">
        <v>0</v>
      </c>
      <c r="K82" s="249">
        <v>7.1924121510888783</v>
      </c>
      <c r="L82" s="249">
        <v>-134.65141092366517</v>
      </c>
      <c r="M82" s="249">
        <v>-134.65141092366517</v>
      </c>
      <c r="N82" s="159" t="s">
        <v>228</v>
      </c>
      <c r="O82" s="159" t="s">
        <v>230</v>
      </c>
      <c r="P82" s="159">
        <v>0</v>
      </c>
      <c r="Q82" s="159">
        <v>0</v>
      </c>
      <c r="R82" s="159">
        <v>70</v>
      </c>
      <c r="S82" s="159"/>
      <c r="T82" s="159"/>
      <c r="U82" s="159"/>
      <c r="V82" s="159"/>
      <c r="W82" s="159">
        <v>16</v>
      </c>
      <c r="X82" s="159">
        <v>5</v>
      </c>
      <c r="Y82" s="159"/>
      <c r="Z82" s="159">
        <v>1</v>
      </c>
      <c r="AA82" s="159"/>
      <c r="AB82" s="159"/>
      <c r="AC82" s="159"/>
      <c r="AD82" s="159">
        <v>180</v>
      </c>
      <c r="AE82" s="159"/>
      <c r="AF82" s="159"/>
      <c r="AG82" s="159">
        <v>1</v>
      </c>
      <c r="AH82" s="159"/>
      <c r="AI82" s="159"/>
      <c r="AJ82" s="159"/>
      <c r="AK82" s="159"/>
      <c r="AL82" s="159">
        <v>0</v>
      </c>
      <c r="AM82" s="159"/>
      <c r="AN82" s="159">
        <v>-0.106</v>
      </c>
    </row>
    <row r="83" spans="1:40" x14ac:dyDescent="0.25">
      <c r="A83" s="241" t="s">
        <v>696</v>
      </c>
      <c r="B83" s="241">
        <v>82</v>
      </c>
      <c r="C83" s="241">
        <v>600</v>
      </c>
      <c r="D83" s="241">
        <v>1000</v>
      </c>
      <c r="E83" s="241" t="s">
        <v>312</v>
      </c>
      <c r="F83" s="241" t="s">
        <v>312</v>
      </c>
      <c r="G83" s="265">
        <v>8470000</v>
      </c>
      <c r="H83" s="250">
        <v>75.015101953020505</v>
      </c>
      <c r="I83" s="250">
        <v>17.331567618763543</v>
      </c>
      <c r="J83" s="250">
        <v>0</v>
      </c>
      <c r="K83" s="250">
        <v>7.1924121510888783</v>
      </c>
      <c r="L83" s="250">
        <v>-131.13367674380748</v>
      </c>
      <c r="M83" s="250">
        <v>-131.13367674380748</v>
      </c>
      <c r="N83" s="241" t="s">
        <v>228</v>
      </c>
      <c r="O83" s="241" t="s">
        <v>230</v>
      </c>
      <c r="P83" s="241">
        <v>0</v>
      </c>
      <c r="Q83" s="241">
        <v>0</v>
      </c>
      <c r="R83" s="241">
        <v>70</v>
      </c>
      <c r="S83" s="241"/>
      <c r="T83" s="241"/>
      <c r="U83" s="241"/>
      <c r="V83" s="241"/>
      <c r="W83" s="241">
        <v>16</v>
      </c>
      <c r="X83" s="241">
        <v>5</v>
      </c>
      <c r="Y83" s="241"/>
      <c r="Z83" s="241">
        <v>1</v>
      </c>
      <c r="AA83" s="241"/>
      <c r="AB83" s="241"/>
      <c r="AC83" s="241"/>
      <c r="AD83" s="241">
        <v>180</v>
      </c>
      <c r="AE83" s="241"/>
      <c r="AF83" s="241"/>
      <c r="AG83" s="241">
        <v>1</v>
      </c>
      <c r="AH83" s="241"/>
      <c r="AI83" s="241"/>
      <c r="AJ83" s="241"/>
      <c r="AK83" s="241"/>
      <c r="AL83" s="241">
        <v>0</v>
      </c>
      <c r="AM83" s="241"/>
      <c r="AN83" s="241">
        <v>-0.26700000000000002</v>
      </c>
    </row>
    <row r="84" spans="1:40" x14ac:dyDescent="0.25">
      <c r="A84" s="159" t="s">
        <v>697</v>
      </c>
      <c r="B84" s="159">
        <v>83</v>
      </c>
      <c r="C84" s="159">
        <v>500</v>
      </c>
      <c r="D84" s="159">
        <v>1000</v>
      </c>
      <c r="E84" s="159" t="s">
        <v>314</v>
      </c>
      <c r="F84" s="159" t="s">
        <v>314</v>
      </c>
      <c r="G84" s="264">
        <v>8440000</v>
      </c>
      <c r="H84" s="249">
        <v>65.971187042641063</v>
      </c>
      <c r="I84" s="249">
        <v>24.071558386135255</v>
      </c>
      <c r="J84" s="249">
        <v>5.4350816142100591</v>
      </c>
      <c r="K84" s="249">
        <v>4.2524078109734544</v>
      </c>
      <c r="L84" s="249">
        <v>-135.59719051295724</v>
      </c>
      <c r="M84" s="249">
        <v>-135.59719051295724</v>
      </c>
      <c r="N84" s="159" t="s">
        <v>228</v>
      </c>
      <c r="O84" s="159" t="s">
        <v>230</v>
      </c>
      <c r="P84" s="159">
        <v>0</v>
      </c>
      <c r="Q84" s="159">
        <v>0</v>
      </c>
      <c r="R84" s="159">
        <v>70</v>
      </c>
      <c r="S84" s="159"/>
      <c r="T84" s="159"/>
      <c r="U84" s="159"/>
      <c r="V84" s="159"/>
      <c r="W84" s="159">
        <v>16</v>
      </c>
      <c r="X84" s="159">
        <v>5</v>
      </c>
      <c r="Y84" s="159"/>
      <c r="Z84" s="159">
        <v>1</v>
      </c>
      <c r="AA84" s="159"/>
      <c r="AB84" s="159"/>
      <c r="AC84" s="159"/>
      <c r="AD84" s="159">
        <v>180</v>
      </c>
      <c r="AE84" s="159"/>
      <c r="AF84" s="159"/>
      <c r="AG84" s="159">
        <v>1</v>
      </c>
      <c r="AH84" s="159"/>
      <c r="AI84" s="159"/>
      <c r="AJ84" s="159"/>
      <c r="AK84" s="159"/>
      <c r="AL84" s="159">
        <v>0</v>
      </c>
      <c r="AM84" s="159"/>
      <c r="AN84" s="159">
        <v>-0.127</v>
      </c>
    </row>
    <row r="85" spans="1:40" ht="16.5" thickBot="1" x14ac:dyDescent="0.3">
      <c r="A85" s="242" t="s">
        <v>698</v>
      </c>
      <c r="B85" s="242">
        <v>84</v>
      </c>
      <c r="C85" s="242">
        <v>600</v>
      </c>
      <c r="D85" s="242">
        <v>1000</v>
      </c>
      <c r="E85" s="242" t="s">
        <v>314</v>
      </c>
      <c r="F85" s="242" t="s">
        <v>314</v>
      </c>
      <c r="G85" s="266">
        <v>8440000</v>
      </c>
      <c r="H85" s="251">
        <v>65.971187042641063</v>
      </c>
      <c r="I85" s="251">
        <v>24.071558386135255</v>
      </c>
      <c r="J85" s="251">
        <v>5.4350816142100591</v>
      </c>
      <c r="K85" s="251">
        <v>4.2524078109734544</v>
      </c>
      <c r="L85" s="251">
        <v>-132.16332788628074</v>
      </c>
      <c r="M85" s="251">
        <v>-132.16332788628074</v>
      </c>
      <c r="N85" s="242" t="s">
        <v>228</v>
      </c>
      <c r="O85" s="242" t="s">
        <v>230</v>
      </c>
      <c r="P85" s="242">
        <v>0</v>
      </c>
      <c r="Q85" s="242">
        <v>0</v>
      </c>
      <c r="R85" s="242">
        <v>70</v>
      </c>
      <c r="S85" s="242"/>
      <c r="T85" s="242"/>
      <c r="U85" s="242"/>
      <c r="V85" s="242"/>
      <c r="W85" s="242">
        <v>16</v>
      </c>
      <c r="X85" s="242">
        <v>5</v>
      </c>
      <c r="Y85" s="242"/>
      <c r="Z85" s="242">
        <v>1</v>
      </c>
      <c r="AA85" s="242"/>
      <c r="AB85" s="242"/>
      <c r="AC85" s="242"/>
      <c r="AD85" s="242">
        <v>180</v>
      </c>
      <c r="AE85" s="242"/>
      <c r="AF85" s="242"/>
      <c r="AG85" s="242">
        <v>1</v>
      </c>
      <c r="AH85" s="242"/>
      <c r="AI85" s="242"/>
      <c r="AJ85" s="242"/>
      <c r="AK85" s="242"/>
      <c r="AL85" s="242">
        <v>0</v>
      </c>
      <c r="AM85" s="242"/>
      <c r="AN85" s="242">
        <v>-0.107</v>
      </c>
    </row>
    <row r="86" spans="1:40" x14ac:dyDescent="0.25">
      <c r="A86" s="159" t="s">
        <v>699</v>
      </c>
      <c r="B86" s="159">
        <v>85</v>
      </c>
      <c r="C86" s="159">
        <v>700</v>
      </c>
      <c r="D86" s="159">
        <v>20</v>
      </c>
      <c r="E86" s="159" t="s">
        <v>233</v>
      </c>
      <c r="F86" s="159" t="s">
        <v>239</v>
      </c>
      <c r="G86" s="264">
        <v>8860000</v>
      </c>
      <c r="H86" s="249">
        <v>73.906899411550725</v>
      </c>
      <c r="I86" s="249">
        <v>8.3297883514904267</v>
      </c>
      <c r="J86" s="249">
        <v>10.979633824052589</v>
      </c>
      <c r="K86" s="249">
        <v>4.4459426271047953</v>
      </c>
      <c r="L86" s="249">
        <v>-124.89491451689608</v>
      </c>
      <c r="M86" s="249">
        <v>-63.529671587210359</v>
      </c>
      <c r="N86" s="159" t="s">
        <v>245</v>
      </c>
      <c r="O86" s="159" t="s">
        <v>247</v>
      </c>
      <c r="P86" s="159">
        <v>0</v>
      </c>
      <c r="Q86" s="159">
        <v>0</v>
      </c>
      <c r="R86" s="159"/>
      <c r="S86" s="159"/>
      <c r="T86" s="159"/>
      <c r="U86" s="159"/>
      <c r="V86" s="159"/>
      <c r="W86" s="159"/>
      <c r="X86" s="159"/>
      <c r="Y86" s="159"/>
      <c r="Z86" s="159"/>
      <c r="AA86" s="159"/>
      <c r="AB86" s="159"/>
      <c r="AC86" s="159"/>
      <c r="AD86" s="159"/>
      <c r="AE86" s="159"/>
      <c r="AF86" s="159"/>
      <c r="AG86" s="159"/>
      <c r="AH86" s="159"/>
      <c r="AI86" s="159"/>
      <c r="AJ86" s="159"/>
      <c r="AK86" s="159"/>
      <c r="AL86" s="159">
        <v>0</v>
      </c>
      <c r="AM86" s="159">
        <v>-38</v>
      </c>
      <c r="AN86" s="159"/>
    </row>
    <row r="87" spans="1:40" x14ac:dyDescent="0.25">
      <c r="A87" s="241" t="s">
        <v>700</v>
      </c>
      <c r="B87" s="241">
        <v>86</v>
      </c>
      <c r="C87" s="241">
        <v>700</v>
      </c>
      <c r="D87" s="241">
        <v>40</v>
      </c>
      <c r="E87" s="241" t="s">
        <v>233</v>
      </c>
      <c r="F87" s="241" t="s">
        <v>239</v>
      </c>
      <c r="G87" s="265">
        <v>8860000</v>
      </c>
      <c r="H87" s="250">
        <v>73.906899411550725</v>
      </c>
      <c r="I87" s="250">
        <v>8.3297883514904267</v>
      </c>
      <c r="J87" s="250">
        <v>10.979633824052589</v>
      </c>
      <c r="K87" s="250">
        <v>4.4459426271047953</v>
      </c>
      <c r="L87" s="250">
        <v>-124.89491451689608</v>
      </c>
      <c r="M87" s="250">
        <v>-63.529671587210359</v>
      </c>
      <c r="N87" s="241" t="s">
        <v>245</v>
      </c>
      <c r="O87" s="241" t="s">
        <v>247</v>
      </c>
      <c r="P87" s="241">
        <v>0</v>
      </c>
      <c r="Q87" s="241">
        <v>0</v>
      </c>
      <c r="R87" s="241"/>
      <c r="S87" s="241"/>
      <c r="T87" s="241"/>
      <c r="U87" s="241"/>
      <c r="V87" s="241"/>
      <c r="W87" s="241"/>
      <c r="X87" s="241"/>
      <c r="Y87" s="241"/>
      <c r="Z87" s="241"/>
      <c r="AA87" s="241"/>
      <c r="AB87" s="241"/>
      <c r="AC87" s="241"/>
      <c r="AD87" s="241"/>
      <c r="AE87" s="241"/>
      <c r="AF87" s="241"/>
      <c r="AG87" s="241"/>
      <c r="AH87" s="241"/>
      <c r="AI87" s="241"/>
      <c r="AJ87" s="241"/>
      <c r="AK87" s="241"/>
      <c r="AL87" s="241">
        <v>0</v>
      </c>
      <c r="AM87" s="241">
        <v>-42</v>
      </c>
      <c r="AN87" s="241"/>
    </row>
    <row r="88" spans="1:40" ht="16.5" thickBot="1" x14ac:dyDescent="0.3">
      <c r="A88" s="160" t="s">
        <v>701</v>
      </c>
      <c r="B88" s="160">
        <v>87</v>
      </c>
      <c r="C88" s="160">
        <v>700</v>
      </c>
      <c r="D88" s="160">
        <v>60</v>
      </c>
      <c r="E88" s="160" t="s">
        <v>233</v>
      </c>
      <c r="F88" s="160" t="s">
        <v>239</v>
      </c>
      <c r="G88" s="267">
        <v>8860000</v>
      </c>
      <c r="H88" s="252">
        <v>73.906899411550725</v>
      </c>
      <c r="I88" s="252">
        <v>8.3297883514904267</v>
      </c>
      <c r="J88" s="252">
        <v>10.979633824052589</v>
      </c>
      <c r="K88" s="252">
        <v>4.4459426271047953</v>
      </c>
      <c r="L88" s="252">
        <v>-124.89491451689608</v>
      </c>
      <c r="M88" s="252">
        <v>-63.529671587210359</v>
      </c>
      <c r="N88" s="160" t="s">
        <v>245</v>
      </c>
      <c r="O88" s="160" t="s">
        <v>247</v>
      </c>
      <c r="P88" s="160">
        <v>0</v>
      </c>
      <c r="Q88" s="160">
        <v>0</v>
      </c>
      <c r="R88" s="160"/>
      <c r="S88" s="160"/>
      <c r="T88" s="160"/>
      <c r="U88" s="160"/>
      <c r="V88" s="160"/>
      <c r="W88" s="160"/>
      <c r="X88" s="160"/>
      <c r="Y88" s="160"/>
      <c r="Z88" s="160"/>
      <c r="AA88" s="160"/>
      <c r="AB88" s="160"/>
      <c r="AC88" s="160"/>
      <c r="AD88" s="160"/>
      <c r="AE88" s="160"/>
      <c r="AF88" s="160"/>
      <c r="AG88" s="160"/>
      <c r="AH88" s="160"/>
      <c r="AI88" s="160"/>
      <c r="AJ88" s="160"/>
      <c r="AK88" s="160"/>
      <c r="AL88" s="160">
        <v>0</v>
      </c>
      <c r="AM88" s="160">
        <v>-119</v>
      </c>
      <c r="AN88" s="160"/>
    </row>
    <row r="89" spans="1:40" x14ac:dyDescent="0.25">
      <c r="A89" s="241" t="s">
        <v>702</v>
      </c>
      <c r="B89" s="241">
        <v>88</v>
      </c>
      <c r="C89" s="241">
        <v>700</v>
      </c>
      <c r="D89" s="241">
        <v>100</v>
      </c>
      <c r="E89" s="241" t="s">
        <v>48</v>
      </c>
      <c r="F89" s="241" t="s">
        <v>275</v>
      </c>
      <c r="G89" s="265">
        <v>9220000</v>
      </c>
      <c r="H89" s="250">
        <v>68.825839891971</v>
      </c>
      <c r="I89" s="250">
        <v>1.7926280517425051</v>
      </c>
      <c r="J89" s="250">
        <v>18.456820707811541</v>
      </c>
      <c r="K89" s="250">
        <v>1.6690538709151344</v>
      </c>
      <c r="L89" s="250">
        <v>-123.42862137745254</v>
      </c>
      <c r="M89" s="250">
        <v>-121.74823772574202</v>
      </c>
      <c r="N89" s="241" t="s">
        <v>245</v>
      </c>
      <c r="O89" s="241" t="s">
        <v>247</v>
      </c>
      <c r="P89" s="241">
        <v>1.91</v>
      </c>
      <c r="Q89" s="241">
        <v>0</v>
      </c>
      <c r="R89" s="241"/>
      <c r="S89" s="241"/>
      <c r="T89" s="241"/>
      <c r="U89" s="241"/>
      <c r="V89" s="241"/>
      <c r="W89" s="241"/>
      <c r="X89" s="241"/>
      <c r="Y89" s="241"/>
      <c r="Z89" s="241"/>
      <c r="AA89" s="241"/>
      <c r="AB89" s="241"/>
      <c r="AC89" s="241"/>
      <c r="AD89" s="241"/>
      <c r="AE89" s="241"/>
      <c r="AF89" s="241"/>
      <c r="AG89" s="241"/>
      <c r="AH89" s="241"/>
      <c r="AI89" s="241"/>
      <c r="AJ89" s="241"/>
      <c r="AK89" s="241"/>
      <c r="AL89" s="241">
        <v>0</v>
      </c>
      <c r="AM89" s="241"/>
      <c r="AN89" s="241">
        <v>-27.2</v>
      </c>
    </row>
    <row r="90" spans="1:40" x14ac:dyDescent="0.25">
      <c r="A90" s="159" t="s">
        <v>703</v>
      </c>
      <c r="B90" s="159">
        <v>89</v>
      </c>
      <c r="C90" s="159">
        <v>700</v>
      </c>
      <c r="D90" s="159">
        <v>200</v>
      </c>
      <c r="E90" s="159" t="s">
        <v>48</v>
      </c>
      <c r="F90" s="159" t="s">
        <v>275</v>
      </c>
      <c r="G90" s="264">
        <v>9220000</v>
      </c>
      <c r="H90" s="249">
        <v>68.825839891971</v>
      </c>
      <c r="I90" s="249">
        <v>1.7926280517425051</v>
      </c>
      <c r="J90" s="249">
        <v>18.456820707811541</v>
      </c>
      <c r="K90" s="249">
        <v>1.6690538709151344</v>
      </c>
      <c r="L90" s="249">
        <v>-123.42862137745254</v>
      </c>
      <c r="M90" s="249">
        <v>-121.74823772574202</v>
      </c>
      <c r="N90" s="159" t="s">
        <v>245</v>
      </c>
      <c r="O90" s="159" t="s">
        <v>247</v>
      </c>
      <c r="P90" s="159">
        <v>1.91</v>
      </c>
      <c r="Q90" s="159">
        <v>0</v>
      </c>
      <c r="R90" s="159"/>
      <c r="S90" s="159"/>
      <c r="T90" s="159"/>
      <c r="U90" s="159"/>
      <c r="V90" s="159"/>
      <c r="W90" s="159"/>
      <c r="X90" s="159"/>
      <c r="Y90" s="159"/>
      <c r="Z90" s="159"/>
      <c r="AA90" s="159"/>
      <c r="AB90" s="159"/>
      <c r="AC90" s="159"/>
      <c r="AD90" s="159"/>
      <c r="AE90" s="159"/>
      <c r="AF90" s="159"/>
      <c r="AG90" s="159"/>
      <c r="AH90" s="159"/>
      <c r="AI90" s="159"/>
      <c r="AJ90" s="159"/>
      <c r="AK90" s="159"/>
      <c r="AL90" s="159">
        <v>0</v>
      </c>
      <c r="AM90" s="159"/>
      <c r="AN90" s="159">
        <v>-34.4</v>
      </c>
    </row>
    <row r="91" spans="1:40" x14ac:dyDescent="0.25">
      <c r="A91" s="241" t="s">
        <v>704</v>
      </c>
      <c r="B91" s="241">
        <v>90</v>
      </c>
      <c r="C91" s="241">
        <v>700</v>
      </c>
      <c r="D91" s="241">
        <v>500</v>
      </c>
      <c r="E91" s="241" t="s">
        <v>48</v>
      </c>
      <c r="F91" s="241" t="s">
        <v>275</v>
      </c>
      <c r="G91" s="265">
        <v>9220000</v>
      </c>
      <c r="H91" s="250">
        <v>68.825839891971</v>
      </c>
      <c r="I91" s="250">
        <v>1.7926280517425051</v>
      </c>
      <c r="J91" s="250">
        <v>18.456820707811541</v>
      </c>
      <c r="K91" s="250">
        <v>1.6690538709151344</v>
      </c>
      <c r="L91" s="250">
        <v>-123.42862137745254</v>
      </c>
      <c r="M91" s="250">
        <v>-121.74823772574202</v>
      </c>
      <c r="N91" s="241" t="s">
        <v>245</v>
      </c>
      <c r="O91" s="241" t="s">
        <v>247</v>
      </c>
      <c r="P91" s="241">
        <v>1.91</v>
      </c>
      <c r="Q91" s="241">
        <v>0</v>
      </c>
      <c r="R91" s="241"/>
      <c r="S91" s="241"/>
      <c r="T91" s="241"/>
      <c r="U91" s="241"/>
      <c r="V91" s="241"/>
      <c r="W91" s="241"/>
      <c r="X91" s="241"/>
      <c r="Y91" s="241"/>
      <c r="Z91" s="241"/>
      <c r="AA91" s="241"/>
      <c r="AB91" s="241"/>
      <c r="AC91" s="241"/>
      <c r="AD91" s="241"/>
      <c r="AE91" s="241"/>
      <c r="AF91" s="241"/>
      <c r="AG91" s="241"/>
      <c r="AH91" s="241"/>
      <c r="AI91" s="241"/>
      <c r="AJ91" s="241"/>
      <c r="AK91" s="241"/>
      <c r="AL91" s="241">
        <v>0</v>
      </c>
      <c r="AM91" s="241"/>
      <c r="AN91" s="241">
        <v>-50.1</v>
      </c>
    </row>
    <row r="92" spans="1:40" x14ac:dyDescent="0.25">
      <c r="A92" s="159" t="s">
        <v>705</v>
      </c>
      <c r="B92" s="159">
        <v>91</v>
      </c>
      <c r="C92" s="159">
        <v>700</v>
      </c>
      <c r="D92" s="159">
        <v>1000</v>
      </c>
      <c r="E92" s="159" t="s">
        <v>48</v>
      </c>
      <c r="F92" s="159" t="s">
        <v>275</v>
      </c>
      <c r="G92" s="264">
        <v>9220000</v>
      </c>
      <c r="H92" s="249">
        <v>68.825839891971</v>
      </c>
      <c r="I92" s="249">
        <v>1.7926280517425051</v>
      </c>
      <c r="J92" s="249">
        <v>18.456820707811541</v>
      </c>
      <c r="K92" s="249">
        <v>1.6690538709151344</v>
      </c>
      <c r="L92" s="249">
        <v>-123.42862137745254</v>
      </c>
      <c r="M92" s="249">
        <v>-121.74823772574202</v>
      </c>
      <c r="N92" s="159" t="s">
        <v>245</v>
      </c>
      <c r="O92" s="159" t="s">
        <v>247</v>
      </c>
      <c r="P92" s="159">
        <v>1.91</v>
      </c>
      <c r="Q92" s="159">
        <v>0</v>
      </c>
      <c r="R92" s="159"/>
      <c r="S92" s="159"/>
      <c r="T92" s="159"/>
      <c r="U92" s="159"/>
      <c r="V92" s="159"/>
      <c r="W92" s="159"/>
      <c r="X92" s="159"/>
      <c r="Y92" s="159"/>
      <c r="Z92" s="159"/>
      <c r="AA92" s="159"/>
      <c r="AB92" s="159"/>
      <c r="AC92" s="159"/>
      <c r="AD92" s="159"/>
      <c r="AE92" s="159"/>
      <c r="AF92" s="159"/>
      <c r="AG92" s="159"/>
      <c r="AH92" s="159"/>
      <c r="AI92" s="159"/>
      <c r="AJ92" s="159"/>
      <c r="AK92" s="159"/>
      <c r="AL92" s="159">
        <v>0</v>
      </c>
      <c r="AM92" s="159"/>
      <c r="AN92" s="159">
        <v>-59</v>
      </c>
    </row>
    <row r="93" spans="1:40" x14ac:dyDescent="0.25">
      <c r="A93" s="241" t="s">
        <v>706</v>
      </c>
      <c r="B93" s="241">
        <v>92</v>
      </c>
      <c r="C93" s="241">
        <v>700</v>
      </c>
      <c r="D93" s="241">
        <v>100</v>
      </c>
      <c r="E93" s="241" t="s">
        <v>48</v>
      </c>
      <c r="F93" s="241" t="s">
        <v>239</v>
      </c>
      <c r="G93" s="265">
        <v>8860000</v>
      </c>
      <c r="H93" s="250">
        <v>73.616065298412209</v>
      </c>
      <c r="I93" s="250">
        <v>8.1916815023149212</v>
      </c>
      <c r="J93" s="250">
        <v>10.146309488962684</v>
      </c>
      <c r="K93" s="250">
        <v>3.268710357746841</v>
      </c>
      <c r="L93" s="250">
        <v>-125.16730201123855</v>
      </c>
      <c r="M93" s="250">
        <v>-121.74823772574202</v>
      </c>
      <c r="N93" s="241" t="s">
        <v>245</v>
      </c>
      <c r="O93" s="241" t="s">
        <v>247</v>
      </c>
      <c r="P93" s="241">
        <v>1.91</v>
      </c>
      <c r="Q93" s="241">
        <v>0</v>
      </c>
      <c r="R93" s="241"/>
      <c r="S93" s="241"/>
      <c r="T93" s="241"/>
      <c r="U93" s="241"/>
      <c r="V93" s="241"/>
      <c r="W93" s="241"/>
      <c r="X93" s="241"/>
      <c r="Y93" s="241"/>
      <c r="Z93" s="241"/>
      <c r="AA93" s="241"/>
      <c r="AB93" s="241"/>
      <c r="AC93" s="241"/>
      <c r="AD93" s="241"/>
      <c r="AE93" s="241"/>
      <c r="AF93" s="241"/>
      <c r="AG93" s="241"/>
      <c r="AH93" s="241"/>
      <c r="AI93" s="241"/>
      <c r="AJ93" s="241"/>
      <c r="AK93" s="241"/>
      <c r="AL93" s="241">
        <v>0</v>
      </c>
      <c r="AM93" s="241"/>
      <c r="AN93" s="241">
        <v>-25.4</v>
      </c>
    </row>
    <row r="94" spans="1:40" x14ac:dyDescent="0.25">
      <c r="A94" s="159" t="s">
        <v>707</v>
      </c>
      <c r="B94" s="159">
        <v>93</v>
      </c>
      <c r="C94" s="159">
        <v>700</v>
      </c>
      <c r="D94" s="159">
        <v>200</v>
      </c>
      <c r="E94" s="159" t="s">
        <v>48</v>
      </c>
      <c r="F94" s="159" t="s">
        <v>239</v>
      </c>
      <c r="G94" s="264">
        <v>8860000</v>
      </c>
      <c r="H94" s="249">
        <v>73.616065298412209</v>
      </c>
      <c r="I94" s="249">
        <v>8.1916815023149212</v>
      </c>
      <c r="J94" s="249">
        <v>10.146309488962684</v>
      </c>
      <c r="K94" s="249">
        <v>3.268710357746841</v>
      </c>
      <c r="L94" s="249">
        <v>-125.16730201123855</v>
      </c>
      <c r="M94" s="249">
        <v>-121.74823772574202</v>
      </c>
      <c r="N94" s="159" t="s">
        <v>245</v>
      </c>
      <c r="O94" s="159" t="s">
        <v>247</v>
      </c>
      <c r="P94" s="159">
        <v>1.91</v>
      </c>
      <c r="Q94" s="159">
        <v>0</v>
      </c>
      <c r="R94" s="159"/>
      <c r="S94" s="159"/>
      <c r="T94" s="159"/>
      <c r="U94" s="159"/>
      <c r="V94" s="159"/>
      <c r="W94" s="159"/>
      <c r="X94" s="159"/>
      <c r="Y94" s="159"/>
      <c r="Z94" s="159"/>
      <c r="AA94" s="159"/>
      <c r="AB94" s="159"/>
      <c r="AC94" s="159"/>
      <c r="AD94" s="159"/>
      <c r="AE94" s="159"/>
      <c r="AF94" s="159"/>
      <c r="AG94" s="159"/>
      <c r="AH94" s="159"/>
      <c r="AI94" s="159"/>
      <c r="AJ94" s="159"/>
      <c r="AK94" s="159"/>
      <c r="AL94" s="159">
        <v>0</v>
      </c>
      <c r="AM94" s="159"/>
      <c r="AN94" s="159">
        <v>-34.4</v>
      </c>
    </row>
    <row r="95" spans="1:40" x14ac:dyDescent="0.25">
      <c r="A95" s="241" t="s">
        <v>708</v>
      </c>
      <c r="B95" s="241">
        <v>94</v>
      </c>
      <c r="C95" s="241">
        <v>700</v>
      </c>
      <c r="D95" s="241">
        <v>500</v>
      </c>
      <c r="E95" s="241" t="s">
        <v>48</v>
      </c>
      <c r="F95" s="241" t="s">
        <v>239</v>
      </c>
      <c r="G95" s="265">
        <v>8860000</v>
      </c>
      <c r="H95" s="250">
        <v>73.616065298412209</v>
      </c>
      <c r="I95" s="250">
        <v>8.1916815023149212</v>
      </c>
      <c r="J95" s="250">
        <v>10.146309488962684</v>
      </c>
      <c r="K95" s="250">
        <v>3.268710357746841</v>
      </c>
      <c r="L95" s="250">
        <v>-125.16730201123855</v>
      </c>
      <c r="M95" s="250">
        <v>-121.74823772574202</v>
      </c>
      <c r="N95" s="241" t="s">
        <v>245</v>
      </c>
      <c r="O95" s="241" t="s">
        <v>247</v>
      </c>
      <c r="P95" s="241">
        <v>1.91</v>
      </c>
      <c r="Q95" s="241">
        <v>0</v>
      </c>
      <c r="R95" s="241"/>
      <c r="S95" s="241"/>
      <c r="T95" s="241"/>
      <c r="U95" s="241"/>
      <c r="V95" s="241"/>
      <c r="W95" s="241"/>
      <c r="X95" s="241"/>
      <c r="Y95" s="241"/>
      <c r="Z95" s="241"/>
      <c r="AA95" s="241"/>
      <c r="AB95" s="241"/>
      <c r="AC95" s="241"/>
      <c r="AD95" s="241"/>
      <c r="AE95" s="241"/>
      <c r="AF95" s="241"/>
      <c r="AG95" s="241"/>
      <c r="AH95" s="241"/>
      <c r="AI95" s="241"/>
      <c r="AJ95" s="241"/>
      <c r="AK95" s="241"/>
      <c r="AL95" s="241">
        <v>0</v>
      </c>
      <c r="AM95" s="241"/>
      <c r="AN95" s="241">
        <v>-46.4</v>
      </c>
    </row>
    <row r="96" spans="1:40" ht="16.5" thickBot="1" x14ac:dyDescent="0.3">
      <c r="A96" s="160" t="s">
        <v>709</v>
      </c>
      <c r="B96" s="160">
        <v>95</v>
      </c>
      <c r="C96" s="160">
        <v>700</v>
      </c>
      <c r="D96" s="160">
        <v>1000</v>
      </c>
      <c r="E96" s="160" t="s">
        <v>48</v>
      </c>
      <c r="F96" s="160" t="s">
        <v>239</v>
      </c>
      <c r="G96" s="267">
        <v>8860000</v>
      </c>
      <c r="H96" s="252">
        <v>73.616065298412209</v>
      </c>
      <c r="I96" s="252">
        <v>8.1916815023149212</v>
      </c>
      <c r="J96" s="252">
        <v>10.146309488962684</v>
      </c>
      <c r="K96" s="252">
        <v>3.268710357746841</v>
      </c>
      <c r="L96" s="252">
        <v>-125.16730201123855</v>
      </c>
      <c r="M96" s="252">
        <v>-121.74823772574202</v>
      </c>
      <c r="N96" s="160" t="s">
        <v>245</v>
      </c>
      <c r="O96" s="160" t="s">
        <v>247</v>
      </c>
      <c r="P96" s="160">
        <v>1.91</v>
      </c>
      <c r="Q96" s="160">
        <v>0</v>
      </c>
      <c r="R96" s="160"/>
      <c r="S96" s="160"/>
      <c r="T96" s="160"/>
      <c r="U96" s="160"/>
      <c r="V96" s="160"/>
      <c r="W96" s="160"/>
      <c r="X96" s="160"/>
      <c r="Y96" s="160"/>
      <c r="Z96" s="160"/>
      <c r="AA96" s="160"/>
      <c r="AB96" s="160"/>
      <c r="AC96" s="160"/>
      <c r="AD96" s="160"/>
      <c r="AE96" s="160"/>
      <c r="AF96" s="160"/>
      <c r="AG96" s="160"/>
      <c r="AH96" s="160"/>
      <c r="AI96" s="160"/>
      <c r="AJ96" s="160"/>
      <c r="AK96" s="160"/>
      <c r="AL96" s="160">
        <v>0</v>
      </c>
      <c r="AM96" s="160"/>
      <c r="AN96" s="160">
        <v>-55.2</v>
      </c>
    </row>
    <row r="97" spans="1:40" x14ac:dyDescent="0.25">
      <c r="A97" s="241" t="s">
        <v>710</v>
      </c>
      <c r="B97" s="241">
        <v>96</v>
      </c>
      <c r="C97" s="241">
        <v>700</v>
      </c>
      <c r="D97" s="241">
        <v>50</v>
      </c>
      <c r="E97" s="241" t="s">
        <v>48</v>
      </c>
      <c r="F97" s="241" t="s">
        <v>876</v>
      </c>
      <c r="G97" s="265">
        <v>7980000</v>
      </c>
      <c r="H97" s="250">
        <v>9.5041637692188754</v>
      </c>
      <c r="I97" s="250">
        <v>17.865892065261811</v>
      </c>
      <c r="J97" s="250">
        <v>1.1767581944195717</v>
      </c>
      <c r="K97" s="250">
        <v>68.758378883601026</v>
      </c>
      <c r="L97" s="250">
        <v>-137.12067453144158</v>
      </c>
      <c r="M97" s="250">
        <v>-121.74823772574202</v>
      </c>
      <c r="N97" s="241" t="s">
        <v>245</v>
      </c>
      <c r="O97" s="241" t="s">
        <v>247</v>
      </c>
      <c r="P97" s="241">
        <v>0</v>
      </c>
      <c r="Q97" s="241">
        <v>4.8</v>
      </c>
      <c r="R97" s="241"/>
      <c r="S97" s="241"/>
      <c r="T97" s="241"/>
      <c r="U97" s="241"/>
      <c r="V97" s="241"/>
      <c r="W97" s="241"/>
      <c r="X97" s="241"/>
      <c r="Y97" s="241"/>
      <c r="Z97" s="241"/>
      <c r="AA97" s="241"/>
      <c r="AB97" s="241"/>
      <c r="AC97" s="241"/>
      <c r="AD97" s="241"/>
      <c r="AE97" s="241"/>
      <c r="AF97" s="241"/>
      <c r="AG97" s="241"/>
      <c r="AH97" s="241"/>
      <c r="AI97" s="241"/>
      <c r="AJ97" s="241"/>
      <c r="AK97" s="241"/>
      <c r="AL97" s="241">
        <v>0</v>
      </c>
      <c r="AM97" s="241">
        <v>-82.3</v>
      </c>
      <c r="AN97" s="241"/>
    </row>
    <row r="98" spans="1:40" x14ac:dyDescent="0.25">
      <c r="A98" s="159" t="s">
        <v>711</v>
      </c>
      <c r="B98" s="159">
        <v>97</v>
      </c>
      <c r="C98" s="159">
        <v>700</v>
      </c>
      <c r="D98" s="159">
        <v>100</v>
      </c>
      <c r="E98" s="159" t="s">
        <v>48</v>
      </c>
      <c r="F98" s="159" t="s">
        <v>876</v>
      </c>
      <c r="G98" s="264">
        <v>7980000</v>
      </c>
      <c r="H98" s="249">
        <v>9.5041637692188754</v>
      </c>
      <c r="I98" s="249">
        <v>17.865892065261811</v>
      </c>
      <c r="J98" s="249">
        <v>1.1767581944195717</v>
      </c>
      <c r="K98" s="249">
        <v>68.758378883601026</v>
      </c>
      <c r="L98" s="249">
        <v>-137.12067453144158</v>
      </c>
      <c r="M98" s="249">
        <v>-121.74823772574202</v>
      </c>
      <c r="N98" s="159" t="s">
        <v>245</v>
      </c>
      <c r="O98" s="159" t="s">
        <v>247</v>
      </c>
      <c r="P98" s="159">
        <v>0</v>
      </c>
      <c r="Q98" s="159">
        <v>4.8</v>
      </c>
      <c r="R98" s="159"/>
      <c r="S98" s="159"/>
      <c r="T98" s="159"/>
      <c r="U98" s="159"/>
      <c r="V98" s="159"/>
      <c r="W98" s="159"/>
      <c r="X98" s="159"/>
      <c r="Y98" s="159"/>
      <c r="Z98" s="159"/>
      <c r="AA98" s="159"/>
      <c r="AB98" s="159"/>
      <c r="AC98" s="159"/>
      <c r="AD98" s="159"/>
      <c r="AE98" s="159"/>
      <c r="AF98" s="159"/>
      <c r="AG98" s="159"/>
      <c r="AH98" s="159"/>
      <c r="AI98" s="159"/>
      <c r="AJ98" s="159"/>
      <c r="AK98" s="159"/>
      <c r="AL98" s="159">
        <v>0</v>
      </c>
      <c r="AM98" s="159">
        <v>-90</v>
      </c>
      <c r="AN98" s="159"/>
    </row>
    <row r="99" spans="1:40" x14ac:dyDescent="0.25">
      <c r="A99" s="241" t="s">
        <v>712</v>
      </c>
      <c r="B99" s="241">
        <v>98</v>
      </c>
      <c r="C99" s="241">
        <v>700</v>
      </c>
      <c r="D99" s="241">
        <v>150</v>
      </c>
      <c r="E99" s="241" t="s">
        <v>48</v>
      </c>
      <c r="F99" s="241" t="s">
        <v>876</v>
      </c>
      <c r="G99" s="265">
        <v>7980000</v>
      </c>
      <c r="H99" s="250">
        <v>9.5041637692188754</v>
      </c>
      <c r="I99" s="250">
        <v>17.865892065261811</v>
      </c>
      <c r="J99" s="250">
        <v>1.1767581944195717</v>
      </c>
      <c r="K99" s="250">
        <v>68.758378883601026</v>
      </c>
      <c r="L99" s="250">
        <v>-137.12067453144158</v>
      </c>
      <c r="M99" s="250">
        <v>-121.74823772574202</v>
      </c>
      <c r="N99" s="241" t="s">
        <v>245</v>
      </c>
      <c r="O99" s="241" t="s">
        <v>247</v>
      </c>
      <c r="P99" s="241">
        <v>0</v>
      </c>
      <c r="Q99" s="241">
        <v>4.8</v>
      </c>
      <c r="R99" s="241"/>
      <c r="S99" s="241"/>
      <c r="T99" s="241"/>
      <c r="U99" s="241"/>
      <c r="V99" s="241"/>
      <c r="W99" s="241"/>
      <c r="X99" s="241"/>
      <c r="Y99" s="241"/>
      <c r="Z99" s="241"/>
      <c r="AA99" s="241"/>
      <c r="AB99" s="241"/>
      <c r="AC99" s="241"/>
      <c r="AD99" s="241"/>
      <c r="AE99" s="241"/>
      <c r="AF99" s="241"/>
      <c r="AG99" s="241"/>
      <c r="AH99" s="241"/>
      <c r="AI99" s="241"/>
      <c r="AJ99" s="241"/>
      <c r="AK99" s="241"/>
      <c r="AL99" s="241">
        <v>0</v>
      </c>
      <c r="AM99" s="241">
        <v>-100</v>
      </c>
      <c r="AN99" s="241"/>
    </row>
    <row r="100" spans="1:40" x14ac:dyDescent="0.25">
      <c r="A100" s="159" t="s">
        <v>713</v>
      </c>
      <c r="B100" s="159">
        <v>99</v>
      </c>
      <c r="C100" s="159">
        <v>700</v>
      </c>
      <c r="D100" s="159">
        <v>50</v>
      </c>
      <c r="E100" s="159" t="s">
        <v>48</v>
      </c>
      <c r="F100" s="159" t="s">
        <v>239</v>
      </c>
      <c r="G100" s="264">
        <v>8860000</v>
      </c>
      <c r="H100" s="249">
        <v>74.009037145608232</v>
      </c>
      <c r="I100" s="249">
        <v>8.2464236538262945</v>
      </c>
      <c r="J100" s="249">
        <v>10.857081924824008</v>
      </c>
      <c r="K100" s="249">
        <v>4.6773775383457883</v>
      </c>
      <c r="L100" s="249">
        <v>-124.55584524236325</v>
      </c>
      <c r="M100" s="249">
        <v>-121.74823772574202</v>
      </c>
      <c r="N100" s="159" t="s">
        <v>245</v>
      </c>
      <c r="O100" s="159" t="s">
        <v>247</v>
      </c>
      <c r="P100" s="159">
        <v>0</v>
      </c>
      <c r="Q100" s="159">
        <v>4.8</v>
      </c>
      <c r="R100" s="159"/>
      <c r="S100" s="159"/>
      <c r="T100" s="159"/>
      <c r="U100" s="159"/>
      <c r="V100" s="159"/>
      <c r="W100" s="159"/>
      <c r="X100" s="159"/>
      <c r="Y100" s="159"/>
      <c r="Z100" s="159"/>
      <c r="AA100" s="159"/>
      <c r="AB100" s="159"/>
      <c r="AC100" s="159"/>
      <c r="AD100" s="159"/>
      <c r="AE100" s="159"/>
      <c r="AF100" s="159"/>
      <c r="AG100" s="159"/>
      <c r="AH100" s="159"/>
      <c r="AI100" s="159"/>
      <c r="AJ100" s="159"/>
      <c r="AK100" s="159"/>
      <c r="AL100" s="159">
        <v>0</v>
      </c>
      <c r="AM100" s="159">
        <v>-24</v>
      </c>
      <c r="AN100" s="159"/>
    </row>
    <row r="101" spans="1:40" x14ac:dyDescent="0.25">
      <c r="A101" s="241" t="s">
        <v>714</v>
      </c>
      <c r="B101" s="241">
        <v>100</v>
      </c>
      <c r="C101" s="241">
        <v>700</v>
      </c>
      <c r="D101" s="241">
        <v>100</v>
      </c>
      <c r="E101" s="241" t="s">
        <v>48</v>
      </c>
      <c r="F101" s="241" t="s">
        <v>239</v>
      </c>
      <c r="G101" s="265">
        <v>8860000</v>
      </c>
      <c r="H101" s="250">
        <v>74.009037145608232</v>
      </c>
      <c r="I101" s="250">
        <v>8.2464236538262945</v>
      </c>
      <c r="J101" s="250">
        <v>10.857081924824008</v>
      </c>
      <c r="K101" s="250">
        <v>4.6773775383457883</v>
      </c>
      <c r="L101" s="250">
        <v>-124.55584524236325</v>
      </c>
      <c r="M101" s="250">
        <v>-121.74823772574202</v>
      </c>
      <c r="N101" s="241" t="s">
        <v>245</v>
      </c>
      <c r="O101" s="241" t="s">
        <v>247</v>
      </c>
      <c r="P101" s="241">
        <v>0</v>
      </c>
      <c r="Q101" s="241">
        <v>4.8</v>
      </c>
      <c r="R101" s="241"/>
      <c r="S101" s="241"/>
      <c r="T101" s="241"/>
      <c r="U101" s="241"/>
      <c r="V101" s="241"/>
      <c r="W101" s="241"/>
      <c r="X101" s="241"/>
      <c r="Y101" s="241"/>
      <c r="Z101" s="241"/>
      <c r="AA101" s="241"/>
      <c r="AB101" s="241"/>
      <c r="AC101" s="241"/>
      <c r="AD101" s="241"/>
      <c r="AE101" s="241"/>
      <c r="AF101" s="241"/>
      <c r="AG101" s="241"/>
      <c r="AH101" s="241"/>
      <c r="AI101" s="241"/>
      <c r="AJ101" s="241"/>
      <c r="AK101" s="241"/>
      <c r="AL101" s="241">
        <v>0</v>
      </c>
      <c r="AM101" s="241">
        <v>-27.5</v>
      </c>
      <c r="AN101" s="241"/>
    </row>
    <row r="102" spans="1:40" x14ac:dyDescent="0.25">
      <c r="A102" s="159" t="s">
        <v>715</v>
      </c>
      <c r="B102" s="159">
        <v>101</v>
      </c>
      <c r="C102" s="159">
        <v>700</v>
      </c>
      <c r="D102" s="159">
        <v>150</v>
      </c>
      <c r="E102" s="159" t="s">
        <v>48</v>
      </c>
      <c r="F102" s="159" t="s">
        <v>239</v>
      </c>
      <c r="G102" s="264">
        <v>8860000</v>
      </c>
      <c r="H102" s="249">
        <v>74.009037145608232</v>
      </c>
      <c r="I102" s="249">
        <v>8.2464236538262945</v>
      </c>
      <c r="J102" s="249">
        <v>10.857081924824008</v>
      </c>
      <c r="K102" s="249">
        <v>4.6773775383457883</v>
      </c>
      <c r="L102" s="249">
        <v>-124.55584524236325</v>
      </c>
      <c r="M102" s="249">
        <v>-121.74823772574202</v>
      </c>
      <c r="N102" s="159" t="s">
        <v>245</v>
      </c>
      <c r="O102" s="159" t="s">
        <v>247</v>
      </c>
      <c r="P102" s="159">
        <v>0</v>
      </c>
      <c r="Q102" s="159">
        <v>4.8</v>
      </c>
      <c r="R102" s="159"/>
      <c r="S102" s="159"/>
      <c r="T102" s="159"/>
      <c r="U102" s="159"/>
      <c r="V102" s="159"/>
      <c r="W102" s="159"/>
      <c r="X102" s="159"/>
      <c r="Y102" s="159"/>
      <c r="Z102" s="159"/>
      <c r="AA102" s="159"/>
      <c r="AB102" s="159"/>
      <c r="AC102" s="159"/>
      <c r="AD102" s="159"/>
      <c r="AE102" s="159"/>
      <c r="AF102" s="159"/>
      <c r="AG102" s="159"/>
      <c r="AH102" s="159"/>
      <c r="AI102" s="159"/>
      <c r="AJ102" s="159"/>
      <c r="AK102" s="159"/>
      <c r="AL102" s="159">
        <v>0</v>
      </c>
      <c r="AM102" s="159">
        <v>-34</v>
      </c>
      <c r="AN102" s="159"/>
    </row>
    <row r="103" spans="1:40" x14ac:dyDescent="0.25">
      <c r="A103" s="241" t="s">
        <v>716</v>
      </c>
      <c r="B103" s="241">
        <v>102</v>
      </c>
      <c r="C103" s="241">
        <v>700</v>
      </c>
      <c r="D103" s="241">
        <v>50</v>
      </c>
      <c r="E103" s="241" t="s">
        <v>48</v>
      </c>
      <c r="F103" s="241" t="s">
        <v>250</v>
      </c>
      <c r="G103" s="265">
        <v>7940000</v>
      </c>
      <c r="H103" s="250">
        <v>29.986568788148585</v>
      </c>
      <c r="I103" s="250">
        <v>21.195303283362858</v>
      </c>
      <c r="J103" s="250">
        <v>0</v>
      </c>
      <c r="K103" s="250">
        <v>45.307535124839411</v>
      </c>
      <c r="L103" s="250">
        <v>-135.14911813127719</v>
      </c>
      <c r="M103" s="250">
        <v>-121.74823772574202</v>
      </c>
      <c r="N103" s="241" t="s">
        <v>245</v>
      </c>
      <c r="O103" s="241" t="s">
        <v>247</v>
      </c>
      <c r="P103" s="241">
        <v>0</v>
      </c>
      <c r="Q103" s="241">
        <v>4.8</v>
      </c>
      <c r="R103" s="241"/>
      <c r="S103" s="241"/>
      <c r="T103" s="241"/>
      <c r="U103" s="241"/>
      <c r="V103" s="241"/>
      <c r="W103" s="241"/>
      <c r="X103" s="241"/>
      <c r="Y103" s="241"/>
      <c r="Z103" s="241"/>
      <c r="AA103" s="241"/>
      <c r="AB103" s="241"/>
      <c r="AC103" s="241"/>
      <c r="AD103" s="241"/>
      <c r="AE103" s="241"/>
      <c r="AF103" s="241"/>
      <c r="AG103" s="241"/>
      <c r="AH103" s="241"/>
      <c r="AI103" s="241"/>
      <c r="AJ103" s="241"/>
      <c r="AK103" s="241"/>
      <c r="AL103" s="241">
        <v>0</v>
      </c>
      <c r="AM103" s="241">
        <v>-77</v>
      </c>
      <c r="AN103" s="241"/>
    </row>
    <row r="104" spans="1:40" x14ac:dyDescent="0.25">
      <c r="A104" s="159" t="s">
        <v>717</v>
      </c>
      <c r="B104" s="159">
        <v>103</v>
      </c>
      <c r="C104" s="159">
        <v>700</v>
      </c>
      <c r="D104" s="159">
        <v>100</v>
      </c>
      <c r="E104" s="159" t="s">
        <v>48</v>
      </c>
      <c r="F104" s="159" t="s">
        <v>250</v>
      </c>
      <c r="G104" s="264">
        <v>7940000</v>
      </c>
      <c r="H104" s="249">
        <v>29.986568788148585</v>
      </c>
      <c r="I104" s="249">
        <v>21.195303283362858</v>
      </c>
      <c r="J104" s="249">
        <v>0</v>
      </c>
      <c r="K104" s="249">
        <v>45.307535124839411</v>
      </c>
      <c r="L104" s="249">
        <v>-135.14911813127719</v>
      </c>
      <c r="M104" s="249">
        <v>-121.74823772574202</v>
      </c>
      <c r="N104" s="159" t="s">
        <v>245</v>
      </c>
      <c r="O104" s="159" t="s">
        <v>247</v>
      </c>
      <c r="P104" s="159">
        <v>0</v>
      </c>
      <c r="Q104" s="159">
        <v>4.8</v>
      </c>
      <c r="R104" s="159"/>
      <c r="S104" s="159"/>
      <c r="T104" s="159"/>
      <c r="U104" s="159"/>
      <c r="V104" s="159"/>
      <c r="W104" s="159"/>
      <c r="X104" s="159"/>
      <c r="Y104" s="159"/>
      <c r="Z104" s="159"/>
      <c r="AA104" s="159"/>
      <c r="AB104" s="159"/>
      <c r="AC104" s="159"/>
      <c r="AD104" s="159"/>
      <c r="AE104" s="159"/>
      <c r="AF104" s="159"/>
      <c r="AG104" s="159"/>
      <c r="AH104" s="159"/>
      <c r="AI104" s="159"/>
      <c r="AJ104" s="159"/>
      <c r="AK104" s="159"/>
      <c r="AL104" s="159">
        <v>0</v>
      </c>
      <c r="AM104" s="159">
        <v>-109</v>
      </c>
      <c r="AN104" s="159"/>
    </row>
    <row r="105" spans="1:40" x14ac:dyDescent="0.25">
      <c r="A105" s="241" t="s">
        <v>718</v>
      </c>
      <c r="B105" s="241">
        <v>104</v>
      </c>
      <c r="C105" s="241">
        <v>700</v>
      </c>
      <c r="D105" s="241">
        <v>150</v>
      </c>
      <c r="E105" s="241" t="s">
        <v>48</v>
      </c>
      <c r="F105" s="241" t="s">
        <v>250</v>
      </c>
      <c r="G105" s="265">
        <v>7940000</v>
      </c>
      <c r="H105" s="250">
        <v>29.986568788148585</v>
      </c>
      <c r="I105" s="250">
        <v>21.195303283362858</v>
      </c>
      <c r="J105" s="250">
        <v>0</v>
      </c>
      <c r="K105" s="250">
        <v>45.307535124839411</v>
      </c>
      <c r="L105" s="250">
        <v>-135.14911813127719</v>
      </c>
      <c r="M105" s="250">
        <v>-121.74823772574202</v>
      </c>
      <c r="N105" s="241" t="s">
        <v>245</v>
      </c>
      <c r="O105" s="241" t="s">
        <v>247</v>
      </c>
      <c r="P105" s="241">
        <v>0</v>
      </c>
      <c r="Q105" s="241">
        <v>4.8</v>
      </c>
      <c r="R105" s="241"/>
      <c r="S105" s="241"/>
      <c r="T105" s="241"/>
      <c r="U105" s="241"/>
      <c r="V105" s="241"/>
      <c r="W105" s="241"/>
      <c r="X105" s="241"/>
      <c r="Y105" s="241"/>
      <c r="Z105" s="241"/>
      <c r="AA105" s="241"/>
      <c r="AB105" s="241"/>
      <c r="AC105" s="241"/>
      <c r="AD105" s="241"/>
      <c r="AE105" s="241"/>
      <c r="AF105" s="241"/>
      <c r="AG105" s="241"/>
      <c r="AH105" s="241"/>
      <c r="AI105" s="241"/>
      <c r="AJ105" s="241"/>
      <c r="AK105" s="241"/>
      <c r="AL105" s="241">
        <v>0</v>
      </c>
      <c r="AM105" s="241">
        <v>-160</v>
      </c>
      <c r="AN105" s="241"/>
    </row>
    <row r="106" spans="1:40" x14ac:dyDescent="0.25">
      <c r="A106" s="159" t="s">
        <v>719</v>
      </c>
      <c r="B106" s="159">
        <v>105</v>
      </c>
      <c r="C106" s="159">
        <v>700</v>
      </c>
      <c r="D106" s="159">
        <v>50</v>
      </c>
      <c r="E106" s="159" t="s">
        <v>48</v>
      </c>
      <c r="F106" s="159" t="s">
        <v>251</v>
      </c>
      <c r="G106" s="264">
        <v>8890000</v>
      </c>
      <c r="H106" s="249">
        <v>99.793613718980495</v>
      </c>
      <c r="I106" s="249">
        <v>0</v>
      </c>
      <c r="J106" s="249">
        <v>0</v>
      </c>
      <c r="K106" s="249">
        <v>1.0497314125525641E-2</v>
      </c>
      <c r="L106" s="249">
        <v>-121.79119159688472</v>
      </c>
      <c r="M106" s="249">
        <v>-121.74823772574202</v>
      </c>
      <c r="N106" s="159" t="s">
        <v>245</v>
      </c>
      <c r="O106" s="159" t="s">
        <v>247</v>
      </c>
      <c r="P106" s="159">
        <v>0</v>
      </c>
      <c r="Q106" s="159">
        <v>4.8</v>
      </c>
      <c r="R106" s="159"/>
      <c r="S106" s="159"/>
      <c r="T106" s="159"/>
      <c r="U106" s="159"/>
      <c r="V106" s="159"/>
      <c r="W106" s="159"/>
      <c r="X106" s="159"/>
      <c r="Y106" s="159"/>
      <c r="Z106" s="159"/>
      <c r="AA106" s="159"/>
      <c r="AB106" s="159"/>
      <c r="AC106" s="159"/>
      <c r="AD106" s="159"/>
      <c r="AE106" s="159"/>
      <c r="AF106" s="159"/>
      <c r="AG106" s="159"/>
      <c r="AH106" s="159"/>
      <c r="AI106" s="159"/>
      <c r="AJ106" s="159"/>
      <c r="AK106" s="159"/>
      <c r="AL106" s="159">
        <v>0</v>
      </c>
      <c r="AM106" s="159">
        <v>-0.01</v>
      </c>
      <c r="AN106" s="159"/>
    </row>
    <row r="107" spans="1:40" x14ac:dyDescent="0.25">
      <c r="A107" s="241" t="s">
        <v>720</v>
      </c>
      <c r="B107" s="241">
        <v>106</v>
      </c>
      <c r="C107" s="241">
        <v>700</v>
      </c>
      <c r="D107" s="241">
        <v>100</v>
      </c>
      <c r="E107" s="241" t="s">
        <v>48</v>
      </c>
      <c r="F107" s="241" t="s">
        <v>251</v>
      </c>
      <c r="G107" s="265">
        <v>8890000</v>
      </c>
      <c r="H107" s="250">
        <v>99.793613718980495</v>
      </c>
      <c r="I107" s="250">
        <v>0</v>
      </c>
      <c r="J107" s="250">
        <v>0</v>
      </c>
      <c r="K107" s="250">
        <v>1.0497314125525641E-2</v>
      </c>
      <c r="L107" s="250">
        <v>-121.79119159688472</v>
      </c>
      <c r="M107" s="250">
        <v>-121.74823772574202</v>
      </c>
      <c r="N107" s="241" t="s">
        <v>245</v>
      </c>
      <c r="O107" s="241" t="s">
        <v>247</v>
      </c>
      <c r="P107" s="241">
        <v>0</v>
      </c>
      <c r="Q107" s="241">
        <v>4.8</v>
      </c>
      <c r="R107" s="241"/>
      <c r="S107" s="241"/>
      <c r="T107" s="241"/>
      <c r="U107" s="241"/>
      <c r="V107" s="241"/>
      <c r="W107" s="241"/>
      <c r="X107" s="241"/>
      <c r="Y107" s="241"/>
      <c r="Z107" s="241"/>
      <c r="AA107" s="241"/>
      <c r="AB107" s="241"/>
      <c r="AC107" s="241"/>
      <c r="AD107" s="241"/>
      <c r="AE107" s="241"/>
      <c r="AF107" s="241"/>
      <c r="AG107" s="241"/>
      <c r="AH107" s="241"/>
      <c r="AI107" s="241"/>
      <c r="AJ107" s="241"/>
      <c r="AK107" s="241"/>
      <c r="AL107" s="241">
        <v>0</v>
      </c>
      <c r="AM107" s="241">
        <v>-0.05</v>
      </c>
      <c r="AN107" s="241"/>
    </row>
    <row r="108" spans="1:40" ht="16.5" thickBot="1" x14ac:dyDescent="0.3">
      <c r="A108" s="160" t="s">
        <v>721</v>
      </c>
      <c r="B108" s="160">
        <v>107</v>
      </c>
      <c r="C108" s="160">
        <v>700</v>
      </c>
      <c r="D108" s="160">
        <v>150</v>
      </c>
      <c r="E108" s="160" t="s">
        <v>48</v>
      </c>
      <c r="F108" s="160" t="s">
        <v>251</v>
      </c>
      <c r="G108" s="267">
        <v>8890000</v>
      </c>
      <c r="H108" s="252">
        <v>99.793613718980495</v>
      </c>
      <c r="I108" s="252">
        <v>0</v>
      </c>
      <c r="J108" s="252">
        <v>0</v>
      </c>
      <c r="K108" s="252">
        <v>1.0497314125525641E-2</v>
      </c>
      <c r="L108" s="252">
        <v>-121.79119159688472</v>
      </c>
      <c r="M108" s="252">
        <v>-121.74823772574202</v>
      </c>
      <c r="N108" s="160" t="s">
        <v>245</v>
      </c>
      <c r="O108" s="160" t="s">
        <v>247</v>
      </c>
      <c r="P108" s="160">
        <v>0</v>
      </c>
      <c r="Q108" s="160">
        <v>4.8</v>
      </c>
      <c r="R108" s="160"/>
      <c r="S108" s="160"/>
      <c r="T108" s="160"/>
      <c r="U108" s="160"/>
      <c r="V108" s="160"/>
      <c r="W108" s="160"/>
      <c r="X108" s="160"/>
      <c r="Y108" s="160"/>
      <c r="Z108" s="160"/>
      <c r="AA108" s="160"/>
      <c r="AB108" s="160"/>
      <c r="AC108" s="160"/>
      <c r="AD108" s="160"/>
      <c r="AE108" s="160"/>
      <c r="AF108" s="160"/>
      <c r="AG108" s="160"/>
      <c r="AH108" s="160"/>
      <c r="AI108" s="160"/>
      <c r="AJ108" s="160"/>
      <c r="AK108" s="160"/>
      <c r="AL108" s="160">
        <v>0</v>
      </c>
      <c r="AM108" s="160">
        <v>-0.1</v>
      </c>
      <c r="AN108" s="160"/>
    </row>
    <row r="109" spans="1:40" x14ac:dyDescent="0.25">
      <c r="A109" s="241" t="s">
        <v>722</v>
      </c>
      <c r="B109" s="241">
        <v>108</v>
      </c>
      <c r="C109" s="241">
        <v>650</v>
      </c>
      <c r="D109" s="241">
        <v>1</v>
      </c>
      <c r="E109" s="241" t="s">
        <v>48</v>
      </c>
      <c r="F109" s="241" t="s">
        <v>876</v>
      </c>
      <c r="G109" s="265">
        <v>7980000</v>
      </c>
      <c r="H109" s="250">
        <v>9.7121634373592212</v>
      </c>
      <c r="I109" s="250">
        <v>17.512981573369338</v>
      </c>
      <c r="J109" s="250">
        <v>1.2355761002867862</v>
      </c>
      <c r="K109" s="250">
        <v>68.34253864729861</v>
      </c>
      <c r="L109" s="250">
        <v>-139.01511483330577</v>
      </c>
      <c r="M109" s="250">
        <v>-123.53565520208147</v>
      </c>
      <c r="N109" s="241" t="s">
        <v>245</v>
      </c>
      <c r="O109" s="241" t="s">
        <v>247</v>
      </c>
      <c r="P109" s="241">
        <v>0</v>
      </c>
      <c r="Q109" s="241">
        <v>5</v>
      </c>
      <c r="R109" s="241"/>
      <c r="S109" s="241"/>
      <c r="T109" s="241"/>
      <c r="U109" s="241"/>
      <c r="V109" s="241"/>
      <c r="W109" s="241"/>
      <c r="X109" s="241"/>
      <c r="Y109" s="241"/>
      <c r="Z109" s="241"/>
      <c r="AA109" s="241"/>
      <c r="AB109" s="241"/>
      <c r="AC109" s="241"/>
      <c r="AD109" s="241"/>
      <c r="AE109" s="241"/>
      <c r="AF109" s="241"/>
      <c r="AG109" s="241"/>
      <c r="AH109" s="241"/>
      <c r="AI109" s="241"/>
      <c r="AJ109" s="241"/>
      <c r="AK109" s="241"/>
      <c r="AL109" s="241">
        <v>0</v>
      </c>
      <c r="AM109" s="241">
        <v>-3.4</v>
      </c>
      <c r="AN109" s="241"/>
    </row>
    <row r="110" spans="1:40" x14ac:dyDescent="0.25">
      <c r="A110" s="159" t="s">
        <v>723</v>
      </c>
      <c r="B110" s="159">
        <v>109</v>
      </c>
      <c r="C110" s="159">
        <v>650</v>
      </c>
      <c r="D110" s="159">
        <v>8</v>
      </c>
      <c r="E110" s="159" t="s">
        <v>48</v>
      </c>
      <c r="F110" s="159" t="s">
        <v>876</v>
      </c>
      <c r="G110" s="264">
        <v>7980000</v>
      </c>
      <c r="H110" s="249">
        <v>9.7121634373592212</v>
      </c>
      <c r="I110" s="249">
        <v>17.512981573369338</v>
      </c>
      <c r="J110" s="249">
        <v>1.2355761002867862</v>
      </c>
      <c r="K110" s="249">
        <v>68.34253864729861</v>
      </c>
      <c r="L110" s="249">
        <v>-139.01511483330577</v>
      </c>
      <c r="M110" s="249">
        <v>-123.53565520208147</v>
      </c>
      <c r="N110" s="159" t="s">
        <v>245</v>
      </c>
      <c r="O110" s="159" t="s">
        <v>247</v>
      </c>
      <c r="P110" s="159">
        <v>0</v>
      </c>
      <c r="Q110" s="159">
        <v>5</v>
      </c>
      <c r="R110" s="159"/>
      <c r="S110" s="159"/>
      <c r="T110" s="159"/>
      <c r="U110" s="159"/>
      <c r="V110" s="159"/>
      <c r="W110" s="159"/>
      <c r="X110" s="159"/>
      <c r="Y110" s="159"/>
      <c r="Z110" s="159"/>
      <c r="AA110" s="159"/>
      <c r="AB110" s="159"/>
      <c r="AC110" s="159"/>
      <c r="AD110" s="159"/>
      <c r="AE110" s="159"/>
      <c r="AF110" s="159"/>
      <c r="AG110" s="159"/>
      <c r="AH110" s="159"/>
      <c r="AI110" s="159"/>
      <c r="AJ110" s="159"/>
      <c r="AK110" s="159"/>
      <c r="AL110" s="159">
        <v>0</v>
      </c>
      <c r="AM110" s="159">
        <v>-15.5</v>
      </c>
      <c r="AN110" s="159"/>
    </row>
    <row r="111" spans="1:40" x14ac:dyDescent="0.25">
      <c r="A111" s="241" t="s">
        <v>726</v>
      </c>
      <c r="B111" s="241">
        <v>112</v>
      </c>
      <c r="C111" s="241">
        <v>650</v>
      </c>
      <c r="D111" s="241">
        <v>4</v>
      </c>
      <c r="E111" s="241" t="s">
        <v>48</v>
      </c>
      <c r="F111" s="241" t="s">
        <v>250</v>
      </c>
      <c r="G111" s="265">
        <v>7940000</v>
      </c>
      <c r="H111" s="250">
        <v>28.832043279482132</v>
      </c>
      <c r="I111" s="250">
        <v>22.228079919944875</v>
      </c>
      <c r="J111" s="250">
        <v>0</v>
      </c>
      <c r="K111" s="250">
        <v>45.924386801544522</v>
      </c>
      <c r="L111" s="250">
        <v>-137.5909646769515</v>
      </c>
      <c r="M111" s="250">
        <v>-123.53565520208147</v>
      </c>
      <c r="N111" s="241" t="s">
        <v>245</v>
      </c>
      <c r="O111" s="241" t="s">
        <v>247</v>
      </c>
      <c r="P111" s="241">
        <v>0</v>
      </c>
      <c r="Q111" s="241">
        <v>5</v>
      </c>
      <c r="R111" s="241"/>
      <c r="S111" s="241"/>
      <c r="T111" s="241"/>
      <c r="U111" s="241"/>
      <c r="V111" s="241"/>
      <c r="W111" s="241"/>
      <c r="X111" s="241"/>
      <c r="Y111" s="241"/>
      <c r="Z111" s="241"/>
      <c r="AA111" s="241"/>
      <c r="AB111" s="241"/>
      <c r="AC111" s="241"/>
      <c r="AD111" s="241"/>
      <c r="AE111" s="241"/>
      <c r="AF111" s="241"/>
      <c r="AG111" s="241"/>
      <c r="AH111" s="241"/>
      <c r="AI111" s="241"/>
      <c r="AJ111" s="241"/>
      <c r="AK111" s="241"/>
      <c r="AL111" s="241">
        <v>0</v>
      </c>
      <c r="AM111" s="241">
        <v>-8.5</v>
      </c>
      <c r="AN111" s="241"/>
    </row>
    <row r="112" spans="1:40" x14ac:dyDescent="0.25">
      <c r="A112" s="159" t="s">
        <v>727</v>
      </c>
      <c r="B112" s="159">
        <v>113</v>
      </c>
      <c r="C112" s="159">
        <v>650</v>
      </c>
      <c r="D112" s="159">
        <v>8</v>
      </c>
      <c r="E112" s="159" t="s">
        <v>48</v>
      </c>
      <c r="F112" s="159" t="s">
        <v>250</v>
      </c>
      <c r="G112" s="264">
        <v>7940000</v>
      </c>
      <c r="H112" s="249">
        <v>28.832043279482132</v>
      </c>
      <c r="I112" s="249">
        <v>22.228079919944875</v>
      </c>
      <c r="J112" s="249">
        <v>0</v>
      </c>
      <c r="K112" s="249">
        <v>45.924386801544522</v>
      </c>
      <c r="L112" s="249">
        <v>-137.5909646769515</v>
      </c>
      <c r="M112" s="249">
        <v>-123.53565520208147</v>
      </c>
      <c r="N112" s="159" t="s">
        <v>245</v>
      </c>
      <c r="O112" s="159" t="s">
        <v>247</v>
      </c>
      <c r="P112" s="159">
        <v>0</v>
      </c>
      <c r="Q112" s="159">
        <v>5</v>
      </c>
      <c r="R112" s="159"/>
      <c r="S112" s="159"/>
      <c r="T112" s="159"/>
      <c r="U112" s="159"/>
      <c r="V112" s="159"/>
      <c r="W112" s="159"/>
      <c r="X112" s="159"/>
      <c r="Y112" s="159"/>
      <c r="Z112" s="159"/>
      <c r="AA112" s="159"/>
      <c r="AB112" s="159"/>
      <c r="AC112" s="159"/>
      <c r="AD112" s="159"/>
      <c r="AE112" s="159"/>
      <c r="AF112" s="159"/>
      <c r="AG112" s="159"/>
      <c r="AH112" s="159"/>
      <c r="AI112" s="159"/>
      <c r="AJ112" s="159"/>
      <c r="AK112" s="159"/>
      <c r="AL112" s="159">
        <v>0</v>
      </c>
      <c r="AM112" s="159">
        <v>-15.9</v>
      </c>
      <c r="AN112" s="159"/>
    </row>
    <row r="113" spans="1:40" x14ac:dyDescent="0.25">
      <c r="A113" s="241" t="s">
        <v>730</v>
      </c>
      <c r="B113" s="241">
        <v>116</v>
      </c>
      <c r="C113" s="241">
        <v>650</v>
      </c>
      <c r="D113" s="241">
        <v>8</v>
      </c>
      <c r="E113" s="241" t="s">
        <v>48</v>
      </c>
      <c r="F113" s="241" t="s">
        <v>312</v>
      </c>
      <c r="G113" s="265">
        <v>8470000</v>
      </c>
      <c r="H113" s="250">
        <v>71.724834841375042</v>
      </c>
      <c r="I113" s="250">
        <v>17.589301797770876</v>
      </c>
      <c r="J113" s="250">
        <v>0</v>
      </c>
      <c r="K113" s="250">
        <v>9.5275704197770672</v>
      </c>
      <c r="L113" s="250">
        <v>-130.30060511946388</v>
      </c>
      <c r="M113" s="250">
        <v>-123.53565520208147</v>
      </c>
      <c r="N113" s="241" t="s">
        <v>245</v>
      </c>
      <c r="O113" s="241" t="s">
        <v>247</v>
      </c>
      <c r="P113" s="241">
        <v>0</v>
      </c>
      <c r="Q113" s="241">
        <v>5</v>
      </c>
      <c r="R113" s="241"/>
      <c r="S113" s="241"/>
      <c r="T113" s="241"/>
      <c r="U113" s="241"/>
      <c r="V113" s="241"/>
      <c r="W113" s="241"/>
      <c r="X113" s="241"/>
      <c r="Y113" s="241"/>
      <c r="Z113" s="241"/>
      <c r="AA113" s="241"/>
      <c r="AB113" s="241"/>
      <c r="AC113" s="241"/>
      <c r="AD113" s="241"/>
      <c r="AE113" s="241"/>
      <c r="AF113" s="241"/>
      <c r="AG113" s="241"/>
      <c r="AH113" s="241"/>
      <c r="AI113" s="241"/>
      <c r="AJ113" s="241"/>
      <c r="AK113" s="241"/>
      <c r="AL113" s="241">
        <v>0</v>
      </c>
      <c r="AM113" s="241">
        <v>-5.8</v>
      </c>
      <c r="AN113" s="241"/>
    </row>
    <row r="114" spans="1:40" x14ac:dyDescent="0.25">
      <c r="A114" s="159" t="s">
        <v>731</v>
      </c>
      <c r="B114" s="159">
        <v>117</v>
      </c>
      <c r="C114" s="159">
        <v>650</v>
      </c>
      <c r="D114" s="159">
        <v>16</v>
      </c>
      <c r="E114" s="159" t="s">
        <v>48</v>
      </c>
      <c r="F114" s="159" t="s">
        <v>312</v>
      </c>
      <c r="G114" s="264">
        <v>8470000</v>
      </c>
      <c r="H114" s="249">
        <v>71.724834841375042</v>
      </c>
      <c r="I114" s="249">
        <v>17.589301797770876</v>
      </c>
      <c r="J114" s="249">
        <v>0</v>
      </c>
      <c r="K114" s="249">
        <v>9.5275704197770672</v>
      </c>
      <c r="L114" s="249">
        <v>-130.30060511946388</v>
      </c>
      <c r="M114" s="249">
        <v>-123.53565520208147</v>
      </c>
      <c r="N114" s="159" t="s">
        <v>245</v>
      </c>
      <c r="O114" s="159" t="s">
        <v>247</v>
      </c>
      <c r="P114" s="159">
        <v>0</v>
      </c>
      <c r="Q114" s="159">
        <v>5</v>
      </c>
      <c r="R114" s="159"/>
      <c r="S114" s="159"/>
      <c r="T114" s="159"/>
      <c r="U114" s="159"/>
      <c r="V114" s="159"/>
      <c r="W114" s="159"/>
      <c r="X114" s="159"/>
      <c r="Y114" s="159"/>
      <c r="Z114" s="159"/>
      <c r="AA114" s="159"/>
      <c r="AB114" s="159"/>
      <c r="AC114" s="159"/>
      <c r="AD114" s="159"/>
      <c r="AE114" s="159"/>
      <c r="AF114" s="159"/>
      <c r="AG114" s="159"/>
      <c r="AH114" s="159"/>
      <c r="AI114" s="159"/>
      <c r="AJ114" s="159"/>
      <c r="AK114" s="159"/>
      <c r="AL114" s="159">
        <v>0</v>
      </c>
      <c r="AM114" s="159">
        <v>-9.1999999999999993</v>
      </c>
      <c r="AN114" s="159"/>
    </row>
    <row r="115" spans="1:40" x14ac:dyDescent="0.25">
      <c r="A115" s="241" t="s">
        <v>734</v>
      </c>
      <c r="B115" s="241">
        <v>120</v>
      </c>
      <c r="C115" s="241">
        <v>650</v>
      </c>
      <c r="D115" s="241">
        <v>1000</v>
      </c>
      <c r="E115" s="241" t="s">
        <v>876</v>
      </c>
      <c r="F115" s="241" t="s">
        <v>876</v>
      </c>
      <c r="G115" s="265">
        <v>7980000</v>
      </c>
      <c r="H115" s="250">
        <v>9.9609769197369875</v>
      </c>
      <c r="I115" s="250">
        <v>17.836650581397006</v>
      </c>
      <c r="J115" s="250">
        <v>1.1130023099536577</v>
      </c>
      <c r="K115" s="250">
        <v>68.441329812886053</v>
      </c>
      <c r="L115" s="250">
        <v>-138.72039523538314</v>
      </c>
      <c r="M115" s="250">
        <v>-138.72039523538314</v>
      </c>
      <c r="N115" s="241" t="s">
        <v>228</v>
      </c>
      <c r="O115" s="241" t="s">
        <v>230</v>
      </c>
      <c r="P115" s="241">
        <v>0</v>
      </c>
      <c r="Q115" s="241">
        <v>0</v>
      </c>
      <c r="R115" s="241">
        <v>21</v>
      </c>
      <c r="S115" s="241"/>
      <c r="T115" s="241"/>
      <c r="U115" s="241">
        <v>23</v>
      </c>
      <c r="V115" s="241">
        <v>6.5</v>
      </c>
      <c r="W115" s="241">
        <v>1</v>
      </c>
      <c r="X115" s="241">
        <v>3.9</v>
      </c>
      <c r="Y115" s="241"/>
      <c r="Z115" s="241"/>
      <c r="AA115" s="241">
        <v>9.4</v>
      </c>
      <c r="AB115" s="241">
        <v>1.8</v>
      </c>
      <c r="AC115" s="241"/>
      <c r="AD115" s="241"/>
      <c r="AE115" s="241"/>
      <c r="AF115" s="241"/>
      <c r="AG115" s="241"/>
      <c r="AH115" s="241"/>
      <c r="AI115" s="241">
        <v>0.5</v>
      </c>
      <c r="AJ115" s="241"/>
      <c r="AK115" s="241"/>
      <c r="AL115" s="241">
        <v>0</v>
      </c>
      <c r="AM115" s="241"/>
      <c r="AN115" s="241">
        <v>-0.38</v>
      </c>
    </row>
    <row r="116" spans="1:40" ht="16.5" thickBot="1" x14ac:dyDescent="0.3">
      <c r="A116" s="160" t="s">
        <v>735</v>
      </c>
      <c r="B116" s="160">
        <v>121</v>
      </c>
      <c r="C116" s="160">
        <v>550</v>
      </c>
      <c r="D116" s="160">
        <v>1000</v>
      </c>
      <c r="E116" s="160" t="s">
        <v>876</v>
      </c>
      <c r="F116" s="160" t="s">
        <v>876</v>
      </c>
      <c r="G116" s="267">
        <v>7980000</v>
      </c>
      <c r="H116" s="252">
        <v>9.9609769197369875</v>
      </c>
      <c r="I116" s="252">
        <v>17.836650581397006</v>
      </c>
      <c r="J116" s="252">
        <v>1.1130023099536577</v>
      </c>
      <c r="K116" s="252">
        <v>68.441329812886053</v>
      </c>
      <c r="L116" s="252">
        <v>-141.96938378108504</v>
      </c>
      <c r="M116" s="252">
        <v>-141.96938378108504</v>
      </c>
      <c r="N116" s="160" t="s">
        <v>228</v>
      </c>
      <c r="O116" s="160" t="s">
        <v>230</v>
      </c>
      <c r="P116" s="160">
        <v>0</v>
      </c>
      <c r="Q116" s="160">
        <v>0</v>
      </c>
      <c r="R116" s="160">
        <v>21</v>
      </c>
      <c r="S116" s="160"/>
      <c r="T116" s="160"/>
      <c r="U116" s="160">
        <v>23</v>
      </c>
      <c r="V116" s="160">
        <v>6.5</v>
      </c>
      <c r="W116" s="160">
        <v>1</v>
      </c>
      <c r="X116" s="160">
        <v>3.9</v>
      </c>
      <c r="Y116" s="160"/>
      <c r="Z116" s="160"/>
      <c r="AA116" s="160">
        <v>9.4</v>
      </c>
      <c r="AB116" s="160">
        <v>1.8</v>
      </c>
      <c r="AC116" s="160"/>
      <c r="AD116" s="160"/>
      <c r="AE116" s="160"/>
      <c r="AF116" s="160"/>
      <c r="AG116" s="160"/>
      <c r="AH116" s="160"/>
      <c r="AI116" s="160">
        <v>0.5</v>
      </c>
      <c r="AJ116" s="160"/>
      <c r="AK116" s="160"/>
      <c r="AL116" s="160">
        <v>0</v>
      </c>
      <c r="AM116" s="160"/>
      <c r="AN116" s="160">
        <v>-0.28999999999999998</v>
      </c>
    </row>
    <row r="117" spans="1:40" x14ac:dyDescent="0.25">
      <c r="A117" s="241" t="s">
        <v>737</v>
      </c>
      <c r="B117" s="241">
        <v>122</v>
      </c>
      <c r="C117" s="241">
        <v>650</v>
      </c>
      <c r="D117" s="241">
        <v>1000</v>
      </c>
      <c r="E117" s="241" t="s">
        <v>55</v>
      </c>
      <c r="F117" s="241" t="s">
        <v>876</v>
      </c>
      <c r="G117" s="265">
        <v>7980000</v>
      </c>
      <c r="H117" s="250">
        <v>12.60982844496213</v>
      </c>
      <c r="I117" s="250">
        <v>18.405463129958108</v>
      </c>
      <c r="J117" s="250">
        <v>1.3337033540761836</v>
      </c>
      <c r="K117" s="250">
        <v>64.262583891527882</v>
      </c>
      <c r="L117" s="250">
        <v>-138.62502749993544</v>
      </c>
      <c r="M117" s="250">
        <v>-115.93813288350846</v>
      </c>
      <c r="N117" s="241" t="s">
        <v>245</v>
      </c>
      <c r="O117" s="241" t="s">
        <v>247</v>
      </c>
      <c r="P117" s="241">
        <v>0</v>
      </c>
      <c r="Q117" s="241">
        <v>0</v>
      </c>
      <c r="R117" s="241">
        <v>7.17</v>
      </c>
      <c r="S117" s="241">
        <v>4.5599999999999996</v>
      </c>
      <c r="T117" s="241">
        <v>0.22</v>
      </c>
      <c r="U117" s="241">
        <v>75.013000000000005</v>
      </c>
      <c r="V117" s="241">
        <v>12.46</v>
      </c>
      <c r="W117" s="241">
        <v>6.66</v>
      </c>
      <c r="X117" s="241">
        <v>4.57</v>
      </c>
      <c r="Y117" s="241">
        <v>56.17</v>
      </c>
      <c r="Z117" s="241">
        <v>0.16</v>
      </c>
      <c r="AA117" s="241">
        <v>20.93</v>
      </c>
      <c r="AB117" s="241">
        <v>0.88</v>
      </c>
      <c r="AC117" s="241"/>
      <c r="AD117" s="241"/>
      <c r="AE117" s="241">
        <v>366.31</v>
      </c>
      <c r="AF117" s="241"/>
      <c r="AG117" s="241"/>
      <c r="AH117" s="241"/>
      <c r="AI117" s="241"/>
      <c r="AJ117" s="241"/>
      <c r="AK117" s="241"/>
      <c r="AL117" s="241">
        <v>0</v>
      </c>
      <c r="AM117" s="241"/>
      <c r="AN117" s="241">
        <v>-0.64</v>
      </c>
    </row>
    <row r="118" spans="1:40" x14ac:dyDescent="0.25">
      <c r="A118" s="159" t="s">
        <v>738</v>
      </c>
      <c r="B118" s="159">
        <v>123</v>
      </c>
      <c r="C118" s="159">
        <v>650</v>
      </c>
      <c r="D118" s="159">
        <v>1000</v>
      </c>
      <c r="E118" s="159" t="s">
        <v>55</v>
      </c>
      <c r="F118" s="159" t="s">
        <v>876</v>
      </c>
      <c r="G118" s="264">
        <v>7980000</v>
      </c>
      <c r="H118" s="249">
        <v>12.60982844496213</v>
      </c>
      <c r="I118" s="249">
        <v>18.405463129958108</v>
      </c>
      <c r="J118" s="249">
        <v>1.3337033540761836</v>
      </c>
      <c r="K118" s="249">
        <v>64.262583891527882</v>
      </c>
      <c r="L118" s="249">
        <v>-138.62502749993544</v>
      </c>
      <c r="M118" s="249">
        <v>-115.93813288350846</v>
      </c>
      <c r="N118" s="159" t="s">
        <v>245</v>
      </c>
      <c r="O118" s="159" t="s">
        <v>247</v>
      </c>
      <c r="P118" s="159">
        <v>0</v>
      </c>
      <c r="Q118" s="159">
        <v>0</v>
      </c>
      <c r="R118" s="159">
        <v>7.17</v>
      </c>
      <c r="S118" s="159">
        <v>4.5599999999999996</v>
      </c>
      <c r="T118" s="159">
        <v>0.22</v>
      </c>
      <c r="U118" s="159">
        <v>75.013000000000005</v>
      </c>
      <c r="V118" s="159">
        <v>12.46</v>
      </c>
      <c r="W118" s="159">
        <v>6.66</v>
      </c>
      <c r="X118" s="159">
        <v>4.57</v>
      </c>
      <c r="Y118" s="159">
        <v>56.17</v>
      </c>
      <c r="Z118" s="159">
        <v>0.16</v>
      </c>
      <c r="AA118" s="159">
        <v>20.93</v>
      </c>
      <c r="AB118" s="159">
        <v>0.88</v>
      </c>
      <c r="AC118" s="159"/>
      <c r="AD118" s="159"/>
      <c r="AE118" s="159">
        <v>366.31</v>
      </c>
      <c r="AF118" s="159"/>
      <c r="AG118" s="159"/>
      <c r="AH118" s="159"/>
      <c r="AI118" s="159"/>
      <c r="AJ118" s="159"/>
      <c r="AK118" s="159"/>
      <c r="AL118" s="159">
        <v>0</v>
      </c>
      <c r="AM118" s="159"/>
      <c r="AN118" s="159">
        <v>-1.7</v>
      </c>
    </row>
    <row r="119" spans="1:40" x14ac:dyDescent="0.25">
      <c r="A119" s="241" t="s">
        <v>739</v>
      </c>
      <c r="B119" s="241">
        <v>124</v>
      </c>
      <c r="C119" s="241">
        <v>550</v>
      </c>
      <c r="D119" s="241">
        <v>1000</v>
      </c>
      <c r="E119" s="241" t="s">
        <v>876</v>
      </c>
      <c r="F119" s="241" t="s">
        <v>876</v>
      </c>
      <c r="G119" s="265">
        <v>7980000</v>
      </c>
      <c r="H119" s="250">
        <v>12.60982844496213</v>
      </c>
      <c r="I119" s="250">
        <v>18.405463129958108</v>
      </c>
      <c r="J119" s="250">
        <v>1.3337033540761836</v>
      </c>
      <c r="K119" s="250">
        <v>64.262583891527882</v>
      </c>
      <c r="L119" s="250">
        <v>-141.87455144017309</v>
      </c>
      <c r="M119" s="250">
        <v>-141.87455144017309</v>
      </c>
      <c r="N119" s="241" t="s">
        <v>245</v>
      </c>
      <c r="O119" s="241" t="s">
        <v>247</v>
      </c>
      <c r="P119" s="241">
        <v>0</v>
      </c>
      <c r="Q119" s="241">
        <v>0</v>
      </c>
      <c r="R119" s="241">
        <v>7.17</v>
      </c>
      <c r="S119" s="241">
        <v>4.5599999999999996</v>
      </c>
      <c r="T119" s="241">
        <v>0.22</v>
      </c>
      <c r="U119" s="241">
        <v>75.013000000000005</v>
      </c>
      <c r="V119" s="241">
        <v>12.46</v>
      </c>
      <c r="W119" s="241">
        <v>6.66</v>
      </c>
      <c r="X119" s="241">
        <v>4.57</v>
      </c>
      <c r="Y119" s="241">
        <v>56.17</v>
      </c>
      <c r="Z119" s="241">
        <v>0.16</v>
      </c>
      <c r="AA119" s="241">
        <v>20.93</v>
      </c>
      <c r="AB119" s="241">
        <v>0.88</v>
      </c>
      <c r="AC119" s="241"/>
      <c r="AD119" s="241"/>
      <c r="AE119" s="241">
        <v>366.31</v>
      </c>
      <c r="AF119" s="241"/>
      <c r="AG119" s="241"/>
      <c r="AH119" s="241"/>
      <c r="AI119" s="241"/>
      <c r="AJ119" s="241"/>
      <c r="AK119" s="241"/>
      <c r="AL119" s="241">
        <v>0</v>
      </c>
      <c r="AM119" s="241"/>
      <c r="AN119" s="241">
        <v>-0.2</v>
      </c>
    </row>
    <row r="120" spans="1:40" ht="16.5" thickBot="1" x14ac:dyDescent="0.3">
      <c r="A120" s="160" t="s">
        <v>740</v>
      </c>
      <c r="B120" s="160">
        <v>125</v>
      </c>
      <c r="C120" s="160">
        <v>650</v>
      </c>
      <c r="D120" s="160">
        <v>1000</v>
      </c>
      <c r="E120" s="160" t="s">
        <v>876</v>
      </c>
      <c r="F120" s="160" t="s">
        <v>876</v>
      </c>
      <c r="G120" s="267">
        <v>7980000</v>
      </c>
      <c r="H120" s="252">
        <v>12.60982844496213</v>
      </c>
      <c r="I120" s="252">
        <v>18.405463129958108</v>
      </c>
      <c r="J120" s="252">
        <v>1.3337033540761836</v>
      </c>
      <c r="K120" s="252">
        <v>64.262583891527882</v>
      </c>
      <c r="L120" s="252">
        <v>-138.62502749993544</v>
      </c>
      <c r="M120" s="252">
        <v>-138.62502749993544</v>
      </c>
      <c r="N120" s="160" t="s">
        <v>245</v>
      </c>
      <c r="O120" s="160" t="s">
        <v>247</v>
      </c>
      <c r="P120" s="160">
        <v>0</v>
      </c>
      <c r="Q120" s="160">
        <v>0</v>
      </c>
      <c r="R120" s="160">
        <v>7.17</v>
      </c>
      <c r="S120" s="160">
        <v>4.5599999999999996</v>
      </c>
      <c r="T120" s="160">
        <v>0.22</v>
      </c>
      <c r="U120" s="160">
        <v>75.013000000000005</v>
      </c>
      <c r="V120" s="160">
        <v>12.46</v>
      </c>
      <c r="W120" s="160">
        <v>6.66</v>
      </c>
      <c r="X120" s="160">
        <v>4.57</v>
      </c>
      <c r="Y120" s="160">
        <v>56.17</v>
      </c>
      <c r="Z120" s="160">
        <v>0.16</v>
      </c>
      <c r="AA120" s="160">
        <v>20.93</v>
      </c>
      <c r="AB120" s="160">
        <v>0.88</v>
      </c>
      <c r="AC120" s="160"/>
      <c r="AD120" s="160"/>
      <c r="AE120" s="160">
        <v>366.31</v>
      </c>
      <c r="AF120" s="160"/>
      <c r="AG120" s="160"/>
      <c r="AH120" s="160"/>
      <c r="AI120" s="160"/>
      <c r="AJ120" s="160"/>
      <c r="AK120" s="160"/>
      <c r="AL120" s="160">
        <v>0</v>
      </c>
      <c r="AM120" s="160"/>
      <c r="AN120" s="160">
        <v>-0.24</v>
      </c>
    </row>
    <row r="121" spans="1:40" x14ac:dyDescent="0.25">
      <c r="A121" s="241" t="s">
        <v>748</v>
      </c>
      <c r="B121" s="241">
        <v>126</v>
      </c>
      <c r="C121" s="241">
        <v>850</v>
      </c>
      <c r="D121" s="241">
        <v>500</v>
      </c>
      <c r="E121" s="241" t="s">
        <v>233</v>
      </c>
      <c r="F121" s="241" t="s">
        <v>239</v>
      </c>
      <c r="G121" s="265">
        <v>8860000</v>
      </c>
      <c r="H121" s="250">
        <v>75.833705010989803</v>
      </c>
      <c r="I121" s="250">
        <v>7.4833437418513435</v>
      </c>
      <c r="J121" s="250">
        <v>10.353208976111462</v>
      </c>
      <c r="K121" s="250">
        <v>4.4499132823866496</v>
      </c>
      <c r="L121" s="250">
        <v>-119.31255669636327</v>
      </c>
      <c r="M121" s="250">
        <v>-60.821750226979574</v>
      </c>
      <c r="N121" s="241" t="s">
        <v>245</v>
      </c>
      <c r="O121" s="241" t="s">
        <v>230</v>
      </c>
      <c r="P121" s="241">
        <v>0</v>
      </c>
      <c r="Q121" s="241">
        <v>0</v>
      </c>
      <c r="R121" s="241"/>
      <c r="S121" s="241"/>
      <c r="T121" s="241"/>
      <c r="U121" s="241"/>
      <c r="V121" s="241"/>
      <c r="W121" s="241"/>
      <c r="X121" s="241"/>
      <c r="Y121" s="241"/>
      <c r="Z121" s="241"/>
      <c r="AA121" s="241"/>
      <c r="AB121" s="241"/>
      <c r="AC121" s="241"/>
      <c r="AD121" s="241"/>
      <c r="AE121" s="241"/>
      <c r="AF121" s="241"/>
      <c r="AG121" s="241"/>
      <c r="AH121" s="241"/>
      <c r="AI121" s="241"/>
      <c r="AJ121" s="241"/>
      <c r="AK121" s="241"/>
      <c r="AL121" s="241">
        <v>0</v>
      </c>
      <c r="AM121" s="241"/>
      <c r="AN121" s="241">
        <v>-2.5</v>
      </c>
    </row>
    <row r="122" spans="1:40" x14ac:dyDescent="0.25">
      <c r="A122" s="159" t="s">
        <v>749</v>
      </c>
      <c r="B122" s="159">
        <v>127</v>
      </c>
      <c r="C122" s="159">
        <v>850</v>
      </c>
      <c r="D122" s="159">
        <v>500</v>
      </c>
      <c r="E122" s="159" t="s">
        <v>233</v>
      </c>
      <c r="F122" s="159" t="s">
        <v>368</v>
      </c>
      <c r="G122" s="264">
        <v>8220000</v>
      </c>
      <c r="H122" s="249">
        <v>46.83388768298488</v>
      </c>
      <c r="I122" s="249">
        <v>23.747712439498351</v>
      </c>
      <c r="J122" s="249">
        <v>5.2825616824295194</v>
      </c>
      <c r="K122" s="249">
        <v>19.986638626368162</v>
      </c>
      <c r="L122" s="249">
        <v>-126.68775759643229</v>
      </c>
      <c r="M122" s="249">
        <v>-60.821750226979574</v>
      </c>
      <c r="N122" s="159" t="s">
        <v>245</v>
      </c>
      <c r="O122" s="159" t="s">
        <v>230</v>
      </c>
      <c r="P122" s="159">
        <v>0</v>
      </c>
      <c r="Q122" s="159">
        <v>0</v>
      </c>
      <c r="R122" s="159"/>
      <c r="S122" s="159"/>
      <c r="T122" s="159"/>
      <c r="U122" s="159"/>
      <c r="V122" s="159"/>
      <c r="W122" s="159"/>
      <c r="X122" s="159"/>
      <c r="Y122" s="159"/>
      <c r="Z122" s="159"/>
      <c r="AA122" s="159"/>
      <c r="AB122" s="159"/>
      <c r="AC122" s="159"/>
      <c r="AD122" s="159"/>
      <c r="AE122" s="159"/>
      <c r="AF122" s="159"/>
      <c r="AG122" s="159"/>
      <c r="AH122" s="159"/>
      <c r="AI122" s="159"/>
      <c r="AJ122" s="159"/>
      <c r="AK122" s="159"/>
      <c r="AL122" s="159">
        <v>0</v>
      </c>
      <c r="AM122" s="159"/>
      <c r="AN122" s="159">
        <v>-13.6</v>
      </c>
    </row>
    <row r="123" spans="1:40" x14ac:dyDescent="0.25">
      <c r="A123" s="241" t="s">
        <v>750</v>
      </c>
      <c r="B123" s="241">
        <v>128</v>
      </c>
      <c r="C123" s="241">
        <v>850</v>
      </c>
      <c r="D123" s="241">
        <v>500</v>
      </c>
      <c r="E123" s="241" t="s">
        <v>233</v>
      </c>
      <c r="F123" s="241" t="s">
        <v>371</v>
      </c>
      <c r="G123" s="265">
        <v>8960000</v>
      </c>
      <c r="H123" s="250">
        <v>62.503455723884677</v>
      </c>
      <c r="I123" s="250">
        <v>26.902664885848377</v>
      </c>
      <c r="J123" s="250">
        <v>0.79047059439498901</v>
      </c>
      <c r="K123" s="250">
        <v>2.0038511356334689</v>
      </c>
      <c r="L123" s="250">
        <v>-125.47416545076635</v>
      </c>
      <c r="M123" s="250">
        <v>-60.821750226979574</v>
      </c>
      <c r="N123" s="241" t="s">
        <v>245</v>
      </c>
      <c r="O123" s="241" t="s">
        <v>230</v>
      </c>
      <c r="P123" s="241">
        <v>0</v>
      </c>
      <c r="Q123" s="241">
        <v>0</v>
      </c>
      <c r="R123" s="241"/>
      <c r="S123" s="241"/>
      <c r="T123" s="241"/>
      <c r="U123" s="241"/>
      <c r="V123" s="241"/>
      <c r="W123" s="241"/>
      <c r="X123" s="241"/>
      <c r="Y123" s="241"/>
      <c r="Z123" s="241"/>
      <c r="AA123" s="241"/>
      <c r="AB123" s="241"/>
      <c r="AC123" s="241"/>
      <c r="AD123" s="241"/>
      <c r="AE123" s="241"/>
      <c r="AF123" s="241"/>
      <c r="AG123" s="241"/>
      <c r="AH123" s="241"/>
      <c r="AI123" s="241"/>
      <c r="AJ123" s="241"/>
      <c r="AK123" s="241"/>
      <c r="AL123" s="241">
        <v>0</v>
      </c>
      <c r="AM123" s="241"/>
      <c r="AN123" s="241">
        <v>-52.6</v>
      </c>
    </row>
    <row r="124" spans="1:40" x14ac:dyDescent="0.25">
      <c r="A124" s="159" t="s">
        <v>751</v>
      </c>
      <c r="B124" s="159">
        <v>129</v>
      </c>
      <c r="C124" s="159">
        <v>850</v>
      </c>
      <c r="D124" s="159">
        <v>500</v>
      </c>
      <c r="E124" s="159" t="s">
        <v>233</v>
      </c>
      <c r="F124" s="159" t="s">
        <v>250</v>
      </c>
      <c r="G124" s="264">
        <v>7940000</v>
      </c>
      <c r="H124" s="249">
        <v>29.862390040750313</v>
      </c>
      <c r="I124" s="249">
        <v>21.786699400893177</v>
      </c>
      <c r="J124" s="249">
        <v>0</v>
      </c>
      <c r="K124" s="249">
        <v>44.960426192298442</v>
      </c>
      <c r="L124" s="249">
        <v>-130.21142101812333</v>
      </c>
      <c r="M124" s="249">
        <v>-60.821750226979574</v>
      </c>
      <c r="N124" s="159" t="s">
        <v>245</v>
      </c>
      <c r="O124" s="159" t="s">
        <v>230</v>
      </c>
      <c r="P124" s="159">
        <v>0</v>
      </c>
      <c r="Q124" s="159">
        <v>0</v>
      </c>
      <c r="R124" s="159"/>
      <c r="S124" s="159"/>
      <c r="T124" s="159"/>
      <c r="U124" s="159"/>
      <c r="V124" s="159"/>
      <c r="W124" s="159"/>
      <c r="X124" s="159"/>
      <c r="Y124" s="159"/>
      <c r="Z124" s="159"/>
      <c r="AA124" s="159"/>
      <c r="AB124" s="159"/>
      <c r="AC124" s="159"/>
      <c r="AD124" s="159"/>
      <c r="AE124" s="159"/>
      <c r="AF124" s="159"/>
      <c r="AG124" s="159"/>
      <c r="AH124" s="159"/>
      <c r="AI124" s="159"/>
      <c r="AJ124" s="159"/>
      <c r="AK124" s="159"/>
      <c r="AL124" s="159">
        <v>0</v>
      </c>
      <c r="AM124" s="159"/>
      <c r="AN124" s="159">
        <v>-31.2</v>
      </c>
    </row>
    <row r="125" spans="1:40" x14ac:dyDescent="0.25">
      <c r="A125" s="241" t="s">
        <v>752</v>
      </c>
      <c r="B125" s="241">
        <v>130</v>
      </c>
      <c r="C125" s="241">
        <v>850</v>
      </c>
      <c r="D125" s="241">
        <v>500</v>
      </c>
      <c r="E125" s="241" t="s">
        <v>250</v>
      </c>
      <c r="F125" s="241" t="s">
        <v>250</v>
      </c>
      <c r="G125" s="265">
        <v>7940000</v>
      </c>
      <c r="H125" s="250">
        <v>29.862390040750313</v>
      </c>
      <c r="I125" s="250">
        <v>21.786699400893177</v>
      </c>
      <c r="J125" s="250">
        <v>0</v>
      </c>
      <c r="K125" s="250">
        <v>44.960426192298442</v>
      </c>
      <c r="L125" s="250">
        <v>-130.21142101812333</v>
      </c>
      <c r="M125" s="250">
        <v>-130.21142101812333</v>
      </c>
      <c r="N125" s="241" t="s">
        <v>245</v>
      </c>
      <c r="O125" s="241" t="s">
        <v>230</v>
      </c>
      <c r="P125" s="241">
        <v>0</v>
      </c>
      <c r="Q125" s="241">
        <v>0</v>
      </c>
      <c r="R125" s="241"/>
      <c r="S125" s="241"/>
      <c r="T125" s="241"/>
      <c r="U125" s="241"/>
      <c r="V125" s="241"/>
      <c r="W125" s="241"/>
      <c r="X125" s="241"/>
      <c r="Y125" s="241"/>
      <c r="Z125" s="241"/>
      <c r="AA125" s="241"/>
      <c r="AB125" s="241"/>
      <c r="AC125" s="241"/>
      <c r="AD125" s="241"/>
      <c r="AE125" s="241"/>
      <c r="AF125" s="241"/>
      <c r="AG125" s="241"/>
      <c r="AH125" s="241"/>
      <c r="AI125" s="241"/>
      <c r="AJ125" s="241"/>
      <c r="AK125" s="241"/>
      <c r="AL125" s="241">
        <v>0</v>
      </c>
      <c r="AM125" s="241"/>
      <c r="AN125" s="241">
        <v>-0.37</v>
      </c>
    </row>
    <row r="126" spans="1:40" x14ac:dyDescent="0.25">
      <c r="A126" s="159" t="s">
        <v>753</v>
      </c>
      <c r="B126" s="159">
        <v>131</v>
      </c>
      <c r="C126" s="159">
        <v>850</v>
      </c>
      <c r="D126" s="159">
        <v>1000</v>
      </c>
      <c r="E126" s="159" t="s">
        <v>250</v>
      </c>
      <c r="F126" s="159" t="s">
        <v>250</v>
      </c>
      <c r="G126" s="264">
        <v>7940000</v>
      </c>
      <c r="H126" s="249">
        <v>29.862390040750313</v>
      </c>
      <c r="I126" s="249">
        <v>21.786699400893177</v>
      </c>
      <c r="J126" s="249">
        <v>0</v>
      </c>
      <c r="K126" s="249">
        <v>44.960426192298442</v>
      </c>
      <c r="L126" s="249">
        <v>-130.21142101812333</v>
      </c>
      <c r="M126" s="249">
        <v>-130.21142101812333</v>
      </c>
      <c r="N126" s="159" t="s">
        <v>245</v>
      </c>
      <c r="O126" s="159" t="s">
        <v>230</v>
      </c>
      <c r="P126" s="159">
        <v>0</v>
      </c>
      <c r="Q126" s="159">
        <v>0</v>
      </c>
      <c r="R126" s="159"/>
      <c r="S126" s="159"/>
      <c r="T126" s="159"/>
      <c r="U126" s="159"/>
      <c r="V126" s="159"/>
      <c r="W126" s="159"/>
      <c r="X126" s="159"/>
      <c r="Y126" s="159"/>
      <c r="Z126" s="159"/>
      <c r="AA126" s="159"/>
      <c r="AB126" s="159"/>
      <c r="AC126" s="159"/>
      <c r="AD126" s="159"/>
      <c r="AE126" s="159"/>
      <c r="AF126" s="159"/>
      <c r="AG126" s="159"/>
      <c r="AH126" s="159"/>
      <c r="AI126" s="159"/>
      <c r="AJ126" s="159"/>
      <c r="AK126" s="159"/>
      <c r="AL126" s="159">
        <v>0</v>
      </c>
      <c r="AM126" s="159"/>
      <c r="AN126" s="159">
        <v>-0.3</v>
      </c>
    </row>
    <row r="127" spans="1:40" x14ac:dyDescent="0.25">
      <c r="A127" s="241" t="s">
        <v>754</v>
      </c>
      <c r="B127" s="241">
        <v>132</v>
      </c>
      <c r="C127" s="241">
        <v>850</v>
      </c>
      <c r="D127" s="241">
        <v>2000</v>
      </c>
      <c r="E127" s="241" t="s">
        <v>250</v>
      </c>
      <c r="F127" s="241" t="s">
        <v>250</v>
      </c>
      <c r="G127" s="265">
        <v>7940000</v>
      </c>
      <c r="H127" s="250">
        <v>29.862390040750313</v>
      </c>
      <c r="I127" s="250">
        <v>21.786699400893177</v>
      </c>
      <c r="J127" s="250">
        <v>0</v>
      </c>
      <c r="K127" s="250">
        <v>44.960426192298442</v>
      </c>
      <c r="L127" s="250">
        <v>-130.21142101812333</v>
      </c>
      <c r="M127" s="250">
        <v>-130.21142101812333</v>
      </c>
      <c r="N127" s="241" t="s">
        <v>245</v>
      </c>
      <c r="O127" s="241" t="s">
        <v>230</v>
      </c>
      <c r="P127" s="241">
        <v>0</v>
      </c>
      <c r="Q127" s="241">
        <v>0</v>
      </c>
      <c r="R127" s="241"/>
      <c r="S127" s="241"/>
      <c r="T127" s="241"/>
      <c r="U127" s="241"/>
      <c r="V127" s="241"/>
      <c r="W127" s="241"/>
      <c r="X127" s="241"/>
      <c r="Y127" s="241"/>
      <c r="Z127" s="241"/>
      <c r="AA127" s="241"/>
      <c r="AB127" s="241"/>
      <c r="AC127" s="241"/>
      <c r="AD127" s="241"/>
      <c r="AE127" s="241"/>
      <c r="AF127" s="241"/>
      <c r="AG127" s="241"/>
      <c r="AH127" s="241"/>
      <c r="AI127" s="241"/>
      <c r="AJ127" s="241"/>
      <c r="AK127" s="241"/>
      <c r="AL127" s="241">
        <v>0</v>
      </c>
      <c r="AM127" s="241"/>
      <c r="AN127" s="241">
        <v>-0.67</v>
      </c>
    </row>
    <row r="128" spans="1:40" x14ac:dyDescent="0.25">
      <c r="A128" s="159" t="s">
        <v>755</v>
      </c>
      <c r="B128" s="159">
        <v>133</v>
      </c>
      <c r="C128" s="159">
        <v>850</v>
      </c>
      <c r="D128" s="159">
        <v>500</v>
      </c>
      <c r="E128" s="159" t="s">
        <v>233</v>
      </c>
      <c r="F128" s="159" t="s">
        <v>374</v>
      </c>
      <c r="G128" s="264">
        <v>8360000</v>
      </c>
      <c r="H128" s="249">
        <v>52.563664585142554</v>
      </c>
      <c r="I128" s="249">
        <v>24.770614522262555</v>
      </c>
      <c r="J128" s="249">
        <v>5.8186618719386818</v>
      </c>
      <c r="K128" s="249">
        <v>1.1366645252577121</v>
      </c>
      <c r="L128" s="249">
        <v>-125.15968658948964</v>
      </c>
      <c r="M128" s="249">
        <v>-60.821750226979574</v>
      </c>
      <c r="N128" s="159" t="s">
        <v>245</v>
      </c>
      <c r="O128" s="159" t="s">
        <v>230</v>
      </c>
      <c r="P128" s="159">
        <v>0</v>
      </c>
      <c r="Q128" s="159">
        <v>0</v>
      </c>
      <c r="R128" s="159"/>
      <c r="S128" s="159"/>
      <c r="T128" s="159"/>
      <c r="U128" s="159"/>
      <c r="V128" s="159"/>
      <c r="W128" s="159"/>
      <c r="X128" s="159"/>
      <c r="Y128" s="159"/>
      <c r="Z128" s="159"/>
      <c r="AA128" s="159"/>
      <c r="AB128" s="159"/>
      <c r="AC128" s="159"/>
      <c r="AD128" s="159"/>
      <c r="AE128" s="159"/>
      <c r="AF128" s="159"/>
      <c r="AG128" s="159"/>
      <c r="AH128" s="159"/>
      <c r="AI128" s="159"/>
      <c r="AJ128" s="159"/>
      <c r="AK128" s="159"/>
      <c r="AL128" s="159">
        <v>0</v>
      </c>
      <c r="AM128" s="159"/>
      <c r="AN128" s="159">
        <v>-32.5</v>
      </c>
    </row>
    <row r="129" spans="1:40" x14ac:dyDescent="0.25">
      <c r="A129" s="241" t="s">
        <v>756</v>
      </c>
      <c r="B129" s="241">
        <v>134</v>
      </c>
      <c r="C129" s="241">
        <v>850</v>
      </c>
      <c r="D129" s="241">
        <v>500</v>
      </c>
      <c r="E129" s="241" t="s">
        <v>233</v>
      </c>
      <c r="F129" s="241" t="s">
        <v>376</v>
      </c>
      <c r="G129" s="265">
        <v>8570000</v>
      </c>
      <c r="H129" s="250">
        <v>3.9488883158128891E-3</v>
      </c>
      <c r="I129" s="250">
        <v>3.5655423885393614E-3</v>
      </c>
      <c r="J129" s="250">
        <v>2.8982107785126116E-3</v>
      </c>
      <c r="K129" s="250">
        <v>5.8095677234929607E-3</v>
      </c>
      <c r="L129" s="250">
        <v>-143.58679215487112</v>
      </c>
      <c r="M129" s="250">
        <v>-60.821750226979574</v>
      </c>
      <c r="N129" s="241" t="s">
        <v>245</v>
      </c>
      <c r="O129" s="241" t="s">
        <v>230</v>
      </c>
      <c r="P129" s="241">
        <v>0</v>
      </c>
      <c r="Q129" s="241">
        <v>0</v>
      </c>
      <c r="R129" s="241"/>
      <c r="S129" s="241"/>
      <c r="T129" s="241"/>
      <c r="U129" s="241"/>
      <c r="V129" s="241"/>
      <c r="W129" s="241"/>
      <c r="X129" s="241"/>
      <c r="Y129" s="241"/>
      <c r="Z129" s="241"/>
      <c r="AA129" s="241"/>
      <c r="AB129" s="241"/>
      <c r="AC129" s="241"/>
      <c r="AD129" s="241"/>
      <c r="AE129" s="241"/>
      <c r="AF129" s="241"/>
      <c r="AG129" s="241"/>
      <c r="AH129" s="241"/>
      <c r="AI129" s="241"/>
      <c r="AJ129" s="241"/>
      <c r="AK129" s="241"/>
      <c r="AL129" s="241">
        <v>0</v>
      </c>
      <c r="AM129" s="241"/>
      <c r="AN129" s="241">
        <v>-180</v>
      </c>
    </row>
    <row r="130" spans="1:40" ht="16.5" thickBot="1" x14ac:dyDescent="0.3">
      <c r="A130" s="160" t="s">
        <v>757</v>
      </c>
      <c r="B130" s="160">
        <v>135</v>
      </c>
      <c r="C130" s="160">
        <v>850</v>
      </c>
      <c r="D130" s="160">
        <v>500</v>
      </c>
      <c r="E130" s="160" t="s">
        <v>233</v>
      </c>
      <c r="F130" s="160" t="s">
        <v>251</v>
      </c>
      <c r="G130" s="267">
        <v>8900000</v>
      </c>
      <c r="H130" s="252">
        <v>99.40318798221314</v>
      </c>
      <c r="I130" s="252">
        <v>0</v>
      </c>
      <c r="J130" s="252">
        <v>0</v>
      </c>
      <c r="K130" s="252">
        <v>5.2544209776799453E-2</v>
      </c>
      <c r="L130" s="252">
        <v>-116.51601495143476</v>
      </c>
      <c r="M130" s="252">
        <v>-60.821750226979574</v>
      </c>
      <c r="N130" s="160" t="s">
        <v>245</v>
      </c>
      <c r="O130" s="160" t="s">
        <v>230</v>
      </c>
      <c r="P130" s="160">
        <v>0</v>
      </c>
      <c r="Q130" s="160">
        <v>0</v>
      </c>
      <c r="R130" s="160"/>
      <c r="S130" s="160"/>
      <c r="T130" s="160"/>
      <c r="U130" s="160"/>
      <c r="V130" s="160"/>
      <c r="W130" s="160"/>
      <c r="X130" s="160"/>
      <c r="Y130" s="160"/>
      <c r="Z130" s="160"/>
      <c r="AA130" s="160"/>
      <c r="AB130" s="160"/>
      <c r="AC130" s="160"/>
      <c r="AD130" s="160"/>
      <c r="AE130" s="160"/>
      <c r="AF130" s="160"/>
      <c r="AG130" s="160"/>
      <c r="AH130" s="160"/>
      <c r="AI130" s="160"/>
      <c r="AJ130" s="160"/>
      <c r="AK130" s="160"/>
      <c r="AL130" s="160">
        <v>0</v>
      </c>
      <c r="AM130" s="160"/>
      <c r="AN130" s="160">
        <v>-0.1</v>
      </c>
    </row>
    <row r="131" spans="1:40" x14ac:dyDescent="0.25">
      <c r="A131" s="241" t="s">
        <v>777</v>
      </c>
      <c r="B131" s="241">
        <v>136</v>
      </c>
      <c r="C131" s="241">
        <v>750</v>
      </c>
      <c r="D131" s="241">
        <v>1000</v>
      </c>
      <c r="E131" s="241" t="s">
        <v>55</v>
      </c>
      <c r="F131" s="241" t="s">
        <v>876</v>
      </c>
      <c r="G131" s="265">
        <v>7980000</v>
      </c>
      <c r="H131" s="250">
        <v>9.6019577325472891</v>
      </c>
      <c r="I131" s="250">
        <v>17.936087370130238</v>
      </c>
      <c r="J131" s="250">
        <v>1.1768707920004398</v>
      </c>
      <c r="K131" s="250">
        <v>69.293568507337511</v>
      </c>
      <c r="L131" s="250">
        <v>-135.32117352499264</v>
      </c>
      <c r="M131" s="250">
        <v>-113.97577374311049</v>
      </c>
      <c r="N131" s="241" t="s">
        <v>228</v>
      </c>
      <c r="O131" s="241" t="s">
        <v>230</v>
      </c>
      <c r="P131" s="241">
        <v>0</v>
      </c>
      <c r="Q131" s="241">
        <v>0</v>
      </c>
      <c r="R131" s="241"/>
      <c r="S131" s="241"/>
      <c r="T131" s="241"/>
      <c r="U131" s="241"/>
      <c r="V131" s="241"/>
      <c r="W131" s="241"/>
      <c r="X131" s="241"/>
      <c r="Y131" s="241"/>
      <c r="Z131" s="241"/>
      <c r="AA131" s="241"/>
      <c r="AB131" s="241"/>
      <c r="AC131" s="241"/>
      <c r="AD131" s="241"/>
      <c r="AE131" s="241"/>
      <c r="AF131" s="241"/>
      <c r="AG131" s="241"/>
      <c r="AH131" s="241"/>
      <c r="AI131" s="241"/>
      <c r="AJ131" s="241"/>
      <c r="AK131" s="241"/>
      <c r="AL131" s="241">
        <v>0</v>
      </c>
      <c r="AM131" s="241">
        <v>-65</v>
      </c>
      <c r="AN131" s="241">
        <v>-4.13</v>
      </c>
    </row>
    <row r="132" spans="1:40" x14ac:dyDescent="0.25">
      <c r="A132" s="159" t="s">
        <v>778</v>
      </c>
      <c r="B132" s="159">
        <v>137</v>
      </c>
      <c r="C132" s="159">
        <v>750</v>
      </c>
      <c r="D132" s="159">
        <v>1000</v>
      </c>
      <c r="E132" s="159" t="s">
        <v>55</v>
      </c>
      <c r="F132" s="159" t="s">
        <v>876</v>
      </c>
      <c r="G132" s="264">
        <v>7980000</v>
      </c>
      <c r="H132" s="249">
        <v>9.6019577325472891</v>
      </c>
      <c r="I132" s="249">
        <v>17.936087370130238</v>
      </c>
      <c r="J132" s="249">
        <v>1.1768707920004398</v>
      </c>
      <c r="K132" s="249">
        <v>69.293568507337511</v>
      </c>
      <c r="L132" s="249">
        <v>-135.32117352499264</v>
      </c>
      <c r="M132" s="249">
        <v>-113.97577374311049</v>
      </c>
      <c r="N132" s="159" t="s">
        <v>228</v>
      </c>
      <c r="O132" s="159" t="s">
        <v>230</v>
      </c>
      <c r="P132" s="159">
        <v>0</v>
      </c>
      <c r="Q132" s="159">
        <v>0</v>
      </c>
      <c r="R132" s="159"/>
      <c r="S132" s="159"/>
      <c r="T132" s="159"/>
      <c r="U132" s="159"/>
      <c r="V132" s="159"/>
      <c r="W132" s="159"/>
      <c r="X132" s="159"/>
      <c r="Y132" s="159"/>
      <c r="Z132" s="159"/>
      <c r="AA132" s="159"/>
      <c r="AB132" s="159"/>
      <c r="AC132" s="159"/>
      <c r="AD132" s="159"/>
      <c r="AE132" s="159"/>
      <c r="AF132" s="159"/>
      <c r="AG132" s="159"/>
      <c r="AH132" s="159"/>
      <c r="AI132" s="159"/>
      <c r="AJ132" s="159"/>
      <c r="AK132" s="159"/>
      <c r="AL132" s="159">
        <v>0</v>
      </c>
      <c r="AM132" s="159">
        <v>-30</v>
      </c>
      <c r="AN132" s="159">
        <v>-2.2200000000000002</v>
      </c>
    </row>
    <row r="133" spans="1:40" x14ac:dyDescent="0.25">
      <c r="A133" s="241" t="s">
        <v>779</v>
      </c>
      <c r="B133" s="241">
        <v>138</v>
      </c>
      <c r="C133" s="241">
        <v>750</v>
      </c>
      <c r="D133" s="241">
        <v>1000</v>
      </c>
      <c r="E133" s="241" t="s">
        <v>55</v>
      </c>
      <c r="F133" s="241" t="s">
        <v>876</v>
      </c>
      <c r="G133" s="265">
        <v>8030000</v>
      </c>
      <c r="H133" s="250">
        <v>8.6659003988959018</v>
      </c>
      <c r="I133" s="250">
        <v>17.963433399892828</v>
      </c>
      <c r="J133" s="250">
        <v>0.1905280058998986</v>
      </c>
      <c r="K133" s="250">
        <v>70.422124087924431</v>
      </c>
      <c r="L133" s="250">
        <v>-136.21292126204736</v>
      </c>
      <c r="M133" s="250">
        <v>-113.97577374311049</v>
      </c>
      <c r="N133" s="241" t="s">
        <v>228</v>
      </c>
      <c r="O133" s="241" t="s">
        <v>230</v>
      </c>
      <c r="P133" s="241">
        <v>0</v>
      </c>
      <c r="Q133" s="241">
        <v>0</v>
      </c>
      <c r="R133" s="241"/>
      <c r="S133" s="241"/>
      <c r="T133" s="241"/>
      <c r="U133" s="241"/>
      <c r="V133" s="241"/>
      <c r="W133" s="241"/>
      <c r="X133" s="241"/>
      <c r="Y133" s="241"/>
      <c r="Z133" s="241"/>
      <c r="AA133" s="241"/>
      <c r="AB133" s="241"/>
      <c r="AC133" s="241"/>
      <c r="AD133" s="241"/>
      <c r="AE133" s="241"/>
      <c r="AF133" s="241"/>
      <c r="AG133" s="241"/>
      <c r="AH133" s="241"/>
      <c r="AI133" s="241"/>
      <c r="AJ133" s="241"/>
      <c r="AK133" s="241"/>
      <c r="AL133" s="241">
        <v>0</v>
      </c>
      <c r="AM133" s="241">
        <v>-60</v>
      </c>
      <c r="AN133" s="241">
        <v>-3.37</v>
      </c>
    </row>
    <row r="134" spans="1:40" x14ac:dyDescent="0.25">
      <c r="A134" s="159" t="s">
        <v>780</v>
      </c>
      <c r="B134" s="159">
        <v>139</v>
      </c>
      <c r="C134" s="159">
        <v>750</v>
      </c>
      <c r="D134" s="159">
        <v>1000</v>
      </c>
      <c r="E134" s="159" t="s">
        <v>55</v>
      </c>
      <c r="F134" s="159" t="s">
        <v>876</v>
      </c>
      <c r="G134" s="264">
        <v>8030000</v>
      </c>
      <c r="H134" s="249">
        <v>8.6659003988959018</v>
      </c>
      <c r="I134" s="249">
        <v>17.963433399892828</v>
      </c>
      <c r="J134" s="249">
        <v>0.1905280058998986</v>
      </c>
      <c r="K134" s="249">
        <v>70.422124087924431</v>
      </c>
      <c r="L134" s="249">
        <v>-136.21292126204736</v>
      </c>
      <c r="M134" s="249">
        <v>-113.97577374311049</v>
      </c>
      <c r="N134" s="159" t="s">
        <v>228</v>
      </c>
      <c r="O134" s="159" t="s">
        <v>230</v>
      </c>
      <c r="P134" s="159">
        <v>0</v>
      </c>
      <c r="Q134" s="159">
        <v>0</v>
      </c>
      <c r="R134" s="159"/>
      <c r="S134" s="159"/>
      <c r="T134" s="159"/>
      <c r="U134" s="159"/>
      <c r="V134" s="159"/>
      <c r="W134" s="159"/>
      <c r="X134" s="159"/>
      <c r="Y134" s="159"/>
      <c r="Z134" s="159"/>
      <c r="AA134" s="159"/>
      <c r="AB134" s="159"/>
      <c r="AC134" s="159"/>
      <c r="AD134" s="159"/>
      <c r="AE134" s="159"/>
      <c r="AF134" s="159"/>
      <c r="AG134" s="159"/>
      <c r="AH134" s="159"/>
      <c r="AI134" s="159"/>
      <c r="AJ134" s="159"/>
      <c r="AK134" s="159"/>
      <c r="AL134" s="159">
        <v>0</v>
      </c>
      <c r="AM134" s="159">
        <v>-72</v>
      </c>
      <c r="AN134" s="159">
        <v>-3.75</v>
      </c>
    </row>
    <row r="135" spans="1:40" x14ac:dyDescent="0.25">
      <c r="A135" s="241" t="s">
        <v>773</v>
      </c>
      <c r="B135" s="241">
        <v>140</v>
      </c>
      <c r="C135" s="241">
        <v>750</v>
      </c>
      <c r="D135" s="241">
        <v>1000</v>
      </c>
      <c r="E135" s="241" t="s">
        <v>55</v>
      </c>
      <c r="F135" s="241" t="s">
        <v>312</v>
      </c>
      <c r="G135" s="265">
        <v>8470000</v>
      </c>
      <c r="H135" s="250">
        <v>71.544070960608138</v>
      </c>
      <c r="I135" s="250">
        <v>18.135788141478809</v>
      </c>
      <c r="J135" s="250">
        <v>0</v>
      </c>
      <c r="K135" s="250">
        <v>9.8842559995482464</v>
      </c>
      <c r="L135" s="250">
        <v>-126.58354566861037</v>
      </c>
      <c r="M135" s="250">
        <v>-113.97577374311049</v>
      </c>
      <c r="N135" s="241" t="s">
        <v>228</v>
      </c>
      <c r="O135" s="241" t="s">
        <v>230</v>
      </c>
      <c r="P135" s="241">
        <v>0</v>
      </c>
      <c r="Q135" s="241">
        <v>0</v>
      </c>
      <c r="R135" s="241"/>
      <c r="S135" s="241"/>
      <c r="T135" s="241"/>
      <c r="U135" s="241"/>
      <c r="V135" s="241"/>
      <c r="W135" s="241"/>
      <c r="X135" s="241"/>
      <c r="Y135" s="241"/>
      <c r="Z135" s="241"/>
      <c r="AA135" s="241"/>
      <c r="AB135" s="241"/>
      <c r="AC135" s="241"/>
      <c r="AD135" s="241"/>
      <c r="AE135" s="241"/>
      <c r="AF135" s="241"/>
      <c r="AG135" s="241"/>
      <c r="AH135" s="241"/>
      <c r="AI135" s="241"/>
      <c r="AJ135" s="241"/>
      <c r="AK135" s="241"/>
      <c r="AL135" s="241">
        <v>0</v>
      </c>
      <c r="AM135" s="241">
        <v>-40</v>
      </c>
      <c r="AN135" s="241">
        <v>-0.44</v>
      </c>
    </row>
    <row r="136" spans="1:40" x14ac:dyDescent="0.25">
      <c r="A136" s="159" t="s">
        <v>774</v>
      </c>
      <c r="B136" s="159">
        <v>141</v>
      </c>
      <c r="C136" s="159">
        <v>750</v>
      </c>
      <c r="D136" s="159">
        <v>1000</v>
      </c>
      <c r="E136" s="159" t="s">
        <v>55</v>
      </c>
      <c r="F136" s="159" t="s">
        <v>312</v>
      </c>
      <c r="G136" s="264">
        <v>8470000</v>
      </c>
      <c r="H136" s="249">
        <v>71.544070960608138</v>
      </c>
      <c r="I136" s="249">
        <v>18.135788141478809</v>
      </c>
      <c r="J136" s="249">
        <v>0</v>
      </c>
      <c r="K136" s="249">
        <v>9.8842559995482464</v>
      </c>
      <c r="L136" s="249">
        <v>-126.58354566861037</v>
      </c>
      <c r="M136" s="249">
        <v>-113.97577374311049</v>
      </c>
      <c r="N136" s="159" t="s">
        <v>228</v>
      </c>
      <c r="O136" s="159" t="s">
        <v>230</v>
      </c>
      <c r="P136" s="159">
        <v>0</v>
      </c>
      <c r="Q136" s="159">
        <v>0</v>
      </c>
      <c r="R136" s="159"/>
      <c r="S136" s="159"/>
      <c r="T136" s="159"/>
      <c r="U136" s="159"/>
      <c r="V136" s="159"/>
      <c r="W136" s="159"/>
      <c r="X136" s="159"/>
      <c r="Y136" s="159"/>
      <c r="Z136" s="159"/>
      <c r="AA136" s="159"/>
      <c r="AB136" s="159"/>
      <c r="AC136" s="159"/>
      <c r="AD136" s="159"/>
      <c r="AE136" s="159"/>
      <c r="AF136" s="159"/>
      <c r="AG136" s="159"/>
      <c r="AH136" s="159"/>
      <c r="AI136" s="159"/>
      <c r="AJ136" s="159"/>
      <c r="AK136" s="159"/>
      <c r="AL136" s="159">
        <v>0</v>
      </c>
      <c r="AM136" s="159">
        <v>-50</v>
      </c>
      <c r="AN136" s="159">
        <v>-0.82</v>
      </c>
    </row>
    <row r="137" spans="1:40" x14ac:dyDescent="0.25">
      <c r="A137" s="241" t="s">
        <v>771</v>
      </c>
      <c r="B137" s="241">
        <v>142</v>
      </c>
      <c r="C137" s="241">
        <v>750</v>
      </c>
      <c r="D137" s="241">
        <v>1000</v>
      </c>
      <c r="E137" s="241" t="s">
        <v>55</v>
      </c>
      <c r="F137" s="241" t="s">
        <v>374</v>
      </c>
      <c r="G137" s="265">
        <v>8360000</v>
      </c>
      <c r="H137" s="250">
        <v>56.711655065979365</v>
      </c>
      <c r="I137" s="250">
        <v>22.003393815291588</v>
      </c>
      <c r="J137" s="250">
        <v>5.3216728086631244</v>
      </c>
      <c r="K137" s="250">
        <v>0.40847510639083412</v>
      </c>
      <c r="L137" s="250">
        <v>-127.82013661316495</v>
      </c>
      <c r="M137" s="250">
        <v>-113.97577374311049</v>
      </c>
      <c r="N137" s="241" t="s">
        <v>228</v>
      </c>
      <c r="O137" s="241" t="s">
        <v>230</v>
      </c>
      <c r="P137" s="241">
        <v>0</v>
      </c>
      <c r="Q137" s="241">
        <v>0</v>
      </c>
      <c r="R137" s="241"/>
      <c r="S137" s="241"/>
      <c r="T137" s="241"/>
      <c r="U137" s="241"/>
      <c r="V137" s="241"/>
      <c r="W137" s="241"/>
      <c r="X137" s="241"/>
      <c r="Y137" s="241"/>
      <c r="Z137" s="241"/>
      <c r="AA137" s="241"/>
      <c r="AB137" s="241"/>
      <c r="AC137" s="241"/>
      <c r="AD137" s="241"/>
      <c r="AE137" s="241"/>
      <c r="AF137" s="241"/>
      <c r="AG137" s="241"/>
      <c r="AH137" s="241"/>
      <c r="AI137" s="241"/>
      <c r="AJ137" s="241"/>
      <c r="AK137" s="241"/>
      <c r="AL137" s="241">
        <v>0</v>
      </c>
      <c r="AM137" s="241">
        <v>-10.199999999999999</v>
      </c>
      <c r="AN137" s="241">
        <v>-1.91</v>
      </c>
    </row>
    <row r="138" spans="1:40" x14ac:dyDescent="0.25">
      <c r="A138" s="159" t="s">
        <v>772</v>
      </c>
      <c r="B138" s="159">
        <v>143</v>
      </c>
      <c r="C138" s="159">
        <v>750</v>
      </c>
      <c r="D138" s="159">
        <v>1000</v>
      </c>
      <c r="E138" s="159" t="s">
        <v>55</v>
      </c>
      <c r="F138" s="159" t="s">
        <v>374</v>
      </c>
      <c r="G138" s="264">
        <v>8360000</v>
      </c>
      <c r="H138" s="249">
        <v>56.711655065979365</v>
      </c>
      <c r="I138" s="249">
        <v>22.003393815291588</v>
      </c>
      <c r="J138" s="249">
        <v>5.3216728086631244</v>
      </c>
      <c r="K138" s="249">
        <v>0.40847510639083412</v>
      </c>
      <c r="L138" s="249">
        <v>-127.82013661316495</v>
      </c>
      <c r="M138" s="249">
        <v>-113.97577374311049</v>
      </c>
      <c r="N138" s="159" t="s">
        <v>228</v>
      </c>
      <c r="O138" s="159" t="s">
        <v>230</v>
      </c>
      <c r="P138" s="159">
        <v>0</v>
      </c>
      <c r="Q138" s="159">
        <v>0</v>
      </c>
      <c r="R138" s="159"/>
      <c r="S138" s="159"/>
      <c r="T138" s="159"/>
      <c r="U138" s="159"/>
      <c r="V138" s="159"/>
      <c r="W138" s="159"/>
      <c r="X138" s="159"/>
      <c r="Y138" s="159"/>
      <c r="Z138" s="159"/>
      <c r="AA138" s="159"/>
      <c r="AB138" s="159"/>
      <c r="AC138" s="159"/>
      <c r="AD138" s="159"/>
      <c r="AE138" s="159"/>
      <c r="AF138" s="159"/>
      <c r="AG138" s="159"/>
      <c r="AH138" s="159"/>
      <c r="AI138" s="159"/>
      <c r="AJ138" s="159"/>
      <c r="AK138" s="159"/>
      <c r="AL138" s="159">
        <v>0</v>
      </c>
      <c r="AM138" s="159">
        <v>-9.1999999999999993</v>
      </c>
      <c r="AN138" s="159">
        <v>-1.1200000000000001</v>
      </c>
    </row>
    <row r="139" spans="1:40" x14ac:dyDescent="0.25">
      <c r="A139" s="241" t="s">
        <v>769</v>
      </c>
      <c r="B139" s="241">
        <v>144</v>
      </c>
      <c r="C139" s="241">
        <v>750</v>
      </c>
      <c r="D139" s="241">
        <v>1000</v>
      </c>
      <c r="E139" s="241" t="s">
        <v>55</v>
      </c>
      <c r="F139" s="241" t="s">
        <v>314</v>
      </c>
      <c r="G139" s="265">
        <v>8440000</v>
      </c>
      <c r="H139" s="250">
        <v>61.19404014920466</v>
      </c>
      <c r="I139" s="250">
        <v>24.606780840234084</v>
      </c>
      <c r="J139" s="250">
        <v>5.2623789417045197</v>
      </c>
      <c r="K139" s="250">
        <v>5.2496675836738271</v>
      </c>
      <c r="L139" s="250">
        <v>-128.54657983767828</v>
      </c>
      <c r="M139" s="250">
        <v>-113.97577374311049</v>
      </c>
      <c r="N139" s="241" t="s">
        <v>228</v>
      </c>
      <c r="O139" s="241" t="s">
        <v>230</v>
      </c>
      <c r="P139" s="241">
        <v>0</v>
      </c>
      <c r="Q139" s="241">
        <v>0</v>
      </c>
      <c r="R139" s="241"/>
      <c r="S139" s="241"/>
      <c r="T139" s="241"/>
      <c r="U139" s="241"/>
      <c r="V139" s="241"/>
      <c r="W139" s="241"/>
      <c r="X139" s="241"/>
      <c r="Y139" s="241"/>
      <c r="Z139" s="241"/>
      <c r="AA139" s="241"/>
      <c r="AB139" s="241"/>
      <c r="AC139" s="241"/>
      <c r="AD139" s="241"/>
      <c r="AE139" s="241"/>
      <c r="AF139" s="241"/>
      <c r="AG139" s="241"/>
      <c r="AH139" s="241"/>
      <c r="AI139" s="241"/>
      <c r="AJ139" s="241"/>
      <c r="AK139" s="241"/>
      <c r="AL139" s="241">
        <v>0</v>
      </c>
      <c r="AM139" s="241">
        <v>-8.1999999999999993</v>
      </c>
      <c r="AN139" s="241">
        <v>-0.78</v>
      </c>
    </row>
    <row r="140" spans="1:40" x14ac:dyDescent="0.25">
      <c r="A140" s="159" t="s">
        <v>770</v>
      </c>
      <c r="B140" s="159">
        <v>145</v>
      </c>
      <c r="C140" s="159">
        <v>750</v>
      </c>
      <c r="D140" s="159">
        <v>1000</v>
      </c>
      <c r="E140" s="159" t="s">
        <v>55</v>
      </c>
      <c r="F140" s="159" t="s">
        <v>314</v>
      </c>
      <c r="G140" s="264">
        <v>8440000</v>
      </c>
      <c r="H140" s="249">
        <v>61.19404014920466</v>
      </c>
      <c r="I140" s="249">
        <v>24.606780840234084</v>
      </c>
      <c r="J140" s="249">
        <v>5.2623789417045197</v>
      </c>
      <c r="K140" s="249">
        <v>5.2496675836738271</v>
      </c>
      <c r="L140" s="249">
        <v>-128.54657983767828</v>
      </c>
      <c r="M140" s="249">
        <v>-113.97577374311049</v>
      </c>
      <c r="N140" s="159" t="s">
        <v>228</v>
      </c>
      <c r="O140" s="159" t="s">
        <v>230</v>
      </c>
      <c r="P140" s="159">
        <v>0</v>
      </c>
      <c r="Q140" s="159">
        <v>0</v>
      </c>
      <c r="R140" s="159"/>
      <c r="S140" s="159"/>
      <c r="T140" s="159"/>
      <c r="U140" s="159"/>
      <c r="V140" s="159"/>
      <c r="W140" s="159"/>
      <c r="X140" s="159"/>
      <c r="Y140" s="159"/>
      <c r="Z140" s="159"/>
      <c r="AA140" s="159"/>
      <c r="AB140" s="159"/>
      <c r="AC140" s="159"/>
      <c r="AD140" s="159"/>
      <c r="AE140" s="159"/>
      <c r="AF140" s="159"/>
      <c r="AG140" s="159"/>
      <c r="AH140" s="159"/>
      <c r="AI140" s="159"/>
      <c r="AJ140" s="159"/>
      <c r="AK140" s="159"/>
      <c r="AL140" s="159">
        <v>0</v>
      </c>
      <c r="AM140" s="159">
        <v>-12.2</v>
      </c>
      <c r="AN140" s="159">
        <v>-0.81</v>
      </c>
    </row>
    <row r="141" spans="1:40" x14ac:dyDescent="0.25">
      <c r="A141" s="241" t="s">
        <v>775</v>
      </c>
      <c r="B141" s="241">
        <v>146</v>
      </c>
      <c r="C141" s="241">
        <v>750</v>
      </c>
      <c r="D141" s="241">
        <v>1000</v>
      </c>
      <c r="E141" s="241" t="s">
        <v>55</v>
      </c>
      <c r="F141" s="241" t="s">
        <v>250</v>
      </c>
      <c r="G141" s="265">
        <v>7940000</v>
      </c>
      <c r="H141" s="250">
        <v>29.200153541220722</v>
      </c>
      <c r="I141" s="250">
        <v>20.404913556076234</v>
      </c>
      <c r="J141" s="250">
        <v>9.2384490484260895E-2</v>
      </c>
      <c r="K141" s="250">
        <v>47.262631633311479</v>
      </c>
      <c r="L141" s="250">
        <v>-133.88386586153456</v>
      </c>
      <c r="M141" s="250">
        <v>-113.97577374311049</v>
      </c>
      <c r="N141" s="241" t="s">
        <v>228</v>
      </c>
      <c r="O141" s="241" t="s">
        <v>230</v>
      </c>
      <c r="P141" s="241">
        <v>0</v>
      </c>
      <c r="Q141" s="241">
        <v>0</v>
      </c>
      <c r="R141" s="241"/>
      <c r="S141" s="241"/>
      <c r="T141" s="241"/>
      <c r="U141" s="241"/>
      <c r="V141" s="241"/>
      <c r="W141" s="241"/>
      <c r="X141" s="241"/>
      <c r="Y141" s="241"/>
      <c r="Z141" s="241"/>
      <c r="AA141" s="241"/>
      <c r="AB141" s="241"/>
      <c r="AC141" s="241"/>
      <c r="AD141" s="241"/>
      <c r="AE141" s="241"/>
      <c r="AF141" s="241"/>
      <c r="AG141" s="241"/>
      <c r="AH141" s="241"/>
      <c r="AI141" s="241"/>
      <c r="AJ141" s="241"/>
      <c r="AK141" s="241"/>
      <c r="AL141" s="241">
        <v>0</v>
      </c>
      <c r="AM141" s="241">
        <v>-115</v>
      </c>
      <c r="AN141" s="241">
        <v>-1.94</v>
      </c>
    </row>
    <row r="142" spans="1:40" x14ac:dyDescent="0.25">
      <c r="A142" s="159" t="s">
        <v>776</v>
      </c>
      <c r="B142" s="159">
        <v>147</v>
      </c>
      <c r="C142" s="159">
        <v>750</v>
      </c>
      <c r="D142" s="159">
        <v>1000</v>
      </c>
      <c r="E142" s="159" t="s">
        <v>55</v>
      </c>
      <c r="F142" s="159" t="s">
        <v>250</v>
      </c>
      <c r="G142" s="264">
        <v>7940000</v>
      </c>
      <c r="H142" s="249">
        <v>29.200153541220722</v>
      </c>
      <c r="I142" s="249">
        <v>20.404913556076234</v>
      </c>
      <c r="J142" s="249">
        <v>9.2384490484260895E-2</v>
      </c>
      <c r="K142" s="249">
        <v>47.262631633311479</v>
      </c>
      <c r="L142" s="249">
        <v>-133.88386586153456</v>
      </c>
      <c r="M142" s="249">
        <v>-113.97577374311049</v>
      </c>
      <c r="N142" s="159" t="s">
        <v>228</v>
      </c>
      <c r="O142" s="159" t="s">
        <v>230</v>
      </c>
      <c r="P142" s="159">
        <v>0</v>
      </c>
      <c r="Q142" s="159">
        <v>0</v>
      </c>
      <c r="R142" s="159"/>
      <c r="S142" s="159"/>
      <c r="T142" s="159"/>
      <c r="U142" s="159"/>
      <c r="V142" s="159"/>
      <c r="W142" s="159"/>
      <c r="X142" s="159"/>
      <c r="Y142" s="159"/>
      <c r="Z142" s="159"/>
      <c r="AA142" s="159"/>
      <c r="AB142" s="159"/>
      <c r="AC142" s="159"/>
      <c r="AD142" s="159"/>
      <c r="AE142" s="159"/>
      <c r="AF142" s="159"/>
      <c r="AG142" s="159"/>
      <c r="AH142" s="159"/>
      <c r="AI142" s="159"/>
      <c r="AJ142" s="159"/>
      <c r="AK142" s="159"/>
      <c r="AL142" s="159">
        <v>0</v>
      </c>
      <c r="AM142" s="159">
        <v>-95</v>
      </c>
      <c r="AN142" s="159">
        <v>-1.49</v>
      </c>
    </row>
    <row r="143" spans="1:40" x14ac:dyDescent="0.25">
      <c r="A143" s="241" t="s">
        <v>761</v>
      </c>
      <c r="B143" s="241">
        <v>148</v>
      </c>
      <c r="C143" s="241">
        <v>750</v>
      </c>
      <c r="D143" s="241">
        <v>1000</v>
      </c>
      <c r="E143" s="241" t="s">
        <v>55</v>
      </c>
      <c r="F143" s="241" t="s">
        <v>275</v>
      </c>
      <c r="G143" s="265">
        <v>9220000</v>
      </c>
      <c r="H143" s="250">
        <v>76.053821732280369</v>
      </c>
      <c r="I143" s="250">
        <v>1.9159240291852062</v>
      </c>
      <c r="J143" s="250">
        <v>18.32603338396229</v>
      </c>
      <c r="K143" s="250">
        <v>2.793134310087654</v>
      </c>
      <c r="L143" s="250">
        <v>-120.06127468656241</v>
      </c>
      <c r="M143" s="250">
        <v>-113.97577374311049</v>
      </c>
      <c r="N143" s="241" t="s">
        <v>228</v>
      </c>
      <c r="O143" s="241" t="s">
        <v>230</v>
      </c>
      <c r="P143" s="241">
        <v>0</v>
      </c>
      <c r="Q143" s="241">
        <v>0</v>
      </c>
      <c r="R143" s="241"/>
      <c r="S143" s="241"/>
      <c r="T143" s="241"/>
      <c r="U143" s="241"/>
      <c r="V143" s="241"/>
      <c r="W143" s="241"/>
      <c r="X143" s="241"/>
      <c r="Y143" s="241"/>
      <c r="Z143" s="241"/>
      <c r="AA143" s="241"/>
      <c r="AB143" s="241"/>
      <c r="AC143" s="241"/>
      <c r="AD143" s="241"/>
      <c r="AE143" s="241"/>
      <c r="AF143" s="241"/>
      <c r="AG143" s="241"/>
      <c r="AH143" s="241"/>
      <c r="AI143" s="241"/>
      <c r="AJ143" s="241"/>
      <c r="AK143" s="241"/>
      <c r="AL143" s="241">
        <v>0</v>
      </c>
      <c r="AM143" s="241">
        <v>-14.3</v>
      </c>
      <c r="AN143" s="241">
        <v>-2.42</v>
      </c>
    </row>
    <row r="144" spans="1:40" x14ac:dyDescent="0.25">
      <c r="A144" s="159" t="s">
        <v>762</v>
      </c>
      <c r="B144" s="159">
        <v>149</v>
      </c>
      <c r="C144" s="159">
        <v>750</v>
      </c>
      <c r="D144" s="159">
        <v>1000</v>
      </c>
      <c r="E144" s="159" t="s">
        <v>55</v>
      </c>
      <c r="F144" s="159" t="s">
        <v>275</v>
      </c>
      <c r="G144" s="264">
        <v>9220000</v>
      </c>
      <c r="H144" s="249">
        <v>76.053821732280369</v>
      </c>
      <c r="I144" s="249">
        <v>1.9159240291852062</v>
      </c>
      <c r="J144" s="249">
        <v>18.32603338396229</v>
      </c>
      <c r="K144" s="249">
        <v>2.793134310087654</v>
      </c>
      <c r="L144" s="249">
        <v>-120.06127468656241</v>
      </c>
      <c r="M144" s="249">
        <v>-113.97577374311049</v>
      </c>
      <c r="N144" s="159" t="s">
        <v>228</v>
      </c>
      <c r="O144" s="159" t="s">
        <v>230</v>
      </c>
      <c r="P144" s="159">
        <v>0</v>
      </c>
      <c r="Q144" s="159">
        <v>0</v>
      </c>
      <c r="R144" s="159"/>
      <c r="S144" s="159"/>
      <c r="T144" s="159"/>
      <c r="U144" s="159"/>
      <c r="V144" s="159"/>
      <c r="W144" s="159"/>
      <c r="X144" s="159"/>
      <c r="Y144" s="159"/>
      <c r="Z144" s="159"/>
      <c r="AA144" s="159"/>
      <c r="AB144" s="159"/>
      <c r="AC144" s="159"/>
      <c r="AD144" s="159"/>
      <c r="AE144" s="159"/>
      <c r="AF144" s="159"/>
      <c r="AG144" s="159"/>
      <c r="AH144" s="159"/>
      <c r="AI144" s="159"/>
      <c r="AJ144" s="159"/>
      <c r="AK144" s="159"/>
      <c r="AL144" s="159">
        <v>0</v>
      </c>
      <c r="AM144" s="159">
        <v>-16.5</v>
      </c>
      <c r="AN144" s="159">
        <v>-2.76</v>
      </c>
    </row>
    <row r="145" spans="1:40" x14ac:dyDescent="0.25">
      <c r="A145" s="241" t="s">
        <v>765</v>
      </c>
      <c r="B145" s="241">
        <v>150</v>
      </c>
      <c r="C145" s="241">
        <v>750</v>
      </c>
      <c r="D145" s="241">
        <v>1000</v>
      </c>
      <c r="E145" s="241" t="s">
        <v>55</v>
      </c>
      <c r="F145" s="241" t="s">
        <v>308</v>
      </c>
      <c r="G145" s="265">
        <v>8890000</v>
      </c>
      <c r="H145" s="250">
        <v>61.763798642113969</v>
      </c>
      <c r="I145" s="250">
        <v>18.33839435190664</v>
      </c>
      <c r="J145" s="250">
        <v>10.054731884320523</v>
      </c>
      <c r="K145" s="250">
        <v>6.0235692254010607</v>
      </c>
      <c r="L145" s="250">
        <v>-125.78027967726467</v>
      </c>
      <c r="M145" s="250">
        <v>-113.97577374311049</v>
      </c>
      <c r="N145" s="241" t="s">
        <v>228</v>
      </c>
      <c r="O145" s="241" t="s">
        <v>230</v>
      </c>
      <c r="P145" s="241">
        <v>0</v>
      </c>
      <c r="Q145" s="241">
        <v>0</v>
      </c>
      <c r="R145" s="241"/>
      <c r="S145" s="241"/>
      <c r="T145" s="241"/>
      <c r="U145" s="241"/>
      <c r="V145" s="241"/>
      <c r="W145" s="241"/>
      <c r="X145" s="241"/>
      <c r="Y145" s="241"/>
      <c r="Z145" s="241"/>
      <c r="AA145" s="241"/>
      <c r="AB145" s="241"/>
      <c r="AC145" s="241"/>
      <c r="AD145" s="241"/>
      <c r="AE145" s="241"/>
      <c r="AF145" s="241"/>
      <c r="AG145" s="241"/>
      <c r="AH145" s="241"/>
      <c r="AI145" s="241"/>
      <c r="AJ145" s="241"/>
      <c r="AK145" s="241"/>
      <c r="AL145" s="241">
        <v>0</v>
      </c>
      <c r="AM145" s="241">
        <v>-9.1999999999999993</v>
      </c>
      <c r="AN145" s="241">
        <v>-1.23</v>
      </c>
    </row>
    <row r="146" spans="1:40" x14ac:dyDescent="0.25">
      <c r="A146" s="159" t="s">
        <v>766</v>
      </c>
      <c r="B146" s="159">
        <v>151</v>
      </c>
      <c r="C146" s="159">
        <v>750</v>
      </c>
      <c r="D146" s="159">
        <v>1000</v>
      </c>
      <c r="E146" s="159" t="s">
        <v>55</v>
      </c>
      <c r="F146" s="159" t="s">
        <v>308</v>
      </c>
      <c r="G146" s="264">
        <v>8890000</v>
      </c>
      <c r="H146" s="249">
        <v>61.763798642113969</v>
      </c>
      <c r="I146" s="249">
        <v>18.33839435190664</v>
      </c>
      <c r="J146" s="249">
        <v>10.054731884320523</v>
      </c>
      <c r="K146" s="249">
        <v>6.0235692254010607</v>
      </c>
      <c r="L146" s="249">
        <v>-125.78027967726467</v>
      </c>
      <c r="M146" s="249">
        <v>-113.97577374311049</v>
      </c>
      <c r="N146" s="159" t="s">
        <v>228</v>
      </c>
      <c r="O146" s="159" t="s">
        <v>230</v>
      </c>
      <c r="P146" s="159">
        <v>0</v>
      </c>
      <c r="Q146" s="159">
        <v>0</v>
      </c>
      <c r="R146" s="159"/>
      <c r="S146" s="159"/>
      <c r="T146" s="159"/>
      <c r="U146" s="159"/>
      <c r="V146" s="159"/>
      <c r="W146" s="159"/>
      <c r="X146" s="159"/>
      <c r="Y146" s="159"/>
      <c r="Z146" s="159"/>
      <c r="AA146" s="159"/>
      <c r="AB146" s="159"/>
      <c r="AC146" s="159"/>
      <c r="AD146" s="159"/>
      <c r="AE146" s="159"/>
      <c r="AF146" s="159"/>
      <c r="AG146" s="159"/>
      <c r="AH146" s="159"/>
      <c r="AI146" s="159"/>
      <c r="AJ146" s="159"/>
      <c r="AK146" s="159"/>
      <c r="AL146" s="159">
        <v>0</v>
      </c>
      <c r="AM146" s="159">
        <v>-7.2</v>
      </c>
      <c r="AN146" s="159">
        <v>-0.88</v>
      </c>
    </row>
    <row r="147" spans="1:40" x14ac:dyDescent="0.25">
      <c r="A147" s="241" t="s">
        <v>758</v>
      </c>
      <c r="B147" s="241">
        <v>152</v>
      </c>
      <c r="C147" s="241">
        <v>750</v>
      </c>
      <c r="D147" s="241">
        <v>1000</v>
      </c>
      <c r="E147" s="241" t="s">
        <v>55</v>
      </c>
      <c r="F147" s="241" t="s">
        <v>239</v>
      </c>
      <c r="G147" s="265">
        <v>8860000</v>
      </c>
      <c r="H147" s="250">
        <v>75.104085553752611</v>
      </c>
      <c r="I147" s="250">
        <v>8.9384100002309363</v>
      </c>
      <c r="J147" s="250">
        <v>10.105425037917881</v>
      </c>
      <c r="K147" s="250">
        <v>4.873983460376242</v>
      </c>
      <c r="L147" s="250">
        <v>-122.94928422989216</v>
      </c>
      <c r="M147" s="250">
        <v>-113.97577374311049</v>
      </c>
      <c r="N147" s="241" t="s">
        <v>228</v>
      </c>
      <c r="O147" s="241" t="s">
        <v>230</v>
      </c>
      <c r="P147" s="241">
        <v>0</v>
      </c>
      <c r="Q147" s="241">
        <v>0</v>
      </c>
      <c r="R147" s="241"/>
      <c r="S147" s="241"/>
      <c r="T147" s="241"/>
      <c r="U147" s="241"/>
      <c r="V147" s="241"/>
      <c r="W147" s="241"/>
      <c r="X147" s="241"/>
      <c r="Y147" s="241"/>
      <c r="Z147" s="241"/>
      <c r="AA147" s="241"/>
      <c r="AB147" s="241"/>
      <c r="AC147" s="241"/>
      <c r="AD147" s="241"/>
      <c r="AE147" s="241"/>
      <c r="AF147" s="241"/>
      <c r="AG147" s="241"/>
      <c r="AH147" s="241"/>
      <c r="AI147" s="241"/>
      <c r="AJ147" s="241"/>
      <c r="AK147" s="241"/>
      <c r="AL147" s="241">
        <v>0</v>
      </c>
      <c r="AM147" s="241">
        <v>-6.1</v>
      </c>
      <c r="AN147" s="241">
        <v>-0.72</v>
      </c>
    </row>
    <row r="148" spans="1:40" x14ac:dyDescent="0.25">
      <c r="A148" s="159" t="s">
        <v>767</v>
      </c>
      <c r="B148" s="159">
        <v>153</v>
      </c>
      <c r="C148" s="159">
        <v>750</v>
      </c>
      <c r="D148" s="159">
        <v>1000</v>
      </c>
      <c r="E148" s="159" t="s">
        <v>55</v>
      </c>
      <c r="F148" s="159" t="s">
        <v>371</v>
      </c>
      <c r="G148" s="264">
        <v>8960000</v>
      </c>
      <c r="H148" s="249">
        <v>67.460291182954194</v>
      </c>
      <c r="I148" s="249">
        <v>25.112616870147946</v>
      </c>
      <c r="J148" s="249">
        <v>0.80939338794788296</v>
      </c>
      <c r="K148" s="249">
        <v>1.1871645010641569</v>
      </c>
      <c r="L148" s="249">
        <v>-127.72289768063038</v>
      </c>
      <c r="M148" s="249">
        <v>-113.97577374311049</v>
      </c>
      <c r="N148" s="159" t="s">
        <v>228</v>
      </c>
      <c r="O148" s="159" t="s">
        <v>230</v>
      </c>
      <c r="P148" s="159">
        <v>0</v>
      </c>
      <c r="Q148" s="159">
        <v>0</v>
      </c>
      <c r="R148" s="159"/>
      <c r="S148" s="159"/>
      <c r="T148" s="159"/>
      <c r="U148" s="159"/>
      <c r="V148" s="159"/>
      <c r="W148" s="159"/>
      <c r="X148" s="159"/>
      <c r="Y148" s="159"/>
      <c r="Z148" s="159"/>
      <c r="AA148" s="159"/>
      <c r="AB148" s="159"/>
      <c r="AC148" s="159"/>
      <c r="AD148" s="159"/>
      <c r="AE148" s="159"/>
      <c r="AF148" s="159"/>
      <c r="AG148" s="159"/>
      <c r="AH148" s="159"/>
      <c r="AI148" s="159"/>
      <c r="AJ148" s="159"/>
      <c r="AK148" s="159"/>
      <c r="AL148" s="159">
        <v>0</v>
      </c>
      <c r="AM148" s="159">
        <v>-16.3</v>
      </c>
      <c r="AN148" s="159">
        <v>-1.05</v>
      </c>
    </row>
    <row r="149" spans="1:40" x14ac:dyDescent="0.25">
      <c r="A149" s="241" t="s">
        <v>768</v>
      </c>
      <c r="B149" s="241">
        <v>154</v>
      </c>
      <c r="C149" s="241">
        <v>750</v>
      </c>
      <c r="D149" s="241">
        <v>1000</v>
      </c>
      <c r="E149" s="241" t="s">
        <v>55</v>
      </c>
      <c r="F149" s="241" t="s">
        <v>371</v>
      </c>
      <c r="G149" s="265">
        <v>8960000</v>
      </c>
      <c r="H149" s="250">
        <v>67.460291182954194</v>
      </c>
      <c r="I149" s="250">
        <v>25.112616870147946</v>
      </c>
      <c r="J149" s="250">
        <v>0.80939338794788296</v>
      </c>
      <c r="K149" s="250">
        <v>1.1871645010641569</v>
      </c>
      <c r="L149" s="250">
        <v>-127.72289768063038</v>
      </c>
      <c r="M149" s="250">
        <v>-113.97577374311049</v>
      </c>
      <c r="N149" s="241" t="s">
        <v>228</v>
      </c>
      <c r="O149" s="241" t="s">
        <v>230</v>
      </c>
      <c r="P149" s="241">
        <v>0</v>
      </c>
      <c r="Q149" s="241">
        <v>0</v>
      </c>
      <c r="R149" s="241"/>
      <c r="S149" s="241"/>
      <c r="T149" s="241"/>
      <c r="U149" s="241"/>
      <c r="V149" s="241"/>
      <c r="W149" s="241"/>
      <c r="X149" s="241"/>
      <c r="Y149" s="241"/>
      <c r="Z149" s="241"/>
      <c r="AA149" s="241"/>
      <c r="AB149" s="241"/>
      <c r="AC149" s="241"/>
      <c r="AD149" s="241"/>
      <c r="AE149" s="241"/>
      <c r="AF149" s="241"/>
      <c r="AG149" s="241"/>
      <c r="AH149" s="241"/>
      <c r="AI149" s="241"/>
      <c r="AJ149" s="241"/>
      <c r="AK149" s="241"/>
      <c r="AL149" s="241">
        <v>0</v>
      </c>
      <c r="AM149" s="241">
        <v>-11.4</v>
      </c>
      <c r="AN149" s="241">
        <v>-1.04</v>
      </c>
    </row>
    <row r="150" spans="1:40" x14ac:dyDescent="0.25">
      <c r="A150" s="159" t="s">
        <v>763</v>
      </c>
      <c r="B150" s="159">
        <v>155</v>
      </c>
      <c r="C150" s="159">
        <v>750</v>
      </c>
      <c r="D150" s="159">
        <v>1000</v>
      </c>
      <c r="E150" s="159" t="s">
        <v>55</v>
      </c>
      <c r="F150" s="159" t="s">
        <v>281</v>
      </c>
      <c r="G150" s="264">
        <v>9050000</v>
      </c>
      <c r="H150" s="249">
        <v>71.538595301864788</v>
      </c>
      <c r="I150" s="249">
        <v>10.47094043493461</v>
      </c>
      <c r="J150" s="249">
        <v>15.998619783551343</v>
      </c>
      <c r="K150" s="249">
        <v>1.5175532327450372</v>
      </c>
      <c r="L150" s="249">
        <v>-122.30320349979108</v>
      </c>
      <c r="M150" s="249">
        <v>-113.97577374311049</v>
      </c>
      <c r="N150" s="159" t="s">
        <v>228</v>
      </c>
      <c r="O150" s="159" t="s">
        <v>230</v>
      </c>
      <c r="P150" s="159">
        <v>0</v>
      </c>
      <c r="Q150" s="159">
        <v>0</v>
      </c>
      <c r="R150" s="159"/>
      <c r="S150" s="159"/>
      <c r="T150" s="159"/>
      <c r="U150" s="159"/>
      <c r="V150" s="159"/>
      <c r="W150" s="159"/>
      <c r="X150" s="159"/>
      <c r="Y150" s="159"/>
      <c r="Z150" s="159"/>
      <c r="AA150" s="159"/>
      <c r="AB150" s="159"/>
      <c r="AC150" s="159"/>
      <c r="AD150" s="159"/>
      <c r="AE150" s="159"/>
      <c r="AF150" s="159"/>
      <c r="AG150" s="159"/>
      <c r="AH150" s="159"/>
      <c r="AI150" s="159"/>
      <c r="AJ150" s="159"/>
      <c r="AK150" s="159"/>
      <c r="AL150" s="159">
        <v>0</v>
      </c>
      <c r="AM150" s="159">
        <v>-14.3</v>
      </c>
      <c r="AN150" s="159">
        <v>-1.89</v>
      </c>
    </row>
    <row r="151" spans="1:40" x14ac:dyDescent="0.25">
      <c r="A151" s="241" t="s">
        <v>764</v>
      </c>
      <c r="B151" s="241">
        <v>156</v>
      </c>
      <c r="C151" s="241">
        <v>750</v>
      </c>
      <c r="D151" s="241">
        <v>1000</v>
      </c>
      <c r="E151" s="241" t="s">
        <v>55</v>
      </c>
      <c r="F151" s="241" t="s">
        <v>281</v>
      </c>
      <c r="G151" s="265">
        <v>9050000</v>
      </c>
      <c r="H151" s="250">
        <v>71.538595301864788</v>
      </c>
      <c r="I151" s="250">
        <v>10.47094043493461</v>
      </c>
      <c r="J151" s="250">
        <v>15.998619783551343</v>
      </c>
      <c r="K151" s="250">
        <v>1.5175532327450372</v>
      </c>
      <c r="L151" s="250">
        <v>-122.30320349979108</v>
      </c>
      <c r="M151" s="250">
        <v>-113.97577374311049</v>
      </c>
      <c r="N151" s="241" t="s">
        <v>228</v>
      </c>
      <c r="O151" s="241" t="s">
        <v>230</v>
      </c>
      <c r="P151" s="241">
        <v>0</v>
      </c>
      <c r="Q151" s="241">
        <v>0</v>
      </c>
      <c r="R151" s="241"/>
      <c r="S151" s="241"/>
      <c r="T151" s="241"/>
      <c r="U151" s="241"/>
      <c r="V151" s="241"/>
      <c r="W151" s="241"/>
      <c r="X151" s="241"/>
      <c r="Y151" s="241"/>
      <c r="Z151" s="241"/>
      <c r="AA151" s="241"/>
      <c r="AB151" s="241"/>
      <c r="AC151" s="241"/>
      <c r="AD151" s="241"/>
      <c r="AE151" s="241"/>
      <c r="AF151" s="241"/>
      <c r="AG151" s="241"/>
      <c r="AH151" s="241"/>
      <c r="AI151" s="241"/>
      <c r="AJ151" s="241"/>
      <c r="AK151" s="241"/>
      <c r="AL151" s="241">
        <v>0</v>
      </c>
      <c r="AM151" s="241">
        <v>-12.3</v>
      </c>
      <c r="AN151" s="241">
        <v>-1.08</v>
      </c>
    </row>
    <row r="152" spans="1:40" x14ac:dyDescent="0.25">
      <c r="A152" s="159" t="s">
        <v>759</v>
      </c>
      <c r="B152" s="159">
        <v>157</v>
      </c>
      <c r="C152" s="159">
        <v>750</v>
      </c>
      <c r="D152" s="159">
        <v>1000</v>
      </c>
      <c r="E152" s="159" t="s">
        <v>55</v>
      </c>
      <c r="F152" s="159" t="s">
        <v>385</v>
      </c>
      <c r="G152" s="264">
        <v>9330000</v>
      </c>
      <c r="H152" s="249">
        <v>70.452935159948666</v>
      </c>
      <c r="I152" s="249">
        <v>10.592915558890205</v>
      </c>
      <c r="J152" s="249">
        <v>15.279625626775232</v>
      </c>
      <c r="K152" s="249">
        <v>1.3625000936269027</v>
      </c>
      <c r="L152" s="249">
        <v>-122.41608632182822</v>
      </c>
      <c r="M152" s="249">
        <v>-113.97577374311049</v>
      </c>
      <c r="N152" s="159" t="s">
        <v>228</v>
      </c>
      <c r="O152" s="159" t="s">
        <v>230</v>
      </c>
      <c r="P152" s="159">
        <v>0</v>
      </c>
      <c r="Q152" s="159">
        <v>0</v>
      </c>
      <c r="R152" s="159"/>
      <c r="S152" s="159"/>
      <c r="T152" s="159"/>
      <c r="U152" s="159"/>
      <c r="V152" s="159"/>
      <c r="W152" s="159"/>
      <c r="X152" s="159"/>
      <c r="Y152" s="159"/>
      <c r="Z152" s="159"/>
      <c r="AA152" s="159"/>
      <c r="AB152" s="159"/>
      <c r="AC152" s="159"/>
      <c r="AD152" s="159"/>
      <c r="AE152" s="159"/>
      <c r="AF152" s="159"/>
      <c r="AG152" s="159"/>
      <c r="AH152" s="159"/>
      <c r="AI152" s="159"/>
      <c r="AJ152" s="159"/>
      <c r="AK152" s="159"/>
      <c r="AL152" s="159">
        <v>0</v>
      </c>
      <c r="AM152" s="159">
        <v>-16.3</v>
      </c>
      <c r="AN152" s="159">
        <v>-1.06</v>
      </c>
    </row>
    <row r="153" spans="1:40" ht="16.5" thickBot="1" x14ac:dyDescent="0.3">
      <c r="A153" s="242" t="s">
        <v>760</v>
      </c>
      <c r="B153" s="242">
        <v>158</v>
      </c>
      <c r="C153" s="242">
        <v>750</v>
      </c>
      <c r="D153" s="242">
        <v>1000</v>
      </c>
      <c r="E153" s="242" t="s">
        <v>55</v>
      </c>
      <c r="F153" s="242" t="s">
        <v>385</v>
      </c>
      <c r="G153" s="266">
        <v>9330000</v>
      </c>
      <c r="H153" s="251">
        <v>70.452935159948666</v>
      </c>
      <c r="I153" s="251">
        <v>10.592915558890205</v>
      </c>
      <c r="J153" s="251">
        <v>15.279625626775232</v>
      </c>
      <c r="K153" s="251">
        <v>1.3625000936269027</v>
      </c>
      <c r="L153" s="251">
        <v>-122.41608632182822</v>
      </c>
      <c r="M153" s="251">
        <v>-113.97577374311049</v>
      </c>
      <c r="N153" s="242" t="s">
        <v>228</v>
      </c>
      <c r="O153" s="242" t="s">
        <v>230</v>
      </c>
      <c r="P153" s="242">
        <v>0</v>
      </c>
      <c r="Q153" s="242">
        <v>0</v>
      </c>
      <c r="R153" s="242"/>
      <c r="S153" s="242"/>
      <c r="T153" s="242"/>
      <c r="U153" s="242"/>
      <c r="V153" s="242"/>
      <c r="W153" s="242"/>
      <c r="X153" s="242"/>
      <c r="Y153" s="242"/>
      <c r="Z153" s="242"/>
      <c r="AA153" s="242"/>
      <c r="AB153" s="242"/>
      <c r="AC153" s="242"/>
      <c r="AD153" s="242"/>
      <c r="AE153" s="242"/>
      <c r="AF153" s="242"/>
      <c r="AG153" s="242"/>
      <c r="AH153" s="242"/>
      <c r="AI153" s="242"/>
      <c r="AJ153" s="242"/>
      <c r="AK153" s="242"/>
      <c r="AL153" s="242">
        <v>0</v>
      </c>
      <c r="AM153" s="242">
        <v>-13.3</v>
      </c>
      <c r="AN153" s="242">
        <v>-1.73</v>
      </c>
    </row>
    <row r="154" spans="1:40" x14ac:dyDescent="0.25">
      <c r="A154" s="241" t="s">
        <v>781</v>
      </c>
      <c r="B154" s="241">
        <v>159</v>
      </c>
      <c r="C154" s="241">
        <v>500</v>
      </c>
      <c r="D154" s="241">
        <v>1000</v>
      </c>
      <c r="E154" s="241" t="s">
        <v>876</v>
      </c>
      <c r="F154" s="241" t="s">
        <v>876</v>
      </c>
      <c r="G154" s="265">
        <v>7980000</v>
      </c>
      <c r="H154" s="250">
        <v>11.995047133831507</v>
      </c>
      <c r="I154" s="250">
        <v>18.350432415000672</v>
      </c>
      <c r="J154" s="250">
        <v>1.1879440439435425</v>
      </c>
      <c r="K154" s="250">
        <v>65.606741169346421</v>
      </c>
      <c r="L154" s="250">
        <v>-143.76990344322454</v>
      </c>
      <c r="M154" s="250">
        <v>-143.76990344322454</v>
      </c>
      <c r="N154" s="241" t="s">
        <v>228</v>
      </c>
      <c r="O154" s="241" t="s">
        <v>230</v>
      </c>
      <c r="P154" s="241">
        <v>0</v>
      </c>
      <c r="Q154" s="241">
        <v>0</v>
      </c>
      <c r="R154" s="241">
        <v>70</v>
      </c>
      <c r="S154" s="241"/>
      <c r="T154" s="241"/>
      <c r="U154" s="241"/>
      <c r="V154" s="241"/>
      <c r="W154" s="241">
        <v>16</v>
      </c>
      <c r="X154" s="241">
        <v>5</v>
      </c>
      <c r="Y154" s="241"/>
      <c r="Z154" s="241">
        <v>1</v>
      </c>
      <c r="AA154" s="241"/>
      <c r="AB154" s="241"/>
      <c r="AC154" s="241"/>
      <c r="AD154" s="241"/>
      <c r="AE154" s="241"/>
      <c r="AF154" s="241"/>
      <c r="AG154" s="241">
        <v>1</v>
      </c>
      <c r="AH154" s="241">
        <v>1</v>
      </c>
      <c r="AI154" s="241"/>
      <c r="AJ154" s="241"/>
      <c r="AK154" s="241"/>
      <c r="AL154" s="241">
        <v>0</v>
      </c>
      <c r="AM154" s="241">
        <v>-0.37</v>
      </c>
      <c r="AN154" s="241">
        <v>-0.29699999999999999</v>
      </c>
    </row>
    <row r="155" spans="1:40" x14ac:dyDescent="0.25">
      <c r="A155" s="159" t="s">
        <v>782</v>
      </c>
      <c r="B155" s="159">
        <v>160</v>
      </c>
      <c r="C155" s="159">
        <v>600</v>
      </c>
      <c r="D155" s="159">
        <v>1000</v>
      </c>
      <c r="E155" s="159" t="s">
        <v>876</v>
      </c>
      <c r="F155" s="159" t="s">
        <v>876</v>
      </c>
      <c r="G155" s="264">
        <v>7980000</v>
      </c>
      <c r="H155" s="249">
        <v>11.995047133831507</v>
      </c>
      <c r="I155" s="249">
        <v>18.350432415000672</v>
      </c>
      <c r="J155" s="249">
        <v>1.1879440439435425</v>
      </c>
      <c r="K155" s="249">
        <v>65.606741169346421</v>
      </c>
      <c r="L155" s="249">
        <v>-140.5186477559443</v>
      </c>
      <c r="M155" s="249">
        <v>-140.5186477559443</v>
      </c>
      <c r="N155" s="159" t="s">
        <v>228</v>
      </c>
      <c r="O155" s="159" t="s">
        <v>230</v>
      </c>
      <c r="P155" s="159">
        <v>0</v>
      </c>
      <c r="Q155" s="159">
        <v>0</v>
      </c>
      <c r="R155" s="159">
        <v>70</v>
      </c>
      <c r="S155" s="159"/>
      <c r="T155" s="159"/>
      <c r="U155" s="159"/>
      <c r="V155" s="159"/>
      <c r="W155" s="159">
        <v>16</v>
      </c>
      <c r="X155" s="159">
        <v>5</v>
      </c>
      <c r="Y155" s="159"/>
      <c r="Z155" s="159">
        <v>1</v>
      </c>
      <c r="AA155" s="159"/>
      <c r="AB155" s="159"/>
      <c r="AC155" s="159"/>
      <c r="AD155" s="159"/>
      <c r="AE155" s="159"/>
      <c r="AF155" s="159"/>
      <c r="AG155" s="159">
        <v>1</v>
      </c>
      <c r="AH155" s="159">
        <v>1</v>
      </c>
      <c r="AI155" s="159"/>
      <c r="AJ155" s="159"/>
      <c r="AK155" s="159"/>
      <c r="AL155" s="159">
        <v>0</v>
      </c>
      <c r="AM155" s="159">
        <v>-0.62</v>
      </c>
      <c r="AN155" s="159">
        <v>-0.49399999999999999</v>
      </c>
    </row>
    <row r="156" spans="1:40" x14ac:dyDescent="0.25">
      <c r="A156" s="241" t="s">
        <v>783</v>
      </c>
      <c r="B156" s="241">
        <v>161</v>
      </c>
      <c r="C156" s="241">
        <v>500</v>
      </c>
      <c r="D156" s="241">
        <v>1000</v>
      </c>
      <c r="E156" s="241" t="s">
        <v>876</v>
      </c>
      <c r="F156" s="241" t="s">
        <v>876</v>
      </c>
      <c r="G156" s="265">
        <v>7930000</v>
      </c>
      <c r="H156" s="250">
        <v>8.2279089346089727</v>
      </c>
      <c r="I156" s="250">
        <v>19.185680652750424</v>
      </c>
      <c r="J156" s="250">
        <v>0</v>
      </c>
      <c r="K156" s="250">
        <v>70.424573698183323</v>
      </c>
      <c r="L156" s="250">
        <v>-144.29538837010668</v>
      </c>
      <c r="M156" s="250">
        <v>-144.29538837010668</v>
      </c>
      <c r="N156" s="241" t="s">
        <v>228</v>
      </c>
      <c r="O156" s="241" t="s">
        <v>230</v>
      </c>
      <c r="P156" s="241">
        <v>0</v>
      </c>
      <c r="Q156" s="241">
        <v>0</v>
      </c>
      <c r="R156" s="241">
        <v>70</v>
      </c>
      <c r="S156" s="241"/>
      <c r="T156" s="241"/>
      <c r="U156" s="241"/>
      <c r="V156" s="241"/>
      <c r="W156" s="241">
        <v>16</v>
      </c>
      <c r="X156" s="241">
        <v>5</v>
      </c>
      <c r="Y156" s="241"/>
      <c r="Z156" s="241">
        <v>1</v>
      </c>
      <c r="AA156" s="241"/>
      <c r="AB156" s="241"/>
      <c r="AC156" s="241"/>
      <c r="AD156" s="241"/>
      <c r="AE156" s="241"/>
      <c r="AF156" s="241"/>
      <c r="AG156" s="241">
        <v>1</v>
      </c>
      <c r="AH156" s="241">
        <v>1</v>
      </c>
      <c r="AI156" s="241"/>
      <c r="AJ156" s="241"/>
      <c r="AK156" s="241"/>
      <c r="AL156" s="241">
        <v>0</v>
      </c>
      <c r="AM156" s="241">
        <v>-1.17</v>
      </c>
      <c r="AN156" s="241">
        <v>-0.92800000000000005</v>
      </c>
    </row>
    <row r="157" spans="1:40" ht="16.5" thickBot="1" x14ac:dyDescent="0.3">
      <c r="A157" s="160" t="s">
        <v>784</v>
      </c>
      <c r="B157" s="160">
        <v>162</v>
      </c>
      <c r="C157" s="160">
        <v>600</v>
      </c>
      <c r="D157" s="160">
        <v>1000</v>
      </c>
      <c r="E157" s="160" t="s">
        <v>876</v>
      </c>
      <c r="F157" s="160" t="s">
        <v>876</v>
      </c>
      <c r="G157" s="267">
        <v>7930000</v>
      </c>
      <c r="H157" s="252">
        <v>8.2279089346089727</v>
      </c>
      <c r="I157" s="252">
        <v>19.185680652750424</v>
      </c>
      <c r="J157" s="252">
        <v>0</v>
      </c>
      <c r="K157" s="252">
        <v>70.424573698183323</v>
      </c>
      <c r="L157" s="252">
        <v>-141.04327700438887</v>
      </c>
      <c r="M157" s="252">
        <v>-141.04327700438887</v>
      </c>
      <c r="N157" s="160" t="s">
        <v>228</v>
      </c>
      <c r="O157" s="160" t="s">
        <v>230</v>
      </c>
      <c r="P157" s="160">
        <v>0</v>
      </c>
      <c r="Q157" s="160">
        <v>0</v>
      </c>
      <c r="R157" s="160">
        <v>70</v>
      </c>
      <c r="S157" s="160"/>
      <c r="T157" s="160"/>
      <c r="U157" s="160"/>
      <c r="V157" s="160"/>
      <c r="W157" s="160">
        <v>16</v>
      </c>
      <c r="X157" s="160">
        <v>5</v>
      </c>
      <c r="Y157" s="160"/>
      <c r="Z157" s="160">
        <v>1</v>
      </c>
      <c r="AA157" s="160"/>
      <c r="AB157" s="160"/>
      <c r="AC157" s="160"/>
      <c r="AD157" s="160"/>
      <c r="AE157" s="160"/>
      <c r="AF157" s="160"/>
      <c r="AG157" s="160">
        <v>1</v>
      </c>
      <c r="AH157" s="160">
        <v>1</v>
      </c>
      <c r="AI157" s="160"/>
      <c r="AJ157" s="160"/>
      <c r="AK157" s="160"/>
      <c r="AL157" s="160">
        <v>0</v>
      </c>
      <c r="AM157" s="160">
        <v>-1.21</v>
      </c>
      <c r="AN157" s="160">
        <v>-0.96</v>
      </c>
    </row>
    <row r="158" spans="1:40" x14ac:dyDescent="0.25">
      <c r="A158" s="271" t="s">
        <v>785</v>
      </c>
      <c r="B158" s="271">
        <v>163</v>
      </c>
      <c r="C158" s="271">
        <v>850</v>
      </c>
      <c r="D158" s="271">
        <v>300</v>
      </c>
      <c r="E158" s="271" t="s">
        <v>233</v>
      </c>
      <c r="F158" s="271" t="s">
        <v>250</v>
      </c>
      <c r="G158" s="273">
        <v>7940000</v>
      </c>
      <c r="H158" s="272">
        <v>28.751016853508379</v>
      </c>
      <c r="I158" s="272">
        <v>21.45539176401909</v>
      </c>
      <c r="J158" s="272">
        <v>0</v>
      </c>
      <c r="K158" s="272">
        <v>48.022800555810861</v>
      </c>
      <c r="L158" s="272">
        <v>-129.95987984877263</v>
      </c>
      <c r="M158" s="272">
        <v>-60.821750226979574</v>
      </c>
      <c r="N158" s="271" t="s">
        <v>245</v>
      </c>
      <c r="O158" s="271" t="s">
        <v>230</v>
      </c>
      <c r="P158" s="271">
        <v>0</v>
      </c>
      <c r="Q158" s="271">
        <v>0</v>
      </c>
      <c r="R158" s="271">
        <v>19.18</v>
      </c>
      <c r="S158" s="271"/>
      <c r="T158" s="271"/>
      <c r="U158" s="271"/>
      <c r="V158" s="271"/>
      <c r="W158" s="271">
        <v>77.8</v>
      </c>
      <c r="X158" s="271">
        <v>0.46</v>
      </c>
      <c r="Y158" s="271"/>
      <c r="Z158" s="271"/>
      <c r="AA158" s="271"/>
      <c r="AB158" s="271"/>
      <c r="AC158" s="271"/>
      <c r="AD158" s="271"/>
      <c r="AE158" s="271"/>
      <c r="AF158" s="271"/>
      <c r="AG158" s="271"/>
      <c r="AH158" s="271"/>
      <c r="AI158" s="271"/>
      <c r="AJ158" s="271"/>
      <c r="AK158" s="271"/>
      <c r="AL158" s="271">
        <v>0</v>
      </c>
      <c r="AM158" s="271">
        <v>-343.8</v>
      </c>
      <c r="AN158" s="271">
        <v>-10.58</v>
      </c>
    </row>
    <row r="159" spans="1:40" ht="16.5" thickBot="1" x14ac:dyDescent="0.3">
      <c r="A159" s="160" t="s">
        <v>786</v>
      </c>
      <c r="B159" s="160">
        <v>164</v>
      </c>
      <c r="C159" s="160">
        <v>850</v>
      </c>
      <c r="D159" s="160">
        <v>300</v>
      </c>
      <c r="E159" s="160" t="s">
        <v>233</v>
      </c>
      <c r="F159" s="160" t="s">
        <v>239</v>
      </c>
      <c r="G159" s="267">
        <v>8860000</v>
      </c>
      <c r="H159" s="252">
        <v>73.616065298412209</v>
      </c>
      <c r="I159" s="252">
        <v>8.1916815023149212</v>
      </c>
      <c r="J159" s="252">
        <v>10.146309488962684</v>
      </c>
      <c r="K159" s="252">
        <v>3.268710357746841</v>
      </c>
      <c r="L159" s="252">
        <v>-120.17191689567275</v>
      </c>
      <c r="M159" s="252">
        <v>-60.821750226979574</v>
      </c>
      <c r="N159" s="160" t="s">
        <v>245</v>
      </c>
      <c r="O159" s="160" t="s">
        <v>230</v>
      </c>
      <c r="P159" s="160">
        <v>0</v>
      </c>
      <c r="Q159" s="160">
        <v>0</v>
      </c>
      <c r="R159" s="160">
        <v>19.18</v>
      </c>
      <c r="S159" s="160"/>
      <c r="T159" s="160"/>
      <c r="U159" s="160"/>
      <c r="V159" s="160"/>
      <c r="W159" s="160">
        <v>77.8</v>
      </c>
      <c r="X159" s="160">
        <v>0.46</v>
      </c>
      <c r="Y159" s="160"/>
      <c r="Z159" s="160"/>
      <c r="AA159" s="160"/>
      <c r="AB159" s="160"/>
      <c r="AC159" s="160"/>
      <c r="AD159" s="160"/>
      <c r="AE159" s="160"/>
      <c r="AF159" s="160"/>
      <c r="AG159" s="160"/>
      <c r="AH159" s="160"/>
      <c r="AI159" s="160"/>
      <c r="AJ159" s="160"/>
      <c r="AK159" s="160"/>
      <c r="AL159" s="160">
        <v>0</v>
      </c>
      <c r="AM159" s="160">
        <v>-31.2</v>
      </c>
      <c r="AN159" s="160">
        <v>-0.31</v>
      </c>
    </row>
    <row r="160" spans="1:40" x14ac:dyDescent="0.25">
      <c r="A160" s="241" t="s">
        <v>787</v>
      </c>
      <c r="B160" s="241">
        <v>165</v>
      </c>
      <c r="C160" s="241">
        <v>700</v>
      </c>
      <c r="D160" s="241">
        <v>15</v>
      </c>
      <c r="E160" s="241" t="s">
        <v>48</v>
      </c>
      <c r="F160" s="241" t="s">
        <v>239</v>
      </c>
      <c r="G160" s="265">
        <v>8860000</v>
      </c>
      <c r="H160" s="250">
        <v>74.196714441831276</v>
      </c>
      <c r="I160" s="250">
        <v>8.3196467397750542</v>
      </c>
      <c r="J160" s="250">
        <v>11.151905115481981</v>
      </c>
      <c r="K160" s="250">
        <v>4.3316474391635102</v>
      </c>
      <c r="L160" s="250">
        <v>-124.51377510865618</v>
      </c>
      <c r="M160" s="250">
        <v>-121.74823772574202</v>
      </c>
      <c r="N160" s="241" t="s">
        <v>245</v>
      </c>
      <c r="O160" s="241" t="s">
        <v>230</v>
      </c>
      <c r="P160" s="241">
        <v>0</v>
      </c>
      <c r="Q160" s="241">
        <v>0</v>
      </c>
      <c r="R160" s="241">
        <v>14</v>
      </c>
      <c r="S160" s="241"/>
      <c r="T160" s="241">
        <v>10</v>
      </c>
      <c r="U160" s="241">
        <v>11</v>
      </c>
      <c r="V160" s="241"/>
      <c r="W160" s="241">
        <v>74</v>
      </c>
      <c r="X160" s="241">
        <v>6</v>
      </c>
      <c r="Y160" s="241"/>
      <c r="Z160" s="241"/>
      <c r="AA160" s="241">
        <v>19</v>
      </c>
      <c r="AB160" s="241"/>
      <c r="AC160" s="241">
        <v>8</v>
      </c>
      <c r="AD160" s="241"/>
      <c r="AE160" s="241"/>
      <c r="AF160" s="258"/>
      <c r="AG160" s="258"/>
      <c r="AH160" s="258"/>
      <c r="AI160" s="258"/>
      <c r="AJ160" s="258"/>
      <c r="AK160" s="258"/>
      <c r="AL160" s="241">
        <v>0</v>
      </c>
      <c r="AM160" s="241">
        <v>-5.43</v>
      </c>
      <c r="AN160" s="241">
        <v>-0.42</v>
      </c>
    </row>
    <row r="161" spans="1:40" x14ac:dyDescent="0.25">
      <c r="A161" s="159" t="s">
        <v>788</v>
      </c>
      <c r="B161" s="159">
        <v>166</v>
      </c>
      <c r="C161" s="159">
        <v>700</v>
      </c>
      <c r="D161" s="159">
        <v>60</v>
      </c>
      <c r="E161" s="159" t="s">
        <v>48</v>
      </c>
      <c r="F161" s="159" t="s">
        <v>239</v>
      </c>
      <c r="G161" s="264">
        <v>8860000</v>
      </c>
      <c r="H161" s="249">
        <v>74.196714441831276</v>
      </c>
      <c r="I161" s="249">
        <v>8.3196467397750542</v>
      </c>
      <c r="J161" s="249">
        <v>11.151905115481981</v>
      </c>
      <c r="K161" s="249">
        <v>4.3316474391635102</v>
      </c>
      <c r="L161" s="249">
        <v>-124.51377510865618</v>
      </c>
      <c r="M161" s="249">
        <v>-121.74823772574202</v>
      </c>
      <c r="N161" s="159" t="s">
        <v>245</v>
      </c>
      <c r="O161" s="159" t="s">
        <v>230</v>
      </c>
      <c r="P161" s="159">
        <v>0</v>
      </c>
      <c r="Q161" s="159">
        <v>0</v>
      </c>
      <c r="R161" s="159">
        <v>14</v>
      </c>
      <c r="S161" s="159"/>
      <c r="T161" s="159">
        <v>10</v>
      </c>
      <c r="U161" s="159">
        <v>11</v>
      </c>
      <c r="V161" s="159"/>
      <c r="W161" s="159">
        <v>74</v>
      </c>
      <c r="X161" s="159">
        <v>6</v>
      </c>
      <c r="Y161" s="159"/>
      <c r="Z161" s="159"/>
      <c r="AA161" s="159">
        <v>19</v>
      </c>
      <c r="AB161" s="159"/>
      <c r="AC161" s="159">
        <v>8</v>
      </c>
      <c r="AD161" s="159"/>
      <c r="AE161" s="159"/>
      <c r="AF161" s="259"/>
      <c r="AG161" s="259"/>
      <c r="AH161" s="259"/>
      <c r="AI161" s="259"/>
      <c r="AJ161" s="259"/>
      <c r="AK161" s="259"/>
      <c r="AL161" s="159">
        <v>0</v>
      </c>
      <c r="AM161" s="159">
        <v>-8.4</v>
      </c>
      <c r="AN161" s="159">
        <v>-0.56000000000000005</v>
      </c>
    </row>
    <row r="162" spans="1:40" x14ac:dyDescent="0.25">
      <c r="A162" s="241" t="s">
        <v>789</v>
      </c>
      <c r="B162" s="241">
        <v>167</v>
      </c>
      <c r="C162" s="241">
        <v>700</v>
      </c>
      <c r="D162" s="241">
        <v>120</v>
      </c>
      <c r="E162" s="241" t="s">
        <v>48</v>
      </c>
      <c r="F162" s="241" t="s">
        <v>239</v>
      </c>
      <c r="G162" s="265">
        <v>8860000</v>
      </c>
      <c r="H162" s="250">
        <v>74.196714441831276</v>
      </c>
      <c r="I162" s="250">
        <v>8.3196467397750542</v>
      </c>
      <c r="J162" s="250">
        <v>11.151905115481981</v>
      </c>
      <c r="K162" s="250">
        <v>4.3316474391635102</v>
      </c>
      <c r="L162" s="250">
        <v>-124.51377510865618</v>
      </c>
      <c r="M162" s="250">
        <v>-121.74823772574202</v>
      </c>
      <c r="N162" s="241" t="s">
        <v>245</v>
      </c>
      <c r="O162" s="241" t="s">
        <v>230</v>
      </c>
      <c r="P162" s="241">
        <v>0</v>
      </c>
      <c r="Q162" s="241">
        <v>0</v>
      </c>
      <c r="R162" s="241">
        <v>14</v>
      </c>
      <c r="S162" s="241"/>
      <c r="T162" s="241">
        <v>10</v>
      </c>
      <c r="U162" s="241">
        <v>11</v>
      </c>
      <c r="V162" s="241"/>
      <c r="W162" s="241">
        <v>74</v>
      </c>
      <c r="X162" s="241">
        <v>6</v>
      </c>
      <c r="Y162" s="241"/>
      <c r="Z162" s="241"/>
      <c r="AA162" s="241">
        <v>19</v>
      </c>
      <c r="AB162" s="241"/>
      <c r="AC162" s="241">
        <v>8</v>
      </c>
      <c r="AD162" s="241"/>
      <c r="AE162" s="241"/>
      <c r="AF162" s="258"/>
      <c r="AG162" s="258"/>
      <c r="AH162" s="258"/>
      <c r="AI162" s="258"/>
      <c r="AJ162" s="258"/>
      <c r="AK162" s="258"/>
      <c r="AL162" s="241">
        <v>0</v>
      </c>
      <c r="AM162" s="241">
        <v>-10.210000000000001</v>
      </c>
      <c r="AN162" s="241">
        <v>-0.71</v>
      </c>
    </row>
    <row r="163" spans="1:40" ht="16.5" thickBot="1" x14ac:dyDescent="0.3">
      <c r="A163" s="160" t="s">
        <v>790</v>
      </c>
      <c r="B163" s="160">
        <v>168</v>
      </c>
      <c r="C163" s="160">
        <v>700</v>
      </c>
      <c r="D163" s="160">
        <v>167</v>
      </c>
      <c r="E163" s="160" t="s">
        <v>48</v>
      </c>
      <c r="F163" s="160" t="s">
        <v>239</v>
      </c>
      <c r="G163" s="267">
        <v>8860000</v>
      </c>
      <c r="H163" s="252">
        <v>74.196714441831276</v>
      </c>
      <c r="I163" s="252">
        <v>8.3196467397750542</v>
      </c>
      <c r="J163" s="252">
        <v>11.151905115481981</v>
      </c>
      <c r="K163" s="252">
        <v>4.3316474391635102</v>
      </c>
      <c r="L163" s="252">
        <v>-124.51377510865618</v>
      </c>
      <c r="M163" s="252">
        <v>-121.74823772574202</v>
      </c>
      <c r="N163" s="160" t="s">
        <v>245</v>
      </c>
      <c r="O163" s="160" t="s">
        <v>230</v>
      </c>
      <c r="P163" s="160">
        <v>0</v>
      </c>
      <c r="Q163" s="160">
        <v>0</v>
      </c>
      <c r="R163" s="160">
        <v>14</v>
      </c>
      <c r="S163" s="160"/>
      <c r="T163" s="160">
        <v>10</v>
      </c>
      <c r="U163" s="160">
        <v>11</v>
      </c>
      <c r="V163" s="160"/>
      <c r="W163" s="160">
        <v>74</v>
      </c>
      <c r="X163" s="160">
        <v>6</v>
      </c>
      <c r="Y163" s="160"/>
      <c r="Z163" s="160"/>
      <c r="AA163" s="160">
        <v>19</v>
      </c>
      <c r="AB163" s="160"/>
      <c r="AC163" s="160">
        <v>8</v>
      </c>
      <c r="AD163" s="160"/>
      <c r="AE163" s="160"/>
      <c r="AF163" s="260"/>
      <c r="AG163" s="260"/>
      <c r="AH163" s="260"/>
      <c r="AI163" s="260"/>
      <c r="AJ163" s="260"/>
      <c r="AK163" s="260"/>
      <c r="AL163" s="160">
        <v>0</v>
      </c>
      <c r="AM163" s="160">
        <v>-12.27</v>
      </c>
      <c r="AN163" s="160">
        <v>-0.79</v>
      </c>
    </row>
    <row r="164" spans="1:40" x14ac:dyDescent="0.25">
      <c r="A164" s="159" t="s">
        <v>791</v>
      </c>
      <c r="B164" s="159">
        <v>169</v>
      </c>
      <c r="C164" s="159">
        <v>700</v>
      </c>
      <c r="D164" s="159">
        <v>72</v>
      </c>
      <c r="E164" s="159" t="s">
        <v>48</v>
      </c>
      <c r="F164" s="159" t="s">
        <v>239</v>
      </c>
      <c r="G164" s="264">
        <v>8860000</v>
      </c>
      <c r="H164" s="249">
        <v>76.344614098583591</v>
      </c>
      <c r="I164" s="249">
        <v>8.3268540268964948</v>
      </c>
      <c r="J164" s="249">
        <v>10.313735708893415</v>
      </c>
      <c r="K164" s="249">
        <v>4.4301973080815218</v>
      </c>
      <c r="L164" s="249">
        <v>-124.21542200799192</v>
      </c>
      <c r="M164" s="249">
        <v>-121.74823772574202</v>
      </c>
      <c r="N164" s="159" t="s">
        <v>245</v>
      </c>
      <c r="O164" s="159" t="s">
        <v>247</v>
      </c>
      <c r="P164" s="159">
        <v>0</v>
      </c>
      <c r="Q164" s="159">
        <v>0</v>
      </c>
      <c r="R164" s="159">
        <v>332.5</v>
      </c>
      <c r="S164" s="159"/>
      <c r="T164" s="159"/>
      <c r="U164" s="159"/>
      <c r="V164" s="159">
        <v>3300</v>
      </c>
      <c r="W164" s="159">
        <v>8</v>
      </c>
      <c r="X164" s="159">
        <v>47</v>
      </c>
      <c r="Y164" s="159"/>
      <c r="Z164" s="159">
        <v>8</v>
      </c>
      <c r="AA164" s="159"/>
      <c r="AB164" s="159"/>
      <c r="AC164" s="159"/>
      <c r="AD164" s="159"/>
      <c r="AE164" s="159"/>
      <c r="AF164" s="259"/>
      <c r="AG164" s="259"/>
      <c r="AH164" s="259">
        <v>11.1</v>
      </c>
      <c r="AI164" s="259"/>
      <c r="AJ164" s="259"/>
      <c r="AK164" s="259"/>
      <c r="AL164" s="159">
        <v>0</v>
      </c>
      <c r="AM164" s="159">
        <v>-5</v>
      </c>
      <c r="AN164" s="159">
        <v>-1.04</v>
      </c>
    </row>
    <row r="165" spans="1:40" ht="16.5" thickBot="1" x14ac:dyDescent="0.3">
      <c r="A165" s="242" t="s">
        <v>792</v>
      </c>
      <c r="B165" s="242">
        <v>170</v>
      </c>
      <c r="C165" s="242">
        <v>700</v>
      </c>
      <c r="D165" s="242">
        <v>72</v>
      </c>
      <c r="E165" s="242" t="s">
        <v>48</v>
      </c>
      <c r="F165" s="242" t="s">
        <v>368</v>
      </c>
      <c r="G165" s="266">
        <v>8220000</v>
      </c>
      <c r="H165" s="251">
        <v>49.212787400782311</v>
      </c>
      <c r="I165" s="251">
        <v>24.149652947758476</v>
      </c>
      <c r="J165" s="251">
        <v>5.3202186043084216</v>
      </c>
      <c r="K165" s="251">
        <v>19.122676352511832</v>
      </c>
      <c r="L165" s="251">
        <v>-131.3023053220528</v>
      </c>
      <c r="M165" s="251">
        <v>-121.74823772574202</v>
      </c>
      <c r="N165" s="242" t="s">
        <v>245</v>
      </c>
      <c r="O165" s="242" t="s">
        <v>247</v>
      </c>
      <c r="P165" s="242">
        <v>0</v>
      </c>
      <c r="Q165" s="242">
        <v>0</v>
      </c>
      <c r="R165" s="242">
        <v>332.5</v>
      </c>
      <c r="S165" s="242"/>
      <c r="T165" s="242"/>
      <c r="U165" s="242"/>
      <c r="V165" s="242">
        <v>3300</v>
      </c>
      <c r="W165" s="242">
        <v>8</v>
      </c>
      <c r="X165" s="242">
        <v>47</v>
      </c>
      <c r="Y165" s="242"/>
      <c r="Z165" s="242">
        <v>8</v>
      </c>
      <c r="AA165" s="242"/>
      <c r="AB165" s="242"/>
      <c r="AC165" s="242"/>
      <c r="AD165" s="242"/>
      <c r="AE165" s="242"/>
      <c r="AF165" s="261"/>
      <c r="AG165" s="261"/>
      <c r="AH165" s="261"/>
      <c r="AI165" s="261"/>
      <c r="AJ165" s="261"/>
      <c r="AK165" s="261"/>
      <c r="AL165" s="242">
        <v>0</v>
      </c>
      <c r="AM165" s="242">
        <v>-10</v>
      </c>
      <c r="AN165" s="242">
        <v>-12.9</v>
      </c>
    </row>
    <row r="166" spans="1:40" x14ac:dyDescent="0.25">
      <c r="A166" s="159" t="s">
        <v>793</v>
      </c>
      <c r="B166" s="159">
        <v>171</v>
      </c>
      <c r="C166" s="159">
        <v>700</v>
      </c>
      <c r="D166" s="159">
        <v>100</v>
      </c>
      <c r="E166" s="159" t="s">
        <v>48</v>
      </c>
      <c r="F166" s="159" t="s">
        <v>239</v>
      </c>
      <c r="G166" s="264">
        <v>8860000</v>
      </c>
      <c r="H166" s="249">
        <v>73.983282435619998</v>
      </c>
      <c r="I166" s="249">
        <v>8.3027748803838577</v>
      </c>
      <c r="J166" s="249">
        <v>11.129289566897105</v>
      </c>
      <c r="K166" s="249">
        <v>4.322863058190169</v>
      </c>
      <c r="L166" s="249">
        <v>-124.3774896678361</v>
      </c>
      <c r="M166" s="249">
        <v>-121.74823772574202</v>
      </c>
      <c r="N166" s="159" t="s">
        <v>245</v>
      </c>
      <c r="O166" s="159" t="s">
        <v>230</v>
      </c>
      <c r="P166" s="159">
        <v>0</v>
      </c>
      <c r="Q166" s="159">
        <v>0</v>
      </c>
      <c r="R166" s="159"/>
      <c r="S166" s="159"/>
      <c r="T166" s="159"/>
      <c r="U166" s="159"/>
      <c r="V166" s="159"/>
      <c r="W166" s="159"/>
      <c r="X166" s="159"/>
      <c r="Y166" s="159"/>
      <c r="Z166" s="159"/>
      <c r="AA166" s="159"/>
      <c r="AB166" s="159">
        <v>3.22</v>
      </c>
      <c r="AC166" s="159"/>
      <c r="AD166" s="159"/>
      <c r="AE166" s="159"/>
      <c r="AF166" s="259"/>
      <c r="AG166" s="259"/>
      <c r="AH166" s="259"/>
      <c r="AI166" s="259">
        <v>13.1</v>
      </c>
      <c r="AJ166" s="259"/>
      <c r="AK166" s="259"/>
      <c r="AL166" s="159">
        <v>0</v>
      </c>
      <c r="AM166" s="159">
        <v>-3</v>
      </c>
      <c r="AN166" s="159">
        <v>-0.05</v>
      </c>
    </row>
    <row r="167" spans="1:40" x14ac:dyDescent="0.25">
      <c r="A167" s="241" t="s">
        <v>794</v>
      </c>
      <c r="B167" s="241">
        <v>172</v>
      </c>
      <c r="C167" s="241">
        <v>700</v>
      </c>
      <c r="D167" s="241">
        <v>100</v>
      </c>
      <c r="E167" s="241" t="s">
        <v>48</v>
      </c>
      <c r="F167" s="241" t="s">
        <v>239</v>
      </c>
      <c r="G167" s="265">
        <v>8860000</v>
      </c>
      <c r="H167" s="250">
        <v>73.983282435619998</v>
      </c>
      <c r="I167" s="250">
        <v>8.3027748803838577</v>
      </c>
      <c r="J167" s="250">
        <v>11.129289566897105</v>
      </c>
      <c r="K167" s="250">
        <v>4.322863058190169</v>
      </c>
      <c r="L167" s="250">
        <v>-124.3774896678361</v>
      </c>
      <c r="M167" s="250">
        <v>-121.74823772574202</v>
      </c>
      <c r="N167" s="241" t="s">
        <v>245</v>
      </c>
      <c r="O167" s="241" t="s">
        <v>230</v>
      </c>
      <c r="P167" s="241">
        <v>0</v>
      </c>
      <c r="Q167" s="241">
        <v>0</v>
      </c>
      <c r="R167" s="241"/>
      <c r="S167" s="241"/>
      <c r="T167" s="241"/>
      <c r="U167" s="241"/>
      <c r="V167" s="241"/>
      <c r="W167" s="241"/>
      <c r="X167" s="241"/>
      <c r="Y167" s="241"/>
      <c r="Z167" s="241"/>
      <c r="AA167" s="241"/>
      <c r="AB167" s="241">
        <v>3.22</v>
      </c>
      <c r="AC167" s="241"/>
      <c r="AD167" s="241"/>
      <c r="AE167" s="241"/>
      <c r="AF167" s="258"/>
      <c r="AG167" s="258"/>
      <c r="AH167" s="258"/>
      <c r="AI167" s="258">
        <v>13.1</v>
      </c>
      <c r="AJ167" s="258"/>
      <c r="AK167" s="258"/>
      <c r="AL167" s="241">
        <v>0</v>
      </c>
      <c r="AM167" s="241">
        <v>-3</v>
      </c>
      <c r="AN167" s="241">
        <v>-0.05</v>
      </c>
    </row>
    <row r="168" spans="1:40" x14ac:dyDescent="0.25">
      <c r="A168" s="159" t="s">
        <v>795</v>
      </c>
      <c r="B168" s="159">
        <v>173</v>
      </c>
      <c r="C168" s="159">
        <v>700</v>
      </c>
      <c r="D168" s="159">
        <v>100</v>
      </c>
      <c r="E168" s="159" t="s">
        <v>48</v>
      </c>
      <c r="F168" s="159" t="s">
        <v>239</v>
      </c>
      <c r="G168" s="264">
        <v>8860000</v>
      </c>
      <c r="H168" s="249">
        <v>73.983282435619998</v>
      </c>
      <c r="I168" s="249">
        <v>8.3027748803838577</v>
      </c>
      <c r="J168" s="249">
        <v>11.129289566897105</v>
      </c>
      <c r="K168" s="249">
        <v>4.322863058190169</v>
      </c>
      <c r="L168" s="249">
        <v>-124.3774896678361</v>
      </c>
      <c r="M168" s="249">
        <v>-121.74823772574202</v>
      </c>
      <c r="N168" s="159" t="s">
        <v>245</v>
      </c>
      <c r="O168" s="159" t="s">
        <v>230</v>
      </c>
      <c r="P168" s="159">
        <v>0</v>
      </c>
      <c r="Q168" s="159">
        <v>0</v>
      </c>
      <c r="R168" s="159"/>
      <c r="S168" s="159"/>
      <c r="T168" s="159"/>
      <c r="U168" s="159"/>
      <c r="V168" s="159"/>
      <c r="W168" s="159"/>
      <c r="X168" s="159"/>
      <c r="Y168" s="159"/>
      <c r="Z168" s="159"/>
      <c r="AA168" s="159"/>
      <c r="AB168" s="159">
        <v>3.22</v>
      </c>
      <c r="AC168" s="159"/>
      <c r="AD168" s="159"/>
      <c r="AE168" s="159"/>
      <c r="AF168" s="259"/>
      <c r="AG168" s="259"/>
      <c r="AH168" s="259"/>
      <c r="AI168" s="259">
        <v>13.1</v>
      </c>
      <c r="AJ168" s="259"/>
      <c r="AK168" s="259"/>
      <c r="AL168" s="159">
        <v>0</v>
      </c>
      <c r="AM168" s="159">
        <v>-9</v>
      </c>
      <c r="AN168" s="159">
        <v>-0.3</v>
      </c>
    </row>
    <row r="169" spans="1:40" ht="16.5" thickBot="1" x14ac:dyDescent="0.3">
      <c r="A169" s="242" t="s">
        <v>796</v>
      </c>
      <c r="B169" s="242">
        <v>174</v>
      </c>
      <c r="C169" s="242">
        <v>700</v>
      </c>
      <c r="D169" s="242">
        <v>100</v>
      </c>
      <c r="E169" s="242" t="s">
        <v>48</v>
      </c>
      <c r="F169" s="242" t="s">
        <v>239</v>
      </c>
      <c r="G169" s="266">
        <v>8860000</v>
      </c>
      <c r="H169" s="251">
        <v>73.983282435619998</v>
      </c>
      <c r="I169" s="251">
        <v>8.3027748803838577</v>
      </c>
      <c r="J169" s="251">
        <v>11.129289566897105</v>
      </c>
      <c r="K169" s="251">
        <v>4.322863058190169</v>
      </c>
      <c r="L169" s="251">
        <v>-124.3774896678361</v>
      </c>
      <c r="M169" s="251">
        <v>-121.74823772574202</v>
      </c>
      <c r="N169" s="242" t="s">
        <v>245</v>
      </c>
      <c r="O169" s="242" t="s">
        <v>230</v>
      </c>
      <c r="P169" s="242">
        <v>0</v>
      </c>
      <c r="Q169" s="242">
        <v>0</v>
      </c>
      <c r="R169" s="242"/>
      <c r="S169" s="242"/>
      <c r="T169" s="242"/>
      <c r="U169" s="242"/>
      <c r="V169" s="242"/>
      <c r="W169" s="242"/>
      <c r="X169" s="242"/>
      <c r="Y169" s="242"/>
      <c r="Z169" s="242"/>
      <c r="AA169" s="242"/>
      <c r="AB169" s="242">
        <v>3.22</v>
      </c>
      <c r="AC169" s="242"/>
      <c r="AD169" s="242"/>
      <c r="AE169" s="242"/>
      <c r="AF169" s="261"/>
      <c r="AG169" s="261"/>
      <c r="AH169" s="261"/>
      <c r="AI169" s="261">
        <v>13.1</v>
      </c>
      <c r="AJ169" s="261"/>
      <c r="AK169" s="261"/>
      <c r="AL169" s="242">
        <v>0</v>
      </c>
      <c r="AM169" s="242">
        <v>-34</v>
      </c>
      <c r="AN169" s="242">
        <v>-2.42</v>
      </c>
    </row>
    <row r="170" spans="1:40" x14ac:dyDescent="0.25">
      <c r="A170" s="159" t="s">
        <v>797</v>
      </c>
      <c r="B170" s="159">
        <v>175</v>
      </c>
      <c r="C170" s="159">
        <v>850</v>
      </c>
      <c r="D170" s="159">
        <v>500</v>
      </c>
      <c r="E170" s="159" t="s">
        <v>233</v>
      </c>
      <c r="F170" s="159" t="s">
        <v>251</v>
      </c>
      <c r="G170" s="264">
        <v>8900000</v>
      </c>
      <c r="H170" s="249">
        <v>99.405007211082889</v>
      </c>
      <c r="I170" s="249">
        <v>0</v>
      </c>
      <c r="J170" s="249">
        <v>0</v>
      </c>
      <c r="K170" s="249">
        <v>5.2545171415407883E-2</v>
      </c>
      <c r="L170" s="249">
        <v>-116.51724624395071</v>
      </c>
      <c r="M170" s="249">
        <v>-60.821750226979574</v>
      </c>
      <c r="N170" s="159" t="s">
        <v>245</v>
      </c>
      <c r="O170" s="159" t="s">
        <v>230</v>
      </c>
      <c r="P170" s="159">
        <v>0</v>
      </c>
      <c r="Q170" s="159">
        <v>0</v>
      </c>
      <c r="R170" s="159"/>
      <c r="S170" s="159"/>
      <c r="T170" s="159"/>
      <c r="U170" s="159"/>
      <c r="V170" s="159"/>
      <c r="W170" s="249"/>
      <c r="X170" s="249"/>
      <c r="Y170" s="249"/>
      <c r="Z170" s="159"/>
      <c r="AA170" s="159"/>
      <c r="AB170" s="159"/>
      <c r="AC170" s="159"/>
      <c r="AD170" s="159"/>
      <c r="AE170" s="159"/>
      <c r="AF170" s="259"/>
      <c r="AG170" s="259"/>
      <c r="AH170" s="259"/>
      <c r="AI170" s="259"/>
      <c r="AJ170" s="259"/>
      <c r="AK170" s="259"/>
      <c r="AL170" s="159">
        <v>0</v>
      </c>
      <c r="AM170" s="159"/>
      <c r="AN170" s="159">
        <v>-0.1</v>
      </c>
    </row>
    <row r="171" spans="1:40" ht="16.5" thickBot="1" x14ac:dyDescent="0.3">
      <c r="A171" s="242" t="s">
        <v>798</v>
      </c>
      <c r="B171" s="242">
        <v>176</v>
      </c>
      <c r="C171" s="242">
        <v>850</v>
      </c>
      <c r="D171" s="242">
        <v>500</v>
      </c>
      <c r="E171" s="242" t="s">
        <v>233</v>
      </c>
      <c r="F171" s="242" t="s">
        <v>250</v>
      </c>
      <c r="G171" s="266">
        <v>7940000</v>
      </c>
      <c r="H171" s="251">
        <v>29.853286811557286</v>
      </c>
      <c r="I171" s="251">
        <v>21.780057959342944</v>
      </c>
      <c r="J171" s="251">
        <v>0</v>
      </c>
      <c r="K171" s="251">
        <v>44.946720488780194</v>
      </c>
      <c r="L171" s="251">
        <v>-130.21999024067256</v>
      </c>
      <c r="M171" s="251">
        <v>-60.821750226979574</v>
      </c>
      <c r="N171" s="242" t="s">
        <v>245</v>
      </c>
      <c r="O171" s="242" t="s">
        <v>230</v>
      </c>
      <c r="P171" s="242">
        <v>0</v>
      </c>
      <c r="Q171" s="242">
        <v>0</v>
      </c>
      <c r="R171" s="242"/>
      <c r="S171" s="242"/>
      <c r="T171" s="242"/>
      <c r="U171" s="242"/>
      <c r="V171" s="242"/>
      <c r="W171" s="251"/>
      <c r="X171" s="251"/>
      <c r="Y171" s="251"/>
      <c r="Z171" s="242"/>
      <c r="AA171" s="242"/>
      <c r="AB171" s="242"/>
      <c r="AC171" s="242"/>
      <c r="AD171" s="242"/>
      <c r="AE171" s="242"/>
      <c r="AF171" s="261"/>
      <c r="AG171" s="261"/>
      <c r="AH171" s="261"/>
      <c r="AI171" s="261"/>
      <c r="AJ171" s="261"/>
      <c r="AK171" s="261"/>
      <c r="AL171" s="242">
        <v>0</v>
      </c>
      <c r="AM171" s="242"/>
      <c r="AN171" s="242">
        <v>-28.6</v>
      </c>
    </row>
    <row r="172" spans="1:40" x14ac:dyDescent="0.25">
      <c r="A172" s="241" t="s">
        <v>799</v>
      </c>
      <c r="B172" s="241">
        <v>177</v>
      </c>
      <c r="C172" s="241">
        <v>600</v>
      </c>
      <c r="D172" s="241">
        <v>48</v>
      </c>
      <c r="E172" s="241" t="s">
        <v>48</v>
      </c>
      <c r="F172" s="241" t="s">
        <v>876</v>
      </c>
      <c r="G172" s="265">
        <v>7930000</v>
      </c>
      <c r="H172" s="250">
        <v>7.4404581350516272</v>
      </c>
      <c r="I172" s="250">
        <v>18.894828805363559</v>
      </c>
      <c r="J172" s="250">
        <v>0</v>
      </c>
      <c r="K172" s="250">
        <v>69.240441290391942</v>
      </c>
      <c r="L172" s="250">
        <v>-141.56327052462905</v>
      </c>
      <c r="M172" s="250">
        <v>-125.32307267842094</v>
      </c>
      <c r="N172" s="241" t="s">
        <v>245</v>
      </c>
      <c r="O172" s="241" t="s">
        <v>247</v>
      </c>
      <c r="P172" s="241">
        <v>0</v>
      </c>
      <c r="Q172" s="241">
        <v>0</v>
      </c>
      <c r="R172" s="241"/>
      <c r="S172" s="241"/>
      <c r="T172" s="241"/>
      <c r="U172" s="241"/>
      <c r="V172" s="241"/>
      <c r="W172" s="250"/>
      <c r="X172" s="250"/>
      <c r="Y172" s="250"/>
      <c r="Z172" s="241"/>
      <c r="AA172" s="241"/>
      <c r="AB172" s="241"/>
      <c r="AC172" s="241"/>
      <c r="AD172" s="241"/>
      <c r="AE172" s="241"/>
      <c r="AF172" s="258"/>
      <c r="AG172" s="258"/>
      <c r="AH172" s="258"/>
      <c r="AI172" s="258"/>
      <c r="AJ172" s="258"/>
      <c r="AK172" s="258">
        <v>0</v>
      </c>
      <c r="AL172" s="241">
        <v>0</v>
      </c>
      <c r="AM172" s="241">
        <v>-70.900000000000006</v>
      </c>
      <c r="AN172" s="241"/>
    </row>
    <row r="173" spans="1:40" x14ac:dyDescent="0.25">
      <c r="A173" s="159" t="s">
        <v>800</v>
      </c>
      <c r="B173" s="159">
        <v>178</v>
      </c>
      <c r="C173" s="159">
        <v>600</v>
      </c>
      <c r="D173" s="159">
        <v>48</v>
      </c>
      <c r="E173" s="159" t="s">
        <v>48</v>
      </c>
      <c r="F173" s="159" t="s">
        <v>876</v>
      </c>
      <c r="G173" s="264">
        <v>7930000</v>
      </c>
      <c r="H173" s="249">
        <v>7.4404581350516272</v>
      </c>
      <c r="I173" s="249">
        <v>18.894828805363559</v>
      </c>
      <c r="J173" s="249">
        <v>0</v>
      </c>
      <c r="K173" s="249">
        <v>69.240441290391942</v>
      </c>
      <c r="L173" s="249">
        <v>-141.56327052462905</v>
      </c>
      <c r="M173" s="249">
        <v>-125.32307267842094</v>
      </c>
      <c r="N173" s="159" t="s">
        <v>245</v>
      </c>
      <c r="O173" s="159" t="s">
        <v>247</v>
      </c>
      <c r="P173" s="159">
        <v>0</v>
      </c>
      <c r="Q173" s="159">
        <v>0</v>
      </c>
      <c r="R173" s="159"/>
      <c r="S173" s="159"/>
      <c r="T173" s="159"/>
      <c r="U173" s="159"/>
      <c r="V173" s="159"/>
      <c r="W173" s="249"/>
      <c r="X173" s="249"/>
      <c r="Y173" s="249"/>
      <c r="Z173" s="159"/>
      <c r="AA173" s="159"/>
      <c r="AB173" s="159"/>
      <c r="AC173" s="159"/>
      <c r="AD173" s="159"/>
      <c r="AE173" s="159"/>
      <c r="AF173" s="259"/>
      <c r="AG173" s="259"/>
      <c r="AH173" s="259"/>
      <c r="AI173" s="259"/>
      <c r="AJ173" s="259"/>
      <c r="AK173" s="259">
        <v>1000</v>
      </c>
      <c r="AL173" s="159">
        <v>0</v>
      </c>
      <c r="AM173" s="159">
        <v>-189.7</v>
      </c>
      <c r="AN173" s="159"/>
    </row>
    <row r="174" spans="1:40" x14ac:dyDescent="0.25">
      <c r="A174" s="241" t="s">
        <v>801</v>
      </c>
      <c r="B174" s="241">
        <v>179</v>
      </c>
      <c r="C174" s="241">
        <v>600</v>
      </c>
      <c r="D174" s="241">
        <v>48</v>
      </c>
      <c r="E174" s="241" t="s">
        <v>48</v>
      </c>
      <c r="F174" s="241" t="s">
        <v>876</v>
      </c>
      <c r="G174" s="265">
        <v>7930000</v>
      </c>
      <c r="H174" s="250">
        <v>7.4404581350516272</v>
      </c>
      <c r="I174" s="250">
        <v>18.894828805363559</v>
      </c>
      <c r="J174" s="250">
        <v>0</v>
      </c>
      <c r="K174" s="250">
        <v>69.240441290391942</v>
      </c>
      <c r="L174" s="250">
        <v>-141.56327052462905</v>
      </c>
      <c r="M174" s="250">
        <v>-125.32307267842094</v>
      </c>
      <c r="N174" s="241" t="s">
        <v>245</v>
      </c>
      <c r="O174" s="241" t="s">
        <v>247</v>
      </c>
      <c r="P174" s="241">
        <v>0</v>
      </c>
      <c r="Q174" s="241">
        <v>0</v>
      </c>
      <c r="R174" s="241"/>
      <c r="S174" s="241"/>
      <c r="T174" s="241"/>
      <c r="U174" s="241"/>
      <c r="V174" s="241"/>
      <c r="W174" s="250"/>
      <c r="X174" s="250"/>
      <c r="Y174" s="250"/>
      <c r="Z174" s="241"/>
      <c r="AA174" s="241"/>
      <c r="AB174" s="241"/>
      <c r="AC174" s="241"/>
      <c r="AD174" s="241"/>
      <c r="AE174" s="241"/>
      <c r="AF174" s="258"/>
      <c r="AG174" s="258"/>
      <c r="AH174" s="258"/>
      <c r="AI174" s="258"/>
      <c r="AJ174" s="258"/>
      <c r="AK174" s="258">
        <v>5000</v>
      </c>
      <c r="AL174" s="241">
        <v>0</v>
      </c>
      <c r="AM174" s="241">
        <v>-89.4</v>
      </c>
      <c r="AN174" s="241"/>
    </row>
    <row r="175" spans="1:40" ht="16.5" thickBot="1" x14ac:dyDescent="0.3">
      <c r="A175" s="160" t="s">
        <v>802</v>
      </c>
      <c r="B175" s="160">
        <v>180</v>
      </c>
      <c r="C175" s="160">
        <v>600</v>
      </c>
      <c r="D175" s="160">
        <v>48</v>
      </c>
      <c r="E175" s="160" t="s">
        <v>48</v>
      </c>
      <c r="F175" s="160" t="s">
        <v>876</v>
      </c>
      <c r="G175" s="267">
        <v>7930000</v>
      </c>
      <c r="H175" s="252">
        <v>7.4404581350516272</v>
      </c>
      <c r="I175" s="252">
        <v>18.894828805363559</v>
      </c>
      <c r="J175" s="252">
        <v>0</v>
      </c>
      <c r="K175" s="252">
        <v>69.240441290391942</v>
      </c>
      <c r="L175" s="252">
        <v>-141.56327052462905</v>
      </c>
      <c r="M175" s="252">
        <v>-125.32307267842094</v>
      </c>
      <c r="N175" s="160" t="s">
        <v>245</v>
      </c>
      <c r="O175" s="160" t="s">
        <v>247</v>
      </c>
      <c r="P175" s="160">
        <v>0</v>
      </c>
      <c r="Q175" s="160">
        <v>0</v>
      </c>
      <c r="R175" s="160"/>
      <c r="S175" s="160"/>
      <c r="T175" s="160"/>
      <c r="U175" s="160"/>
      <c r="V175" s="160"/>
      <c r="W175" s="252"/>
      <c r="X175" s="252"/>
      <c r="Y175" s="252"/>
      <c r="Z175" s="160"/>
      <c r="AA175" s="160"/>
      <c r="AB175" s="160"/>
      <c r="AC175" s="160"/>
      <c r="AD175" s="160"/>
      <c r="AE175" s="160"/>
      <c r="AF175" s="260"/>
      <c r="AG175" s="260"/>
      <c r="AH175" s="260"/>
      <c r="AI175" s="260"/>
      <c r="AJ175" s="260"/>
      <c r="AK175" s="260">
        <v>10000</v>
      </c>
      <c r="AL175" s="160">
        <v>0</v>
      </c>
      <c r="AM175" s="160">
        <v>-32</v>
      </c>
      <c r="AN175" s="160"/>
    </row>
    <row r="176" spans="1:40" x14ac:dyDescent="0.25">
      <c r="A176" s="241" t="s">
        <v>803</v>
      </c>
      <c r="B176" s="241">
        <v>181</v>
      </c>
      <c r="C176" s="241">
        <v>750</v>
      </c>
      <c r="D176" s="241">
        <v>300</v>
      </c>
      <c r="E176" s="241" t="s">
        <v>269</v>
      </c>
      <c r="F176" s="241" t="s">
        <v>458</v>
      </c>
      <c r="G176" s="265">
        <v>8300000</v>
      </c>
      <c r="H176" s="250">
        <v>75.232874245137765</v>
      </c>
      <c r="I176" s="250">
        <v>21.898613249254257</v>
      </c>
      <c r="J176" s="250">
        <v>0</v>
      </c>
      <c r="K176" s="250">
        <v>1.0194520044415587</v>
      </c>
      <c r="L176" s="250">
        <v>-127.14831531311583</v>
      </c>
      <c r="M176" s="250">
        <v>-62.627031133800095</v>
      </c>
      <c r="N176" s="241" t="s">
        <v>245</v>
      </c>
      <c r="O176" s="241" t="s">
        <v>247</v>
      </c>
      <c r="P176" s="241">
        <v>0</v>
      </c>
      <c r="Q176" s="241">
        <v>0</v>
      </c>
      <c r="R176" s="241">
        <v>21.1</v>
      </c>
      <c r="S176" s="241"/>
      <c r="T176" s="241"/>
      <c r="U176" s="241">
        <v>152</v>
      </c>
      <c r="V176" s="241">
        <v>61.4</v>
      </c>
      <c r="W176" s="250">
        <v>32.200000000000003</v>
      </c>
      <c r="X176" s="250">
        <v>5.88</v>
      </c>
      <c r="Y176" s="250">
        <v>2.96</v>
      </c>
      <c r="Z176" s="241">
        <v>4.42</v>
      </c>
      <c r="AA176" s="241">
        <v>3.2</v>
      </c>
      <c r="AB176" s="241">
        <v>4.42</v>
      </c>
      <c r="AC176" s="241">
        <v>5.88</v>
      </c>
      <c r="AD176" s="241"/>
      <c r="AE176" s="241"/>
      <c r="AF176" s="258"/>
      <c r="AG176" s="258"/>
      <c r="AH176" s="258">
        <v>17.600000000000001</v>
      </c>
      <c r="AI176" s="258"/>
      <c r="AJ176" s="258"/>
      <c r="AK176" s="258"/>
      <c r="AL176" s="241">
        <v>0</v>
      </c>
      <c r="AM176" s="241"/>
      <c r="AN176" s="241">
        <v>-4.8</v>
      </c>
    </row>
    <row r="177" spans="1:40" x14ac:dyDescent="0.25">
      <c r="A177" s="159" t="s">
        <v>804</v>
      </c>
      <c r="B177" s="159">
        <v>182</v>
      </c>
      <c r="C177" s="159">
        <v>750</v>
      </c>
      <c r="D177" s="159">
        <v>300</v>
      </c>
      <c r="E177" s="159" t="s">
        <v>269</v>
      </c>
      <c r="F177" s="159" t="s">
        <v>239</v>
      </c>
      <c r="G177" s="264">
        <v>8860000</v>
      </c>
      <c r="H177" s="249">
        <v>71.911970583722621</v>
      </c>
      <c r="I177" s="249">
        <v>8.2019063849681739</v>
      </c>
      <c r="J177" s="249">
        <v>10.158974144425537</v>
      </c>
      <c r="K177" s="249">
        <v>4.3637204964148362</v>
      </c>
      <c r="L177" s="249">
        <v>-124.04680995429123</v>
      </c>
      <c r="M177" s="249">
        <v>-62.627031133800095</v>
      </c>
      <c r="N177" s="159" t="s">
        <v>245</v>
      </c>
      <c r="O177" s="159" t="s">
        <v>247</v>
      </c>
      <c r="P177" s="159">
        <v>0</v>
      </c>
      <c r="Q177" s="159">
        <v>0</v>
      </c>
      <c r="R177" s="159">
        <v>21.1</v>
      </c>
      <c r="S177" s="159"/>
      <c r="T177" s="159"/>
      <c r="U177" s="159">
        <v>152</v>
      </c>
      <c r="V177" s="159">
        <v>61.4</v>
      </c>
      <c r="W177" s="249">
        <v>32.200000000000003</v>
      </c>
      <c r="X177" s="249">
        <v>5.88</v>
      </c>
      <c r="Y177" s="249">
        <v>2.96</v>
      </c>
      <c r="Z177" s="159">
        <v>4.42</v>
      </c>
      <c r="AA177" s="159">
        <v>3.2</v>
      </c>
      <c r="AB177" s="159">
        <v>4.42</v>
      </c>
      <c r="AC177" s="159">
        <v>5.88</v>
      </c>
      <c r="AD177" s="159"/>
      <c r="AE177" s="159"/>
      <c r="AF177" s="259"/>
      <c r="AG177" s="259"/>
      <c r="AH177" s="259">
        <v>17.600000000000001</v>
      </c>
      <c r="AI177" s="259"/>
      <c r="AJ177" s="259"/>
      <c r="AK177" s="259"/>
      <c r="AL177" s="159">
        <v>0</v>
      </c>
      <c r="AM177" s="159"/>
      <c r="AN177" s="159">
        <v>-2.5499999999999998</v>
      </c>
    </row>
    <row r="178" spans="1:40" ht="16.5" thickBot="1" x14ac:dyDescent="0.3">
      <c r="A178" s="242" t="s">
        <v>805</v>
      </c>
      <c r="B178" s="242">
        <v>183</v>
      </c>
      <c r="C178" s="242">
        <v>750</v>
      </c>
      <c r="D178" s="242">
        <v>300</v>
      </c>
      <c r="E178" s="242" t="s">
        <v>269</v>
      </c>
      <c r="F178" s="242" t="s">
        <v>239</v>
      </c>
      <c r="G178" s="266">
        <v>8860000</v>
      </c>
      <c r="H178" s="251">
        <v>71.621746619157307</v>
      </c>
      <c r="I178" s="251">
        <v>8.6857497088102793</v>
      </c>
      <c r="J178" s="251">
        <v>10.494763091264408</v>
      </c>
      <c r="K178" s="251">
        <v>3.8249327276330694</v>
      </c>
      <c r="L178" s="251">
        <v>-124.08766842921236</v>
      </c>
      <c r="M178" s="251">
        <v>-62.627031133800095</v>
      </c>
      <c r="N178" s="242" t="s">
        <v>245</v>
      </c>
      <c r="O178" s="242" t="s">
        <v>247</v>
      </c>
      <c r="P178" s="242">
        <v>0</v>
      </c>
      <c r="Q178" s="242">
        <v>0</v>
      </c>
      <c r="R178" s="242">
        <v>21.1</v>
      </c>
      <c r="S178" s="242"/>
      <c r="T178" s="242"/>
      <c r="U178" s="242">
        <v>152</v>
      </c>
      <c r="V178" s="242">
        <v>61.4</v>
      </c>
      <c r="W178" s="251">
        <v>32.200000000000003</v>
      </c>
      <c r="X178" s="251">
        <v>5.88</v>
      </c>
      <c r="Y178" s="251">
        <v>2.96</v>
      </c>
      <c r="Z178" s="242">
        <v>4.42</v>
      </c>
      <c r="AA178" s="242">
        <v>3.2</v>
      </c>
      <c r="AB178" s="242">
        <v>4.42</v>
      </c>
      <c r="AC178" s="242">
        <v>5.88</v>
      </c>
      <c r="AD178" s="242"/>
      <c r="AE178" s="242"/>
      <c r="AF178" s="261"/>
      <c r="AG178" s="261"/>
      <c r="AH178" s="261">
        <v>17.600000000000001</v>
      </c>
      <c r="AI178" s="261"/>
      <c r="AJ178" s="261"/>
      <c r="AK178" s="261"/>
      <c r="AL178" s="242">
        <v>0</v>
      </c>
      <c r="AM178" s="242"/>
      <c r="AN178" s="242">
        <v>-2.81</v>
      </c>
    </row>
    <row r="179" spans="1:40" x14ac:dyDescent="0.25">
      <c r="A179" s="159" t="s">
        <v>806</v>
      </c>
      <c r="B179" s="159">
        <v>184</v>
      </c>
      <c r="C179" s="159">
        <v>550</v>
      </c>
      <c r="D179" s="159">
        <v>1000</v>
      </c>
      <c r="E179" s="159" t="s">
        <v>876</v>
      </c>
      <c r="F179" s="159" t="s">
        <v>876</v>
      </c>
      <c r="G179" s="264">
        <v>7980000</v>
      </c>
      <c r="H179" s="249">
        <v>12.642111420380591</v>
      </c>
      <c r="I179" s="249">
        <v>18.452583764182695</v>
      </c>
      <c r="J179" s="249">
        <v>1.3371178265872956</v>
      </c>
      <c r="K179" s="249">
        <v>64.42710535390556</v>
      </c>
      <c r="L179" s="249">
        <v>-142.02465787336922</v>
      </c>
      <c r="M179" s="249">
        <v>-142.02465787336922</v>
      </c>
      <c r="N179" s="159" t="s">
        <v>228</v>
      </c>
      <c r="O179" s="159" t="s">
        <v>230</v>
      </c>
      <c r="P179" s="159">
        <v>0</v>
      </c>
      <c r="Q179" s="159">
        <v>0</v>
      </c>
      <c r="R179" s="159"/>
      <c r="S179" s="159"/>
      <c r="T179" s="159"/>
      <c r="U179" s="159"/>
      <c r="V179" s="159"/>
      <c r="W179" s="249"/>
      <c r="X179" s="249"/>
      <c r="Y179" s="249"/>
      <c r="Z179" s="159"/>
      <c r="AA179" s="159"/>
      <c r="AB179" s="159"/>
      <c r="AC179" s="159"/>
      <c r="AD179" s="159"/>
      <c r="AE179" s="159"/>
      <c r="AF179" s="259"/>
      <c r="AG179" s="259"/>
      <c r="AH179" s="259"/>
      <c r="AI179" s="259"/>
      <c r="AJ179" s="259"/>
      <c r="AK179" s="259"/>
      <c r="AL179" s="159">
        <v>0</v>
      </c>
      <c r="AM179" s="159"/>
      <c r="AN179" s="159">
        <v>-0.38</v>
      </c>
    </row>
    <row r="180" spans="1:40" ht="16.5" thickBot="1" x14ac:dyDescent="0.3">
      <c r="A180" s="242" t="s">
        <v>807</v>
      </c>
      <c r="B180" s="242">
        <v>185</v>
      </c>
      <c r="C180" s="242">
        <v>650</v>
      </c>
      <c r="D180" s="242">
        <v>1000</v>
      </c>
      <c r="E180" s="242" t="s">
        <v>876</v>
      </c>
      <c r="F180" s="242" t="s">
        <v>876</v>
      </c>
      <c r="G180" s="266">
        <v>7980000</v>
      </c>
      <c r="H180" s="251">
        <v>12.642111420380591</v>
      </c>
      <c r="I180" s="251">
        <v>18.452583764182695</v>
      </c>
      <c r="J180" s="251">
        <v>1.3371178265872956</v>
      </c>
      <c r="K180" s="251">
        <v>64.42710535390556</v>
      </c>
      <c r="L180" s="251">
        <v>-138.77321751842982</v>
      </c>
      <c r="M180" s="251">
        <v>-138.77321751842982</v>
      </c>
      <c r="N180" s="242" t="s">
        <v>228</v>
      </c>
      <c r="O180" s="242" t="s">
        <v>230</v>
      </c>
      <c r="P180" s="242">
        <v>0</v>
      </c>
      <c r="Q180" s="242">
        <v>0</v>
      </c>
      <c r="R180" s="242"/>
      <c r="S180" s="242"/>
      <c r="T180" s="242"/>
      <c r="U180" s="242"/>
      <c r="V180" s="242"/>
      <c r="W180" s="251"/>
      <c r="X180" s="251"/>
      <c r="Y180" s="251"/>
      <c r="Z180" s="242"/>
      <c r="AA180" s="242"/>
      <c r="AB180" s="242"/>
      <c r="AC180" s="242"/>
      <c r="AD180" s="242"/>
      <c r="AE180" s="242"/>
      <c r="AF180" s="261"/>
      <c r="AG180" s="261"/>
      <c r="AH180" s="261"/>
      <c r="AI180" s="261"/>
      <c r="AJ180" s="261"/>
      <c r="AK180" s="261"/>
      <c r="AL180" s="242">
        <v>0</v>
      </c>
      <c r="AM180" s="242"/>
      <c r="AN180" s="242">
        <v>-0.28999999999999998</v>
      </c>
    </row>
    <row r="181" spans="1:40" ht="16.5" thickBot="1" x14ac:dyDescent="0.3">
      <c r="A181" s="256" t="s">
        <v>808</v>
      </c>
      <c r="B181" s="256">
        <v>186</v>
      </c>
      <c r="C181" s="256">
        <v>850</v>
      </c>
      <c r="D181" s="256">
        <v>400</v>
      </c>
      <c r="E181" s="256" t="s">
        <v>233</v>
      </c>
      <c r="F181" s="256" t="s">
        <v>239</v>
      </c>
      <c r="G181" s="268">
        <v>8860000</v>
      </c>
      <c r="H181" s="257">
        <v>73.981909876303831</v>
      </c>
      <c r="I181" s="257">
        <v>8.2896865821436005</v>
      </c>
      <c r="J181" s="257">
        <v>10.765705096691875</v>
      </c>
      <c r="K181" s="257">
        <v>4.5802964723608914</v>
      </c>
      <c r="L181" s="257">
        <v>-119.73616810721417</v>
      </c>
      <c r="M181" s="257">
        <v>-60.821750226979574</v>
      </c>
      <c r="N181" s="256" t="s">
        <v>245</v>
      </c>
      <c r="O181" s="256" t="s">
        <v>230</v>
      </c>
      <c r="P181" s="256">
        <v>0</v>
      </c>
      <c r="Q181" s="256">
        <v>0</v>
      </c>
      <c r="R181" s="256">
        <v>149.5</v>
      </c>
      <c r="S181" s="256"/>
      <c r="T181" s="256"/>
      <c r="U181" s="256"/>
      <c r="V181" s="256"/>
      <c r="W181" s="257">
        <v>60.8</v>
      </c>
      <c r="X181" s="257">
        <v>26.3</v>
      </c>
      <c r="Y181" s="257"/>
      <c r="Z181" s="256">
        <v>21.4</v>
      </c>
      <c r="AA181" s="256"/>
      <c r="AB181" s="256">
        <v>12.9</v>
      </c>
      <c r="AC181" s="256"/>
      <c r="AD181" s="256"/>
      <c r="AE181" s="256"/>
      <c r="AF181" s="262"/>
      <c r="AG181" s="262"/>
      <c r="AH181" s="262"/>
      <c r="AI181" s="262"/>
      <c r="AJ181" s="262"/>
      <c r="AK181" s="262"/>
      <c r="AL181" s="256">
        <v>0</v>
      </c>
      <c r="AM181" s="256">
        <v>-26.7</v>
      </c>
      <c r="AN181" s="256">
        <v>-0.75</v>
      </c>
    </row>
    <row r="182" spans="1:40" ht="16.5" thickBot="1" x14ac:dyDescent="0.3">
      <c r="A182" s="142" t="s">
        <v>809</v>
      </c>
      <c r="B182" s="142">
        <v>187</v>
      </c>
      <c r="C182" s="142">
        <v>700</v>
      </c>
      <c r="D182" s="142">
        <v>100</v>
      </c>
      <c r="E182" s="142" t="s">
        <v>233</v>
      </c>
      <c r="F182" s="142" t="s">
        <v>239</v>
      </c>
      <c r="G182" s="269">
        <v>8860000</v>
      </c>
      <c r="H182" s="144">
        <v>74.200080615187872</v>
      </c>
      <c r="I182" s="144">
        <v>8.3163704532095206</v>
      </c>
      <c r="J182" s="144">
        <v>11.147513482272929</v>
      </c>
      <c r="K182" s="144">
        <v>4.3299416313623551</v>
      </c>
      <c r="L182" s="144">
        <v>-124.51095135457241</v>
      </c>
      <c r="M182" s="144">
        <v>-63.529671587210359</v>
      </c>
      <c r="N182" s="142" t="s">
        <v>245</v>
      </c>
      <c r="O182" s="142" t="s">
        <v>230</v>
      </c>
      <c r="P182" s="142">
        <v>0</v>
      </c>
      <c r="Q182" s="142">
        <v>0</v>
      </c>
      <c r="R182" s="142">
        <v>6.06</v>
      </c>
      <c r="S182" s="142"/>
      <c r="T182" s="142"/>
      <c r="U182" s="142"/>
      <c r="V182" s="142"/>
      <c r="W182" s="144">
        <v>9.5399999999999991</v>
      </c>
      <c r="X182" s="144">
        <v>1.72</v>
      </c>
      <c r="Y182" s="144"/>
      <c r="Z182" s="142">
        <v>0.12</v>
      </c>
      <c r="AA182" s="142"/>
      <c r="AB182" s="142">
        <v>0.27</v>
      </c>
      <c r="AC182" s="142"/>
      <c r="AD182" s="142"/>
      <c r="AE182" s="142"/>
      <c r="AF182" s="153"/>
      <c r="AG182" s="153"/>
      <c r="AH182" s="153"/>
      <c r="AI182" s="153"/>
      <c r="AJ182" s="153"/>
      <c r="AK182" s="153"/>
      <c r="AL182" s="142">
        <v>0</v>
      </c>
      <c r="AM182" s="142">
        <v>-20</v>
      </c>
      <c r="AN182" s="142">
        <v>-0.41</v>
      </c>
    </row>
    <row r="183" spans="1:40" x14ac:dyDescent="0.25">
      <c r="A183" s="159" t="s">
        <v>810</v>
      </c>
      <c r="B183" s="159">
        <v>188</v>
      </c>
      <c r="C183" s="159">
        <v>800</v>
      </c>
      <c r="D183" s="159">
        <v>400</v>
      </c>
      <c r="E183" s="159" t="s">
        <v>233</v>
      </c>
      <c r="F183" s="159" t="s">
        <v>239</v>
      </c>
      <c r="G183" s="264">
        <v>8860000</v>
      </c>
      <c r="H183" s="249">
        <v>74.915643402739775</v>
      </c>
      <c r="I183" s="249">
        <v>8.322063683582293</v>
      </c>
      <c r="J183" s="249">
        <v>11.155144859770511</v>
      </c>
      <c r="K183" s="249">
        <v>4.3329058277442627</v>
      </c>
      <c r="L183" s="249">
        <v>-120.90042630664524</v>
      </c>
      <c r="M183" s="249">
        <v>-61.724390680389831</v>
      </c>
      <c r="N183" s="159" t="s">
        <v>245</v>
      </c>
      <c r="O183" s="159" t="s">
        <v>230</v>
      </c>
      <c r="P183" s="159">
        <v>0</v>
      </c>
      <c r="Q183" s="159">
        <v>0</v>
      </c>
      <c r="R183" s="159">
        <v>76.459999999999994</v>
      </c>
      <c r="S183" s="159"/>
      <c r="T183" s="159"/>
      <c r="U183" s="159"/>
      <c r="V183" s="159"/>
      <c r="W183" s="249">
        <v>26.18</v>
      </c>
      <c r="X183" s="249">
        <v>12.19</v>
      </c>
      <c r="Y183" s="249"/>
      <c r="Z183" s="159"/>
      <c r="AA183" s="159"/>
      <c r="AB183" s="159"/>
      <c r="AC183" s="159"/>
      <c r="AD183" s="159"/>
      <c r="AE183" s="159"/>
      <c r="AF183" s="259"/>
      <c r="AG183" s="259"/>
      <c r="AH183" s="259"/>
      <c r="AI183" s="259"/>
      <c r="AJ183" s="259"/>
      <c r="AK183" s="259"/>
      <c r="AL183" s="159">
        <v>0</v>
      </c>
      <c r="AM183" s="159">
        <v>-13.5</v>
      </c>
      <c r="AN183" s="159">
        <v>0.20399999999999999</v>
      </c>
    </row>
    <row r="184" spans="1:40" x14ac:dyDescent="0.25">
      <c r="A184" s="241" t="s">
        <v>811</v>
      </c>
      <c r="B184" s="241">
        <v>189</v>
      </c>
      <c r="C184" s="241">
        <v>700</v>
      </c>
      <c r="D184" s="241">
        <v>168</v>
      </c>
      <c r="E184" s="241" t="s">
        <v>233</v>
      </c>
      <c r="F184" s="241" t="s">
        <v>487</v>
      </c>
      <c r="G184" s="265">
        <v>7850000</v>
      </c>
      <c r="H184" s="250">
        <v>23.600038227554464</v>
      </c>
      <c r="I184" s="250">
        <v>21.251438715936718</v>
      </c>
      <c r="J184" s="250">
        <v>0.87251135956639791</v>
      </c>
      <c r="K184" s="250">
        <v>51.384779266092856</v>
      </c>
      <c r="L184" s="250">
        <v>-135.68673034387308</v>
      </c>
      <c r="M184" s="250">
        <v>-63.529671587210359</v>
      </c>
      <c r="N184" s="241" t="s">
        <v>245</v>
      </c>
      <c r="O184" s="241" t="s">
        <v>247</v>
      </c>
      <c r="P184" s="241">
        <v>0</v>
      </c>
      <c r="Q184" s="241">
        <v>2</v>
      </c>
      <c r="R184" s="241"/>
      <c r="S184" s="241"/>
      <c r="T184" s="241"/>
      <c r="U184" s="241"/>
      <c r="V184" s="241"/>
      <c r="W184" s="250"/>
      <c r="X184" s="250"/>
      <c r="Y184" s="250"/>
      <c r="Z184" s="241"/>
      <c r="AA184" s="241"/>
      <c r="AB184" s="241"/>
      <c r="AC184" s="241"/>
      <c r="AD184" s="241"/>
      <c r="AE184" s="241"/>
      <c r="AF184" s="258"/>
      <c r="AG184" s="258"/>
      <c r="AH184" s="258"/>
      <c r="AI184" s="258"/>
      <c r="AJ184" s="258"/>
      <c r="AK184" s="258"/>
      <c r="AL184" s="241">
        <v>0</v>
      </c>
      <c r="AM184" s="241">
        <v>-94.23</v>
      </c>
      <c r="AN184" s="241"/>
    </row>
    <row r="185" spans="1:40" ht="16.5" thickBot="1" x14ac:dyDescent="0.3">
      <c r="A185" s="160" t="s">
        <v>812</v>
      </c>
      <c r="B185" s="160">
        <v>190</v>
      </c>
      <c r="C185" s="160">
        <v>700</v>
      </c>
      <c r="D185" s="160">
        <v>336</v>
      </c>
      <c r="E185" s="160" t="s">
        <v>233</v>
      </c>
      <c r="F185" s="160" t="s">
        <v>487</v>
      </c>
      <c r="G185" s="267">
        <v>7850000</v>
      </c>
      <c r="H185" s="252">
        <v>23.600038227554464</v>
      </c>
      <c r="I185" s="252">
        <v>21.251438715936718</v>
      </c>
      <c r="J185" s="252">
        <v>0.87251135956639791</v>
      </c>
      <c r="K185" s="252">
        <v>51.384779266092856</v>
      </c>
      <c r="L185" s="252">
        <v>-135.68673034387308</v>
      </c>
      <c r="M185" s="252">
        <v>-63.529671587210359</v>
      </c>
      <c r="N185" s="160" t="s">
        <v>245</v>
      </c>
      <c r="O185" s="160" t="s">
        <v>247</v>
      </c>
      <c r="P185" s="160">
        <v>0</v>
      </c>
      <c r="Q185" s="160">
        <v>2</v>
      </c>
      <c r="R185" s="160"/>
      <c r="S185" s="160"/>
      <c r="T185" s="160"/>
      <c r="U185" s="160"/>
      <c r="V185" s="160"/>
      <c r="W185" s="252"/>
      <c r="X185" s="252"/>
      <c r="Y185" s="252"/>
      <c r="Z185" s="160"/>
      <c r="AA185" s="160"/>
      <c r="AB185" s="160"/>
      <c r="AC185" s="160"/>
      <c r="AD185" s="160"/>
      <c r="AE185" s="160"/>
      <c r="AF185" s="260"/>
      <c r="AG185" s="260"/>
      <c r="AH185" s="260"/>
      <c r="AI185" s="260"/>
      <c r="AJ185" s="260"/>
      <c r="AK185" s="260"/>
      <c r="AL185" s="160">
        <v>0</v>
      </c>
      <c r="AM185" s="160">
        <v>-97.31</v>
      </c>
      <c r="AN185" s="160"/>
    </row>
    <row r="186" spans="1:40" x14ac:dyDescent="0.25">
      <c r="A186" s="241" t="s">
        <v>813</v>
      </c>
      <c r="B186" s="241">
        <v>191</v>
      </c>
      <c r="C186" s="241">
        <v>650</v>
      </c>
      <c r="D186" s="241">
        <v>15</v>
      </c>
      <c r="E186" s="241" t="s">
        <v>233</v>
      </c>
      <c r="F186" s="241" t="s">
        <v>493</v>
      </c>
      <c r="G186" s="265">
        <v>9220000</v>
      </c>
      <c r="H186" s="250">
        <v>74.148777135847197</v>
      </c>
      <c r="I186" s="250">
        <v>1.6677918702059928</v>
      </c>
      <c r="J186" s="250">
        <v>17.535716129532382</v>
      </c>
      <c r="K186" s="250">
        <v>3.9284110006802928</v>
      </c>
      <c r="L186" s="250">
        <v>-124.41412875304353</v>
      </c>
      <c r="M186" s="250">
        <v>-64.432312040620616</v>
      </c>
      <c r="N186" s="241" t="s">
        <v>245</v>
      </c>
      <c r="O186" s="241" t="s">
        <v>247</v>
      </c>
      <c r="P186" s="241">
        <v>0</v>
      </c>
      <c r="Q186" s="241">
        <v>0</v>
      </c>
      <c r="R186" s="241"/>
      <c r="S186" s="241"/>
      <c r="T186" s="241"/>
      <c r="U186" s="241"/>
      <c r="V186" s="241"/>
      <c r="W186" s="250"/>
      <c r="X186" s="250"/>
      <c r="Y186" s="250"/>
      <c r="Z186" s="241"/>
      <c r="AA186" s="241"/>
      <c r="AB186" s="241"/>
      <c r="AC186" s="241"/>
      <c r="AD186" s="241"/>
      <c r="AE186" s="241"/>
      <c r="AF186" s="258"/>
      <c r="AG186" s="258"/>
      <c r="AH186" s="258"/>
      <c r="AI186" s="258"/>
      <c r="AJ186" s="258"/>
      <c r="AK186" s="258"/>
      <c r="AL186" s="241">
        <v>0</v>
      </c>
      <c r="AM186" s="241"/>
      <c r="AN186" s="241">
        <v>-2.7</v>
      </c>
    </row>
    <row r="187" spans="1:40" x14ac:dyDescent="0.25">
      <c r="A187" s="159" t="s">
        <v>814</v>
      </c>
      <c r="B187" s="159">
        <v>192</v>
      </c>
      <c r="C187" s="159">
        <v>650</v>
      </c>
      <c r="D187" s="159">
        <v>35</v>
      </c>
      <c r="E187" s="159" t="s">
        <v>233</v>
      </c>
      <c r="F187" s="159" t="s">
        <v>493</v>
      </c>
      <c r="G187" s="264">
        <v>9220000</v>
      </c>
      <c r="H187" s="249">
        <v>74.148777135847197</v>
      </c>
      <c r="I187" s="249">
        <v>1.6677918702059928</v>
      </c>
      <c r="J187" s="249">
        <v>17.535716129532382</v>
      </c>
      <c r="K187" s="249">
        <v>3.9284110006802928</v>
      </c>
      <c r="L187" s="249">
        <v>-124.41412875304353</v>
      </c>
      <c r="M187" s="249">
        <v>-64.432312040620616</v>
      </c>
      <c r="N187" s="159" t="s">
        <v>245</v>
      </c>
      <c r="O187" s="159" t="s">
        <v>247</v>
      </c>
      <c r="P187" s="159">
        <v>0</v>
      </c>
      <c r="Q187" s="159">
        <v>0</v>
      </c>
      <c r="R187" s="159"/>
      <c r="S187" s="159"/>
      <c r="T187" s="159"/>
      <c r="U187" s="159"/>
      <c r="V187" s="159"/>
      <c r="W187" s="249"/>
      <c r="X187" s="249"/>
      <c r="Y187" s="249"/>
      <c r="Z187" s="159"/>
      <c r="AA187" s="159"/>
      <c r="AB187" s="159"/>
      <c r="AC187" s="159"/>
      <c r="AD187" s="159"/>
      <c r="AE187" s="159"/>
      <c r="AF187" s="259"/>
      <c r="AG187" s="259"/>
      <c r="AH187" s="259"/>
      <c r="AI187" s="259"/>
      <c r="AJ187" s="259"/>
      <c r="AK187" s="259"/>
      <c r="AL187" s="159">
        <v>0</v>
      </c>
      <c r="AM187" s="159"/>
      <c r="AN187" s="159">
        <v>-5.0599999999999996</v>
      </c>
    </row>
    <row r="188" spans="1:40" x14ac:dyDescent="0.25">
      <c r="A188" s="241" t="s">
        <v>815</v>
      </c>
      <c r="B188" s="241">
        <v>193</v>
      </c>
      <c r="C188" s="241">
        <v>650</v>
      </c>
      <c r="D188" s="241">
        <v>60</v>
      </c>
      <c r="E188" s="241" t="s">
        <v>233</v>
      </c>
      <c r="F188" s="241" t="s">
        <v>493</v>
      </c>
      <c r="G188" s="265">
        <v>9220000</v>
      </c>
      <c r="H188" s="250">
        <v>74.148777135847197</v>
      </c>
      <c r="I188" s="250">
        <v>1.6677918702059928</v>
      </c>
      <c r="J188" s="250">
        <v>17.535716129532382</v>
      </c>
      <c r="K188" s="250">
        <v>3.9284110006802928</v>
      </c>
      <c r="L188" s="250">
        <v>-124.41412875304353</v>
      </c>
      <c r="M188" s="250">
        <v>-64.432312040620616</v>
      </c>
      <c r="N188" s="241" t="s">
        <v>245</v>
      </c>
      <c r="O188" s="241" t="s">
        <v>247</v>
      </c>
      <c r="P188" s="241">
        <v>0</v>
      </c>
      <c r="Q188" s="241">
        <v>0</v>
      </c>
      <c r="R188" s="241"/>
      <c r="S188" s="241"/>
      <c r="T188" s="241"/>
      <c r="U188" s="241"/>
      <c r="V188" s="241"/>
      <c r="W188" s="250"/>
      <c r="X188" s="250"/>
      <c r="Y188" s="250"/>
      <c r="Z188" s="241"/>
      <c r="AA188" s="241"/>
      <c r="AB188" s="241"/>
      <c r="AC188" s="241"/>
      <c r="AD188" s="241"/>
      <c r="AE188" s="241"/>
      <c r="AF188" s="258"/>
      <c r="AG188" s="258"/>
      <c r="AH188" s="258"/>
      <c r="AI188" s="258"/>
      <c r="AJ188" s="258"/>
      <c r="AK188" s="258"/>
      <c r="AL188" s="241">
        <v>0</v>
      </c>
      <c r="AM188" s="241">
        <v>-30</v>
      </c>
      <c r="AN188" s="241">
        <v>-10.94</v>
      </c>
    </row>
    <row r="189" spans="1:40" x14ac:dyDescent="0.25">
      <c r="A189" s="159" t="s">
        <v>816</v>
      </c>
      <c r="B189" s="159">
        <v>194</v>
      </c>
      <c r="C189" s="159">
        <v>650</v>
      </c>
      <c r="D189" s="159">
        <v>84</v>
      </c>
      <c r="E189" s="159" t="s">
        <v>233</v>
      </c>
      <c r="F189" s="159" t="s">
        <v>493</v>
      </c>
      <c r="G189" s="264">
        <v>9220000</v>
      </c>
      <c r="H189" s="249">
        <v>74.148777135847197</v>
      </c>
      <c r="I189" s="249">
        <v>1.6677918702059928</v>
      </c>
      <c r="J189" s="249">
        <v>17.535716129532382</v>
      </c>
      <c r="K189" s="249">
        <v>3.9284110006802928</v>
      </c>
      <c r="L189" s="249">
        <v>-124.41412875304353</v>
      </c>
      <c r="M189" s="249">
        <v>-64.432312040620616</v>
      </c>
      <c r="N189" s="159" t="s">
        <v>245</v>
      </c>
      <c r="O189" s="159" t="s">
        <v>247</v>
      </c>
      <c r="P189" s="159">
        <v>0</v>
      </c>
      <c r="Q189" s="159">
        <v>0</v>
      </c>
      <c r="R189" s="159"/>
      <c r="S189" s="159"/>
      <c r="T189" s="159"/>
      <c r="U189" s="159"/>
      <c r="V189" s="159"/>
      <c r="W189" s="249"/>
      <c r="X189" s="249"/>
      <c r="Y189" s="249"/>
      <c r="Z189" s="159"/>
      <c r="AA189" s="159"/>
      <c r="AB189" s="159"/>
      <c r="AC189" s="159"/>
      <c r="AD189" s="159"/>
      <c r="AE189" s="159"/>
      <c r="AF189" s="259"/>
      <c r="AG189" s="259"/>
      <c r="AH189" s="259"/>
      <c r="AI189" s="259"/>
      <c r="AJ189" s="259"/>
      <c r="AK189" s="259"/>
      <c r="AL189" s="159">
        <v>0</v>
      </c>
      <c r="AM189" s="159"/>
      <c r="AN189" s="159">
        <v>-10.59</v>
      </c>
    </row>
    <row r="190" spans="1:40" x14ac:dyDescent="0.25">
      <c r="A190" s="241" t="s">
        <v>817</v>
      </c>
      <c r="B190" s="241">
        <v>195</v>
      </c>
      <c r="C190" s="241">
        <v>650</v>
      </c>
      <c r="D190" s="241">
        <v>60</v>
      </c>
      <c r="E190" s="241" t="s">
        <v>233</v>
      </c>
      <c r="F190" s="241" t="s">
        <v>251</v>
      </c>
      <c r="G190" s="265">
        <v>8900000</v>
      </c>
      <c r="H190" s="250">
        <v>99.766330310999692</v>
      </c>
      <c r="I190" s="250">
        <v>0</v>
      </c>
      <c r="J190" s="250">
        <v>0</v>
      </c>
      <c r="K190" s="250">
        <v>2.1012024718166239E-2</v>
      </c>
      <c r="L190" s="250">
        <v>-123.61947666106582</v>
      </c>
      <c r="M190" s="250">
        <v>-64.432312040620616</v>
      </c>
      <c r="N190" s="241" t="s">
        <v>245</v>
      </c>
      <c r="O190" s="241" t="s">
        <v>247</v>
      </c>
      <c r="P190" s="241">
        <v>0</v>
      </c>
      <c r="Q190" s="241">
        <v>0</v>
      </c>
      <c r="R190" s="241"/>
      <c r="S190" s="241"/>
      <c r="T190" s="241"/>
      <c r="U190" s="241"/>
      <c r="V190" s="241"/>
      <c r="W190" s="250"/>
      <c r="X190" s="250"/>
      <c r="Y190" s="250"/>
      <c r="Z190" s="241"/>
      <c r="AA190" s="241"/>
      <c r="AB190" s="241"/>
      <c r="AC190" s="241"/>
      <c r="AD190" s="241"/>
      <c r="AE190" s="241"/>
      <c r="AF190" s="258"/>
      <c r="AG190" s="258"/>
      <c r="AH190" s="258"/>
      <c r="AI190" s="258"/>
      <c r="AJ190" s="258"/>
      <c r="AK190" s="258"/>
      <c r="AL190" s="241">
        <v>0</v>
      </c>
      <c r="AM190" s="241">
        <v>-0.1</v>
      </c>
      <c r="AN190" s="241">
        <v>-4.92</v>
      </c>
    </row>
    <row r="191" spans="1:40" x14ac:dyDescent="0.25">
      <c r="A191" s="159" t="s">
        <v>818</v>
      </c>
      <c r="B191" s="159">
        <v>196</v>
      </c>
      <c r="C191" s="159">
        <v>650</v>
      </c>
      <c r="D191" s="159">
        <v>60</v>
      </c>
      <c r="E191" s="159" t="s">
        <v>233</v>
      </c>
      <c r="F191" s="159" t="s">
        <v>876</v>
      </c>
      <c r="G191" s="264">
        <v>7980000</v>
      </c>
      <c r="H191" s="249">
        <v>9.7155192731119779</v>
      </c>
      <c r="I191" s="249">
        <v>17.566129127957652</v>
      </c>
      <c r="J191" s="249">
        <v>1.1652311334390075</v>
      </c>
      <c r="K191" s="249">
        <v>69.614246188790801</v>
      </c>
      <c r="L191" s="249">
        <v>-138.97535869488544</v>
      </c>
      <c r="M191" s="249">
        <v>-64.432312040620616</v>
      </c>
      <c r="N191" s="159" t="s">
        <v>245</v>
      </c>
      <c r="O191" s="159" t="s">
        <v>247</v>
      </c>
      <c r="P191" s="159">
        <v>0</v>
      </c>
      <c r="Q191" s="159">
        <v>0</v>
      </c>
      <c r="R191" s="159"/>
      <c r="S191" s="159"/>
      <c r="T191" s="159"/>
      <c r="U191" s="159"/>
      <c r="V191" s="159"/>
      <c r="W191" s="249"/>
      <c r="X191" s="249"/>
      <c r="Y191" s="249"/>
      <c r="Z191" s="159"/>
      <c r="AA191" s="159"/>
      <c r="AB191" s="159"/>
      <c r="AC191" s="159"/>
      <c r="AD191" s="159"/>
      <c r="AE191" s="159"/>
      <c r="AF191" s="259"/>
      <c r="AG191" s="259"/>
      <c r="AH191" s="259"/>
      <c r="AI191" s="259"/>
      <c r="AJ191" s="259"/>
      <c r="AK191" s="259"/>
      <c r="AL191" s="159">
        <v>0</v>
      </c>
      <c r="AM191" s="159">
        <v>-37.5</v>
      </c>
      <c r="AN191" s="159">
        <v>-107.58</v>
      </c>
    </row>
    <row r="192" spans="1:40" x14ac:dyDescent="0.25">
      <c r="A192" s="241" t="s">
        <v>819</v>
      </c>
      <c r="B192" s="241">
        <v>197</v>
      </c>
      <c r="C192" s="241">
        <v>650</v>
      </c>
      <c r="D192" s="241">
        <v>60</v>
      </c>
      <c r="E192" s="241" t="s">
        <v>233</v>
      </c>
      <c r="F192" s="241" t="s">
        <v>876</v>
      </c>
      <c r="G192" s="265">
        <v>8000000</v>
      </c>
      <c r="H192" s="250">
        <v>12.556208076085163</v>
      </c>
      <c r="I192" s="250">
        <v>19.663650831853669</v>
      </c>
      <c r="J192" s="250">
        <v>1.773985511658648</v>
      </c>
      <c r="K192" s="250">
        <v>63.557133030230403</v>
      </c>
      <c r="L192" s="250">
        <v>-138.80847392322406</v>
      </c>
      <c r="M192" s="250">
        <v>-64.432312040620616</v>
      </c>
      <c r="N192" s="241" t="s">
        <v>245</v>
      </c>
      <c r="O192" s="241" t="s">
        <v>247</v>
      </c>
      <c r="P192" s="241">
        <v>0</v>
      </c>
      <c r="Q192" s="241">
        <v>0</v>
      </c>
      <c r="R192" s="241"/>
      <c r="S192" s="241"/>
      <c r="T192" s="241"/>
      <c r="U192" s="241"/>
      <c r="V192" s="241"/>
      <c r="W192" s="250"/>
      <c r="X192" s="250"/>
      <c r="Y192" s="250"/>
      <c r="Z192" s="241"/>
      <c r="AA192" s="241"/>
      <c r="AB192" s="241"/>
      <c r="AC192" s="241"/>
      <c r="AD192" s="241"/>
      <c r="AE192" s="241"/>
      <c r="AF192" s="258"/>
      <c r="AG192" s="258"/>
      <c r="AH192" s="258"/>
      <c r="AI192" s="258"/>
      <c r="AJ192" s="258"/>
      <c r="AK192" s="258"/>
      <c r="AL192" s="241">
        <v>0</v>
      </c>
      <c r="AM192" s="241">
        <v>-98.2</v>
      </c>
      <c r="AN192" s="241">
        <v>-97.67</v>
      </c>
    </row>
    <row r="193" spans="1:40" ht="16.5" thickBot="1" x14ac:dyDescent="0.3">
      <c r="A193" s="159" t="s">
        <v>820</v>
      </c>
      <c r="B193" s="159">
        <v>198</v>
      </c>
      <c r="C193" s="159">
        <v>650</v>
      </c>
      <c r="D193" s="159">
        <v>60</v>
      </c>
      <c r="E193" s="159" t="s">
        <v>233</v>
      </c>
      <c r="F193" s="159" t="s">
        <v>250</v>
      </c>
      <c r="G193" s="264">
        <v>7940000</v>
      </c>
      <c r="H193" s="249">
        <v>28.631940546184431</v>
      </c>
      <c r="I193" s="249">
        <v>22.119050915575794</v>
      </c>
      <c r="J193" s="249">
        <v>0.10969980218450089</v>
      </c>
      <c r="K193" s="249">
        <v>46.178411626106566</v>
      </c>
      <c r="L193" s="249">
        <v>-137.58755767812215</v>
      </c>
      <c r="M193" s="249">
        <v>-64.432312040620616</v>
      </c>
      <c r="N193" s="159" t="s">
        <v>245</v>
      </c>
      <c r="O193" s="159" t="s">
        <v>247</v>
      </c>
      <c r="P193" s="159">
        <v>0</v>
      </c>
      <c r="Q193" s="159">
        <v>0</v>
      </c>
      <c r="R193" s="159"/>
      <c r="S193" s="159"/>
      <c r="T193" s="159"/>
      <c r="U193" s="159"/>
      <c r="V193" s="159"/>
      <c r="W193" s="249"/>
      <c r="X193" s="249"/>
      <c r="Y193" s="249"/>
      <c r="Z193" s="159"/>
      <c r="AA193" s="159"/>
      <c r="AB193" s="159"/>
      <c r="AC193" s="159"/>
      <c r="AD193" s="159"/>
      <c r="AE193" s="159"/>
      <c r="AF193" s="259"/>
      <c r="AG193" s="259"/>
      <c r="AH193" s="259"/>
      <c r="AI193" s="259"/>
      <c r="AJ193" s="259"/>
      <c r="AK193" s="259"/>
      <c r="AL193" s="159">
        <v>0</v>
      </c>
      <c r="AM193" s="159">
        <v>-53.2</v>
      </c>
      <c r="AN193" s="159">
        <v>-214.39</v>
      </c>
    </row>
    <row r="194" spans="1:40" ht="16.5" thickBot="1" x14ac:dyDescent="0.3">
      <c r="A194" s="142" t="s">
        <v>821</v>
      </c>
      <c r="B194" s="142">
        <v>199</v>
      </c>
      <c r="C194" s="142">
        <v>650</v>
      </c>
      <c r="D194" s="142">
        <v>60</v>
      </c>
      <c r="E194" s="142" t="s">
        <v>233</v>
      </c>
      <c r="F194" s="142" t="s">
        <v>314</v>
      </c>
      <c r="G194" s="269">
        <v>8440000</v>
      </c>
      <c r="H194" s="144">
        <v>61.249275467984226</v>
      </c>
      <c r="I194" s="144">
        <v>24.686565165283</v>
      </c>
      <c r="J194" s="144">
        <v>5.3930411888303764</v>
      </c>
      <c r="K194" s="144">
        <v>5.0687712601134605</v>
      </c>
      <c r="L194" s="144">
        <v>-131.88275644330508</v>
      </c>
      <c r="M194" s="144">
        <v>-64.432312040620616</v>
      </c>
      <c r="N194" s="142" t="s">
        <v>245</v>
      </c>
      <c r="O194" s="142" t="s">
        <v>247</v>
      </c>
      <c r="P194" s="142">
        <v>0</v>
      </c>
      <c r="Q194" s="142">
        <v>0</v>
      </c>
      <c r="R194" s="142"/>
      <c r="S194" s="142"/>
      <c r="T194" s="142"/>
      <c r="U194" s="142"/>
      <c r="V194" s="142"/>
      <c r="W194" s="144"/>
      <c r="X194" s="144"/>
      <c r="Y194" s="144"/>
      <c r="Z194" s="142"/>
      <c r="AA194" s="142"/>
      <c r="AB194" s="142"/>
      <c r="AC194" s="142"/>
      <c r="AD194" s="142"/>
      <c r="AE194" s="142"/>
      <c r="AF194" s="153"/>
      <c r="AG194" s="153"/>
      <c r="AH194" s="153"/>
      <c r="AI194" s="153"/>
      <c r="AJ194" s="153"/>
      <c r="AK194" s="153"/>
      <c r="AL194" s="142">
        <v>0</v>
      </c>
      <c r="AM194" s="142">
        <v>-49.4</v>
      </c>
      <c r="AN194" s="142">
        <v>-137</v>
      </c>
    </row>
    <row r="195" spans="1:40" x14ac:dyDescent="0.25">
      <c r="A195" s="159" t="s">
        <v>822</v>
      </c>
      <c r="B195" s="159">
        <v>200</v>
      </c>
      <c r="C195" s="159">
        <v>550</v>
      </c>
      <c r="D195" s="159">
        <v>720</v>
      </c>
      <c r="E195" s="159" t="s">
        <v>233</v>
      </c>
      <c r="F195" s="159" t="s">
        <v>876</v>
      </c>
      <c r="G195" s="264">
        <v>7980000</v>
      </c>
      <c r="H195" s="249">
        <v>9.7793904265458007</v>
      </c>
      <c r="I195" s="249">
        <v>18.453230324283425</v>
      </c>
      <c r="J195" s="249">
        <v>1.3919162740238202</v>
      </c>
      <c r="K195" s="249">
        <v>67.643951486161157</v>
      </c>
      <c r="L195" s="249">
        <v>-142.25854075460722</v>
      </c>
      <c r="M195" s="249">
        <v>-66.237592947441144</v>
      </c>
      <c r="N195" s="159" t="s">
        <v>506</v>
      </c>
      <c r="O195" s="159" t="s">
        <v>247</v>
      </c>
      <c r="P195" s="159">
        <v>0</v>
      </c>
      <c r="Q195" s="159">
        <v>0</v>
      </c>
      <c r="R195" s="159"/>
      <c r="S195" s="159"/>
      <c r="T195" s="159"/>
      <c r="U195" s="159"/>
      <c r="V195" s="159"/>
      <c r="W195" s="249"/>
      <c r="X195" s="249"/>
      <c r="Y195" s="249"/>
      <c r="Z195" s="159"/>
      <c r="AA195" s="159"/>
      <c r="AB195" s="159"/>
      <c r="AC195" s="159"/>
      <c r="AD195" s="159"/>
      <c r="AE195" s="159"/>
      <c r="AF195" s="259"/>
      <c r="AG195" s="259"/>
      <c r="AH195" s="259"/>
      <c r="AI195" s="259"/>
      <c r="AJ195" s="259"/>
      <c r="AK195" s="259"/>
      <c r="AL195" s="159">
        <v>0</v>
      </c>
      <c r="AM195" s="159"/>
      <c r="AN195" s="159">
        <v>-0.75</v>
      </c>
    </row>
    <row r="196" spans="1:40" x14ac:dyDescent="0.25">
      <c r="A196" s="241" t="s">
        <v>823</v>
      </c>
      <c r="B196" s="241">
        <v>201</v>
      </c>
      <c r="C196" s="241">
        <v>700</v>
      </c>
      <c r="D196" s="241">
        <v>720</v>
      </c>
      <c r="E196" s="241" t="s">
        <v>233</v>
      </c>
      <c r="F196" s="241" t="s">
        <v>876</v>
      </c>
      <c r="G196" s="265">
        <v>7980000</v>
      </c>
      <c r="H196" s="250">
        <v>9.7793904265458007</v>
      </c>
      <c r="I196" s="250">
        <v>18.453230324283425</v>
      </c>
      <c r="J196" s="250">
        <v>1.3919162740238202</v>
      </c>
      <c r="K196" s="250">
        <v>67.643951486161157</v>
      </c>
      <c r="L196" s="250">
        <v>-137.38764590231389</v>
      </c>
      <c r="M196" s="250">
        <v>-63.529671587210359</v>
      </c>
      <c r="N196" s="241" t="s">
        <v>506</v>
      </c>
      <c r="O196" s="241" t="s">
        <v>247</v>
      </c>
      <c r="P196" s="241">
        <v>0</v>
      </c>
      <c r="Q196" s="241">
        <v>0</v>
      </c>
      <c r="R196" s="241"/>
      <c r="S196" s="241"/>
      <c r="T196" s="241"/>
      <c r="U196" s="241"/>
      <c r="V196" s="241"/>
      <c r="W196" s="250"/>
      <c r="X196" s="250"/>
      <c r="Y196" s="250"/>
      <c r="Z196" s="241"/>
      <c r="AA196" s="241"/>
      <c r="AB196" s="241"/>
      <c r="AC196" s="241"/>
      <c r="AD196" s="241"/>
      <c r="AE196" s="241"/>
      <c r="AF196" s="258"/>
      <c r="AG196" s="258"/>
      <c r="AH196" s="258"/>
      <c r="AI196" s="258"/>
      <c r="AJ196" s="258"/>
      <c r="AK196" s="258"/>
      <c r="AL196" s="241">
        <v>0</v>
      </c>
      <c r="AM196" s="241"/>
      <c r="AN196" s="241">
        <v>-1.1200000000000001</v>
      </c>
    </row>
    <row r="197" spans="1:40" x14ac:dyDescent="0.25">
      <c r="A197" s="159" t="s">
        <v>824</v>
      </c>
      <c r="B197" s="159">
        <v>202</v>
      </c>
      <c r="C197" s="159">
        <v>550</v>
      </c>
      <c r="D197" s="159">
        <v>2160</v>
      </c>
      <c r="E197" s="159" t="s">
        <v>233</v>
      </c>
      <c r="F197" s="159" t="s">
        <v>876</v>
      </c>
      <c r="G197" s="264">
        <v>7980000</v>
      </c>
      <c r="H197" s="249">
        <v>9.7793904265458007</v>
      </c>
      <c r="I197" s="249">
        <v>18.453230324283425</v>
      </c>
      <c r="J197" s="249">
        <v>1.3919162740238202</v>
      </c>
      <c r="K197" s="249">
        <v>67.643951486161157</v>
      </c>
      <c r="L197" s="249">
        <v>-142.25854075460722</v>
      </c>
      <c r="M197" s="249">
        <v>-66.237592947441144</v>
      </c>
      <c r="N197" s="159" t="s">
        <v>506</v>
      </c>
      <c r="O197" s="159" t="s">
        <v>247</v>
      </c>
      <c r="P197" s="159">
        <v>0</v>
      </c>
      <c r="Q197" s="159">
        <v>0</v>
      </c>
      <c r="R197" s="159"/>
      <c r="S197" s="159"/>
      <c r="T197" s="159"/>
      <c r="U197" s="159"/>
      <c r="V197" s="159"/>
      <c r="W197" s="249"/>
      <c r="X197" s="249"/>
      <c r="Y197" s="249"/>
      <c r="Z197" s="159"/>
      <c r="AA197" s="159"/>
      <c r="AB197" s="159"/>
      <c r="AC197" s="159"/>
      <c r="AD197" s="159"/>
      <c r="AE197" s="159"/>
      <c r="AF197" s="259"/>
      <c r="AG197" s="259"/>
      <c r="AH197" s="259"/>
      <c r="AI197" s="259"/>
      <c r="AJ197" s="259"/>
      <c r="AK197" s="259"/>
      <c r="AL197" s="159">
        <v>0</v>
      </c>
      <c r="AM197" s="159"/>
      <c r="AN197" s="159">
        <v>-0.63</v>
      </c>
    </row>
    <row r="198" spans="1:40" x14ac:dyDescent="0.25">
      <c r="A198" s="241" t="s">
        <v>825</v>
      </c>
      <c r="B198" s="241">
        <v>203</v>
      </c>
      <c r="C198" s="241">
        <v>700</v>
      </c>
      <c r="D198" s="241">
        <v>2160</v>
      </c>
      <c r="E198" s="241" t="s">
        <v>233</v>
      </c>
      <c r="F198" s="241" t="s">
        <v>876</v>
      </c>
      <c r="G198" s="265">
        <v>7980000</v>
      </c>
      <c r="H198" s="250">
        <v>9.7793904265458007</v>
      </c>
      <c r="I198" s="250">
        <v>18.453230324283425</v>
      </c>
      <c r="J198" s="250">
        <v>1.3919162740238202</v>
      </c>
      <c r="K198" s="250">
        <v>67.643951486161157</v>
      </c>
      <c r="L198" s="250">
        <v>-137.38764590231389</v>
      </c>
      <c r="M198" s="250">
        <v>-63.529671587210359</v>
      </c>
      <c r="N198" s="241" t="s">
        <v>506</v>
      </c>
      <c r="O198" s="241" t="s">
        <v>247</v>
      </c>
      <c r="P198" s="241">
        <v>0</v>
      </c>
      <c r="Q198" s="241">
        <v>0</v>
      </c>
      <c r="R198" s="241"/>
      <c r="S198" s="241"/>
      <c r="T198" s="241"/>
      <c r="U198" s="241"/>
      <c r="V198" s="241"/>
      <c r="W198" s="250"/>
      <c r="X198" s="250"/>
      <c r="Y198" s="250"/>
      <c r="Z198" s="241"/>
      <c r="AA198" s="241"/>
      <c r="AB198" s="241"/>
      <c r="AC198" s="241"/>
      <c r="AD198" s="241"/>
      <c r="AE198" s="241"/>
      <c r="AF198" s="258"/>
      <c r="AG198" s="258"/>
      <c r="AH198" s="258"/>
      <c r="AI198" s="258"/>
      <c r="AJ198" s="258"/>
      <c r="AK198" s="258"/>
      <c r="AL198" s="241">
        <v>0</v>
      </c>
      <c r="AM198" s="241"/>
      <c r="AN198" s="241">
        <v>-1.9</v>
      </c>
    </row>
    <row r="199" spans="1:40" x14ac:dyDescent="0.25">
      <c r="A199" s="159" t="s">
        <v>826</v>
      </c>
      <c r="B199" s="159">
        <v>204</v>
      </c>
      <c r="C199" s="159">
        <v>550</v>
      </c>
      <c r="D199" s="159">
        <v>750</v>
      </c>
      <c r="E199" s="159" t="s">
        <v>233</v>
      </c>
      <c r="F199" s="159" t="s">
        <v>510</v>
      </c>
      <c r="G199" s="264">
        <v>7940000</v>
      </c>
      <c r="H199" s="249">
        <v>29.153350435184734</v>
      </c>
      <c r="I199" s="249">
        <v>21.599651121385847</v>
      </c>
      <c r="J199" s="249">
        <v>0</v>
      </c>
      <c r="K199" s="249">
        <v>47.587962177016109</v>
      </c>
      <c r="L199" s="249">
        <v>-140.2664586475064</v>
      </c>
      <c r="M199" s="249">
        <v>-66.237592947441144</v>
      </c>
      <c r="N199" s="159" t="s">
        <v>506</v>
      </c>
      <c r="O199" s="159" t="s">
        <v>247</v>
      </c>
      <c r="P199" s="159">
        <v>0</v>
      </c>
      <c r="Q199" s="159">
        <v>0</v>
      </c>
      <c r="R199" s="159"/>
      <c r="S199" s="159"/>
      <c r="T199" s="159"/>
      <c r="U199" s="159"/>
      <c r="V199" s="159"/>
      <c r="W199" s="249"/>
      <c r="X199" s="249"/>
      <c r="Y199" s="249"/>
      <c r="Z199" s="159"/>
      <c r="AA199" s="159"/>
      <c r="AB199" s="159"/>
      <c r="AC199" s="159"/>
      <c r="AD199" s="159"/>
      <c r="AE199" s="159"/>
      <c r="AF199" s="259"/>
      <c r="AG199" s="259"/>
      <c r="AH199" s="259"/>
      <c r="AI199" s="259"/>
      <c r="AJ199" s="259"/>
      <c r="AK199" s="259"/>
      <c r="AL199" s="159">
        <v>0</v>
      </c>
      <c r="AM199" s="159"/>
      <c r="AN199" s="159">
        <v>-0.9</v>
      </c>
    </row>
    <row r="200" spans="1:40" x14ac:dyDescent="0.25">
      <c r="A200" s="241" t="s">
        <v>827</v>
      </c>
      <c r="B200" s="241">
        <v>205</v>
      </c>
      <c r="C200" s="241">
        <v>700</v>
      </c>
      <c r="D200" s="241">
        <v>720</v>
      </c>
      <c r="E200" s="241" t="s">
        <v>233</v>
      </c>
      <c r="F200" s="241" t="s">
        <v>510</v>
      </c>
      <c r="G200" s="265">
        <v>7940000</v>
      </c>
      <c r="H200" s="250">
        <v>29.153350435184734</v>
      </c>
      <c r="I200" s="250">
        <v>21.599651121385847</v>
      </c>
      <c r="J200" s="250">
        <v>0</v>
      </c>
      <c r="K200" s="250">
        <v>47.587962177016109</v>
      </c>
      <c r="L200" s="250">
        <v>-135.25658051249096</v>
      </c>
      <c r="M200" s="250">
        <v>-63.529671587210359</v>
      </c>
      <c r="N200" s="241" t="s">
        <v>506</v>
      </c>
      <c r="O200" s="241" t="s">
        <v>247</v>
      </c>
      <c r="P200" s="241">
        <v>0</v>
      </c>
      <c r="Q200" s="241">
        <v>0</v>
      </c>
      <c r="R200" s="241"/>
      <c r="S200" s="241"/>
      <c r="T200" s="241"/>
      <c r="U200" s="241"/>
      <c r="V200" s="241"/>
      <c r="W200" s="250"/>
      <c r="X200" s="250"/>
      <c r="Y200" s="250"/>
      <c r="Z200" s="241"/>
      <c r="AA200" s="241"/>
      <c r="AB200" s="241"/>
      <c r="AC200" s="241"/>
      <c r="AD200" s="241"/>
      <c r="AE200" s="241"/>
      <c r="AF200" s="258"/>
      <c r="AG200" s="258"/>
      <c r="AH200" s="258"/>
      <c r="AI200" s="258"/>
      <c r="AJ200" s="258"/>
      <c r="AK200" s="258"/>
      <c r="AL200" s="241">
        <v>0</v>
      </c>
      <c r="AM200" s="241"/>
      <c r="AN200" s="241">
        <v>-1.01</v>
      </c>
    </row>
    <row r="201" spans="1:40" x14ac:dyDescent="0.25">
      <c r="A201" s="159" t="s">
        <v>828</v>
      </c>
      <c r="B201" s="159">
        <v>206</v>
      </c>
      <c r="C201" s="159">
        <v>550</v>
      </c>
      <c r="D201" s="159">
        <v>2160</v>
      </c>
      <c r="E201" s="159" t="s">
        <v>233</v>
      </c>
      <c r="F201" s="159" t="s">
        <v>510</v>
      </c>
      <c r="G201" s="264">
        <v>7940000</v>
      </c>
      <c r="H201" s="249">
        <v>29.153350435184734</v>
      </c>
      <c r="I201" s="249">
        <v>21.599651121385847</v>
      </c>
      <c r="J201" s="249">
        <v>0</v>
      </c>
      <c r="K201" s="249">
        <v>47.587962177016109</v>
      </c>
      <c r="L201" s="249">
        <v>-140.2664586475064</v>
      </c>
      <c r="M201" s="249">
        <v>-66.237592947441144</v>
      </c>
      <c r="N201" s="159" t="s">
        <v>506</v>
      </c>
      <c r="O201" s="159" t="s">
        <v>247</v>
      </c>
      <c r="P201" s="159">
        <v>0</v>
      </c>
      <c r="Q201" s="159">
        <v>0</v>
      </c>
      <c r="R201" s="159"/>
      <c r="S201" s="159"/>
      <c r="T201" s="159"/>
      <c r="U201" s="159"/>
      <c r="V201" s="159"/>
      <c r="W201" s="249"/>
      <c r="X201" s="249"/>
      <c r="Y201" s="249"/>
      <c r="Z201" s="159"/>
      <c r="AA201" s="159"/>
      <c r="AB201" s="159"/>
      <c r="AC201" s="159"/>
      <c r="AD201" s="159"/>
      <c r="AE201" s="159"/>
      <c r="AF201" s="259"/>
      <c r="AG201" s="259"/>
      <c r="AH201" s="259"/>
      <c r="AI201" s="259"/>
      <c r="AJ201" s="259"/>
      <c r="AK201" s="259"/>
      <c r="AL201" s="159">
        <v>0</v>
      </c>
      <c r="AM201" s="159"/>
      <c r="AN201" s="159">
        <v>-0.52</v>
      </c>
    </row>
    <row r="202" spans="1:40" x14ac:dyDescent="0.25">
      <c r="A202" s="241" t="s">
        <v>829</v>
      </c>
      <c r="B202" s="241">
        <v>207</v>
      </c>
      <c r="C202" s="241">
        <v>550</v>
      </c>
      <c r="D202" s="241">
        <v>720</v>
      </c>
      <c r="E202" s="241" t="s">
        <v>233</v>
      </c>
      <c r="F202" s="241" t="s">
        <v>312</v>
      </c>
      <c r="G202" s="265">
        <v>8470000</v>
      </c>
      <c r="H202" s="250">
        <v>73.610912193050581</v>
      </c>
      <c r="I202" s="250">
        <v>17.681787889328746</v>
      </c>
      <c r="J202" s="250">
        <v>0</v>
      </c>
      <c r="K202" s="250">
        <v>8.5754969297680326</v>
      </c>
      <c r="L202" s="250">
        <v>-133.24546471332681</v>
      </c>
      <c r="M202" s="250">
        <v>-66.237592947441144</v>
      </c>
      <c r="N202" s="241" t="s">
        <v>506</v>
      </c>
      <c r="O202" s="241" t="s">
        <v>247</v>
      </c>
      <c r="P202" s="241">
        <v>0</v>
      </c>
      <c r="Q202" s="241">
        <v>0</v>
      </c>
      <c r="R202" s="241"/>
      <c r="S202" s="241"/>
      <c r="T202" s="241"/>
      <c r="U202" s="241"/>
      <c r="V202" s="241"/>
      <c r="W202" s="250"/>
      <c r="X202" s="250"/>
      <c r="Y202" s="250"/>
      <c r="Z202" s="241"/>
      <c r="AA202" s="241"/>
      <c r="AB202" s="241"/>
      <c r="AC202" s="241"/>
      <c r="AD202" s="241"/>
      <c r="AE202" s="241"/>
      <c r="AF202" s="258"/>
      <c r="AG202" s="258"/>
      <c r="AH202" s="258"/>
      <c r="AI202" s="258"/>
      <c r="AJ202" s="258"/>
      <c r="AK202" s="258"/>
      <c r="AL202" s="241">
        <v>0</v>
      </c>
      <c r="AM202" s="241"/>
      <c r="AN202" s="241">
        <v>-0.23</v>
      </c>
    </row>
    <row r="203" spans="1:40" x14ac:dyDescent="0.25">
      <c r="A203" s="159" t="s">
        <v>830</v>
      </c>
      <c r="B203" s="159">
        <v>208</v>
      </c>
      <c r="C203" s="159">
        <v>700</v>
      </c>
      <c r="D203" s="159">
        <v>720</v>
      </c>
      <c r="E203" s="159" t="s">
        <v>233</v>
      </c>
      <c r="F203" s="159" t="s">
        <v>312</v>
      </c>
      <c r="G203" s="264">
        <v>8470000</v>
      </c>
      <c r="H203" s="249">
        <v>73.610912193050581</v>
      </c>
      <c r="I203" s="249">
        <v>17.681787889328746</v>
      </c>
      <c r="J203" s="249">
        <v>0</v>
      </c>
      <c r="K203" s="249">
        <v>8.5754969297680326</v>
      </c>
      <c r="L203" s="249">
        <v>-127.9753559389722</v>
      </c>
      <c r="M203" s="249">
        <v>-63.529671587210359</v>
      </c>
      <c r="N203" s="159" t="s">
        <v>506</v>
      </c>
      <c r="O203" s="159" t="s">
        <v>247</v>
      </c>
      <c r="P203" s="159">
        <v>0</v>
      </c>
      <c r="Q203" s="159">
        <v>0</v>
      </c>
      <c r="R203" s="159"/>
      <c r="S203" s="159"/>
      <c r="T203" s="159"/>
      <c r="U203" s="159"/>
      <c r="V203" s="159"/>
      <c r="W203" s="249"/>
      <c r="X203" s="249"/>
      <c r="Y203" s="249"/>
      <c r="Z203" s="159"/>
      <c r="AA203" s="159"/>
      <c r="AB203" s="159"/>
      <c r="AC203" s="159"/>
      <c r="AD203" s="159"/>
      <c r="AE203" s="159"/>
      <c r="AF203" s="259"/>
      <c r="AG203" s="259"/>
      <c r="AH203" s="259"/>
      <c r="AI203" s="259"/>
      <c r="AJ203" s="259"/>
      <c r="AK203" s="259"/>
      <c r="AL203" s="159">
        <v>0</v>
      </c>
      <c r="AM203" s="159"/>
      <c r="AN203" s="159">
        <v>-0.95</v>
      </c>
    </row>
    <row r="204" spans="1:40" x14ac:dyDescent="0.25">
      <c r="A204" s="241" t="s">
        <v>831</v>
      </c>
      <c r="B204" s="241">
        <v>209</v>
      </c>
      <c r="C204" s="241">
        <v>550</v>
      </c>
      <c r="D204" s="241">
        <v>2160</v>
      </c>
      <c r="E204" s="241" t="s">
        <v>233</v>
      </c>
      <c r="F204" s="241" t="s">
        <v>312</v>
      </c>
      <c r="G204" s="265">
        <v>8470000</v>
      </c>
      <c r="H204" s="250">
        <v>73.610912193050581</v>
      </c>
      <c r="I204" s="250">
        <v>17.681787889328746</v>
      </c>
      <c r="J204" s="250">
        <v>0</v>
      </c>
      <c r="K204" s="250">
        <v>8.5754969297680326</v>
      </c>
      <c r="L204" s="250">
        <v>-133.24546471332681</v>
      </c>
      <c r="M204" s="250">
        <v>-66.237592947441144</v>
      </c>
      <c r="N204" s="241" t="s">
        <v>506</v>
      </c>
      <c r="O204" s="241" t="s">
        <v>247</v>
      </c>
      <c r="P204" s="241">
        <v>0</v>
      </c>
      <c r="Q204" s="241">
        <v>0</v>
      </c>
      <c r="R204" s="241"/>
      <c r="S204" s="241"/>
      <c r="T204" s="241"/>
      <c r="U204" s="241"/>
      <c r="V204" s="241"/>
      <c r="W204" s="250"/>
      <c r="X204" s="250"/>
      <c r="Y204" s="250"/>
      <c r="Z204" s="241"/>
      <c r="AA204" s="241"/>
      <c r="AB204" s="241"/>
      <c r="AC204" s="241"/>
      <c r="AD204" s="241"/>
      <c r="AE204" s="241"/>
      <c r="AF204" s="258"/>
      <c r="AG204" s="258"/>
      <c r="AH204" s="258"/>
      <c r="AI204" s="258"/>
      <c r="AJ204" s="258"/>
      <c r="AK204" s="258"/>
      <c r="AL204" s="241">
        <v>0</v>
      </c>
      <c r="AM204" s="241"/>
      <c r="AN204" s="241">
        <v>-0.53</v>
      </c>
    </row>
    <row r="205" spans="1:40" x14ac:dyDescent="0.25">
      <c r="A205" s="159" t="s">
        <v>832</v>
      </c>
      <c r="B205" s="159">
        <v>210</v>
      </c>
      <c r="C205" s="159">
        <v>700</v>
      </c>
      <c r="D205" s="159">
        <v>2160</v>
      </c>
      <c r="E205" s="159" t="s">
        <v>233</v>
      </c>
      <c r="F205" s="159" t="s">
        <v>312</v>
      </c>
      <c r="G205" s="264">
        <v>8470000</v>
      </c>
      <c r="H205" s="249">
        <v>73.610912193050581</v>
      </c>
      <c r="I205" s="249">
        <v>17.681787889328746</v>
      </c>
      <c r="J205" s="249">
        <v>0</v>
      </c>
      <c r="K205" s="249">
        <v>8.5754969297680326</v>
      </c>
      <c r="L205" s="249">
        <v>-127.9753559389722</v>
      </c>
      <c r="M205" s="249">
        <v>-63.529671587210359</v>
      </c>
      <c r="N205" s="159" t="s">
        <v>506</v>
      </c>
      <c r="O205" s="159" t="s">
        <v>247</v>
      </c>
      <c r="P205" s="159">
        <v>0</v>
      </c>
      <c r="Q205" s="159">
        <v>0</v>
      </c>
      <c r="R205" s="159"/>
      <c r="S205" s="159"/>
      <c r="T205" s="159"/>
      <c r="U205" s="159"/>
      <c r="V205" s="159"/>
      <c r="W205" s="249"/>
      <c r="X205" s="249"/>
      <c r="Y205" s="249"/>
      <c r="Z205" s="159"/>
      <c r="AA205" s="159"/>
      <c r="AB205" s="159"/>
      <c r="AC205" s="159"/>
      <c r="AD205" s="159"/>
      <c r="AE205" s="159"/>
      <c r="AF205" s="259"/>
      <c r="AG205" s="259"/>
      <c r="AH205" s="259"/>
      <c r="AI205" s="259"/>
      <c r="AJ205" s="259"/>
      <c r="AK205" s="259"/>
      <c r="AL205" s="159">
        <v>0</v>
      </c>
      <c r="AM205" s="159"/>
      <c r="AN205" s="159">
        <v>-1.65</v>
      </c>
    </row>
    <row r="206" spans="1:40" x14ac:dyDescent="0.25">
      <c r="A206" s="241" t="s">
        <v>833</v>
      </c>
      <c r="B206" s="241">
        <v>211</v>
      </c>
      <c r="C206" s="241">
        <v>550</v>
      </c>
      <c r="D206" s="241">
        <v>720</v>
      </c>
      <c r="E206" s="241" t="s">
        <v>233</v>
      </c>
      <c r="F206" s="241" t="s">
        <v>314</v>
      </c>
      <c r="G206" s="265">
        <v>8440000</v>
      </c>
      <c r="H206" s="250">
        <v>65.97666457976284</v>
      </c>
      <c r="I206" s="250">
        <v>23.995985945521895</v>
      </c>
      <c r="J206" s="250">
        <v>3.7679854015596028</v>
      </c>
      <c r="K206" s="250">
        <v>4.1785148202115687</v>
      </c>
      <c r="L206" s="250">
        <v>-134.49227513019653</v>
      </c>
      <c r="M206" s="250">
        <v>-66.237592947441144</v>
      </c>
      <c r="N206" s="241" t="s">
        <v>506</v>
      </c>
      <c r="O206" s="241" t="s">
        <v>247</v>
      </c>
      <c r="P206" s="241">
        <v>0</v>
      </c>
      <c r="Q206" s="241">
        <v>0</v>
      </c>
      <c r="R206" s="241"/>
      <c r="S206" s="241"/>
      <c r="T206" s="241"/>
      <c r="U206" s="241"/>
      <c r="V206" s="241"/>
      <c r="W206" s="250"/>
      <c r="X206" s="250"/>
      <c r="Y206" s="250"/>
      <c r="Z206" s="241"/>
      <c r="AA206" s="241"/>
      <c r="AB206" s="241"/>
      <c r="AC206" s="241"/>
      <c r="AD206" s="241"/>
      <c r="AE206" s="241"/>
      <c r="AF206" s="258"/>
      <c r="AG206" s="258"/>
      <c r="AH206" s="258"/>
      <c r="AI206" s="258"/>
      <c r="AJ206" s="258"/>
      <c r="AK206" s="258"/>
      <c r="AL206" s="241">
        <v>0</v>
      </c>
      <c r="AM206" s="241"/>
      <c r="AN206" s="241">
        <v>-0.27</v>
      </c>
    </row>
    <row r="207" spans="1:40" x14ac:dyDescent="0.25">
      <c r="A207" s="159" t="s">
        <v>834</v>
      </c>
      <c r="B207" s="159">
        <v>212</v>
      </c>
      <c r="C207" s="159">
        <v>700</v>
      </c>
      <c r="D207" s="159">
        <v>720</v>
      </c>
      <c r="E207" s="159" t="s">
        <v>233</v>
      </c>
      <c r="F207" s="159" t="s">
        <v>314</v>
      </c>
      <c r="G207" s="264">
        <v>8440000</v>
      </c>
      <c r="H207" s="249">
        <v>65.97666457976284</v>
      </c>
      <c r="I207" s="249">
        <v>23.995985945521895</v>
      </c>
      <c r="J207" s="249">
        <v>3.7679854015596028</v>
      </c>
      <c r="K207" s="249">
        <v>4.1785148202115687</v>
      </c>
      <c r="L207" s="249">
        <v>-129.34412410585233</v>
      </c>
      <c r="M207" s="249">
        <v>-63.529671587210359</v>
      </c>
      <c r="N207" s="159" t="s">
        <v>506</v>
      </c>
      <c r="O207" s="159" t="s">
        <v>247</v>
      </c>
      <c r="P207" s="159">
        <v>0</v>
      </c>
      <c r="Q207" s="159">
        <v>0</v>
      </c>
      <c r="R207" s="159"/>
      <c r="S207" s="159"/>
      <c r="T207" s="159"/>
      <c r="U207" s="159"/>
      <c r="V207" s="159"/>
      <c r="W207" s="249"/>
      <c r="X207" s="249"/>
      <c r="Y207" s="249"/>
      <c r="Z207" s="159"/>
      <c r="AA207" s="159"/>
      <c r="AB207" s="159"/>
      <c r="AC207" s="159"/>
      <c r="AD207" s="159"/>
      <c r="AE207" s="159"/>
      <c r="AF207" s="259"/>
      <c r="AG207" s="259"/>
      <c r="AH207" s="259"/>
      <c r="AI207" s="259"/>
      <c r="AJ207" s="259"/>
      <c r="AK207" s="259"/>
      <c r="AL207" s="159">
        <v>0</v>
      </c>
      <c r="AM207" s="159"/>
      <c r="AN207" s="159">
        <v>-0.51</v>
      </c>
    </row>
    <row r="208" spans="1:40" x14ac:dyDescent="0.25">
      <c r="A208" s="241" t="s">
        <v>835</v>
      </c>
      <c r="B208" s="241">
        <v>213</v>
      </c>
      <c r="C208" s="241">
        <v>550</v>
      </c>
      <c r="D208" s="241">
        <v>2160</v>
      </c>
      <c r="E208" s="241" t="s">
        <v>233</v>
      </c>
      <c r="F208" s="241" t="s">
        <v>314</v>
      </c>
      <c r="G208" s="265">
        <v>8440000</v>
      </c>
      <c r="H208" s="250">
        <v>65.97666457976284</v>
      </c>
      <c r="I208" s="250">
        <v>23.995985945521895</v>
      </c>
      <c r="J208" s="250">
        <v>3.7679854015596028</v>
      </c>
      <c r="K208" s="250">
        <v>4.1785148202115687</v>
      </c>
      <c r="L208" s="250">
        <v>-134.49227513019653</v>
      </c>
      <c r="M208" s="250">
        <v>-66.237592947441144</v>
      </c>
      <c r="N208" s="241" t="s">
        <v>506</v>
      </c>
      <c r="O208" s="241" t="s">
        <v>247</v>
      </c>
      <c r="P208" s="241">
        <v>0</v>
      </c>
      <c r="Q208" s="241">
        <v>0</v>
      </c>
      <c r="R208" s="241"/>
      <c r="S208" s="241"/>
      <c r="T208" s="241"/>
      <c r="U208" s="241"/>
      <c r="V208" s="241"/>
      <c r="W208" s="250"/>
      <c r="X208" s="250"/>
      <c r="Y208" s="250"/>
      <c r="Z208" s="241"/>
      <c r="AA208" s="241"/>
      <c r="AB208" s="241"/>
      <c r="AC208" s="241"/>
      <c r="AD208" s="241"/>
      <c r="AE208" s="241"/>
      <c r="AF208" s="258"/>
      <c r="AG208" s="258"/>
      <c r="AH208" s="258"/>
      <c r="AI208" s="258"/>
      <c r="AJ208" s="258"/>
      <c r="AK208" s="258"/>
      <c r="AL208" s="241">
        <v>0</v>
      </c>
      <c r="AM208" s="241"/>
      <c r="AN208" s="241">
        <v>-0.5</v>
      </c>
    </row>
    <row r="209" spans="1:40" x14ac:dyDescent="0.25">
      <c r="A209" s="159" t="s">
        <v>836</v>
      </c>
      <c r="B209" s="159">
        <v>214</v>
      </c>
      <c r="C209" s="159">
        <v>500</v>
      </c>
      <c r="D209" s="159">
        <v>720</v>
      </c>
      <c r="E209" s="159" t="s">
        <v>233</v>
      </c>
      <c r="F209" s="159" t="s">
        <v>516</v>
      </c>
      <c r="G209" s="264">
        <v>8190000</v>
      </c>
      <c r="H209" s="249">
        <v>51.067262292936832</v>
      </c>
      <c r="I209" s="249">
        <v>20.909010798427463</v>
      </c>
      <c r="J209" s="249">
        <v>2.3015937193980793</v>
      </c>
      <c r="K209" s="249">
        <v>15.502223740046745</v>
      </c>
      <c r="L209" s="249">
        <v>-138.94046386742627</v>
      </c>
      <c r="M209" s="249">
        <v>-67.1402334008514</v>
      </c>
      <c r="N209" s="159" t="s">
        <v>506</v>
      </c>
      <c r="O209" s="159" t="s">
        <v>247</v>
      </c>
      <c r="P209" s="159">
        <v>0</v>
      </c>
      <c r="Q209" s="159">
        <v>0</v>
      </c>
      <c r="R209" s="159"/>
      <c r="S209" s="159"/>
      <c r="T209" s="159"/>
      <c r="U209" s="159"/>
      <c r="V209" s="159"/>
      <c r="W209" s="249"/>
      <c r="X209" s="249"/>
      <c r="Y209" s="249"/>
      <c r="Z209" s="159"/>
      <c r="AA209" s="159"/>
      <c r="AB209" s="159"/>
      <c r="AC209" s="159"/>
      <c r="AD209" s="159"/>
      <c r="AE209" s="159"/>
      <c r="AF209" s="259"/>
      <c r="AG209" s="259"/>
      <c r="AH209" s="259"/>
      <c r="AI209" s="259"/>
      <c r="AJ209" s="259"/>
      <c r="AK209" s="259"/>
      <c r="AL209" s="159">
        <v>0</v>
      </c>
      <c r="AM209" s="159"/>
      <c r="AN209" s="159">
        <v>-0.63</v>
      </c>
    </row>
    <row r="210" spans="1:40" x14ac:dyDescent="0.25">
      <c r="A210" s="241" t="s">
        <v>837</v>
      </c>
      <c r="B210" s="241">
        <v>215</v>
      </c>
      <c r="C210" s="241">
        <v>700</v>
      </c>
      <c r="D210" s="241">
        <v>720</v>
      </c>
      <c r="E210" s="241" t="s">
        <v>233</v>
      </c>
      <c r="F210" s="241" t="s">
        <v>516</v>
      </c>
      <c r="G210" s="265">
        <v>8190000</v>
      </c>
      <c r="H210" s="250">
        <v>51.067262292936832</v>
      </c>
      <c r="I210" s="250">
        <v>20.909010798427463</v>
      </c>
      <c r="J210" s="250">
        <v>2.3015937193980793</v>
      </c>
      <c r="K210" s="250">
        <v>15.502223740046745</v>
      </c>
      <c r="L210" s="250">
        <v>-132.35843614171804</v>
      </c>
      <c r="M210" s="250">
        <v>-63.529671587210359</v>
      </c>
      <c r="N210" s="241" t="s">
        <v>506</v>
      </c>
      <c r="O210" s="241" t="s">
        <v>247</v>
      </c>
      <c r="P210" s="241">
        <v>0</v>
      </c>
      <c r="Q210" s="241">
        <v>0</v>
      </c>
      <c r="R210" s="241"/>
      <c r="S210" s="241"/>
      <c r="T210" s="241"/>
      <c r="U210" s="241"/>
      <c r="V210" s="241"/>
      <c r="W210" s="250"/>
      <c r="X210" s="250"/>
      <c r="Y210" s="250"/>
      <c r="Z210" s="241"/>
      <c r="AA210" s="241"/>
      <c r="AB210" s="241"/>
      <c r="AC210" s="241"/>
      <c r="AD210" s="241"/>
      <c r="AE210" s="241"/>
      <c r="AF210" s="258"/>
      <c r="AG210" s="258"/>
      <c r="AH210" s="258"/>
      <c r="AI210" s="258"/>
      <c r="AJ210" s="258"/>
      <c r="AK210" s="258"/>
      <c r="AL210" s="241">
        <v>0</v>
      </c>
      <c r="AM210" s="241"/>
      <c r="AN210" s="241">
        <v>-0.85</v>
      </c>
    </row>
    <row r="211" spans="1:40" ht="16.5" thickBot="1" x14ac:dyDescent="0.3">
      <c r="A211" s="160" t="s">
        <v>838</v>
      </c>
      <c r="B211" s="160">
        <v>216</v>
      </c>
      <c r="C211" s="160">
        <v>700</v>
      </c>
      <c r="D211" s="160">
        <v>2160</v>
      </c>
      <c r="E211" s="160" t="s">
        <v>233</v>
      </c>
      <c r="F211" s="160" t="s">
        <v>516</v>
      </c>
      <c r="G211" s="267">
        <v>8190000</v>
      </c>
      <c r="H211" s="252">
        <v>51.067262292936832</v>
      </c>
      <c r="I211" s="252">
        <v>20.909010798427463</v>
      </c>
      <c r="J211" s="252">
        <v>2.3015937193980793</v>
      </c>
      <c r="K211" s="252">
        <v>15.502223740046745</v>
      </c>
      <c r="L211" s="252">
        <v>-132.35843614171804</v>
      </c>
      <c r="M211" s="252">
        <v>-63.529671587210359</v>
      </c>
      <c r="N211" s="160" t="s">
        <v>506</v>
      </c>
      <c r="O211" s="160" t="s">
        <v>247</v>
      </c>
      <c r="P211" s="160">
        <v>0</v>
      </c>
      <c r="Q211" s="160">
        <v>0</v>
      </c>
      <c r="R211" s="160"/>
      <c r="S211" s="160"/>
      <c r="T211" s="160"/>
      <c r="U211" s="160"/>
      <c r="V211" s="160"/>
      <c r="W211" s="252"/>
      <c r="X211" s="252"/>
      <c r="Y211" s="252"/>
      <c r="Z211" s="160"/>
      <c r="AA211" s="160"/>
      <c r="AB211" s="160"/>
      <c r="AC211" s="160"/>
      <c r="AD211" s="160"/>
      <c r="AE211" s="160"/>
      <c r="AF211" s="260"/>
      <c r="AG211" s="260"/>
      <c r="AH211" s="260"/>
      <c r="AI211" s="260"/>
      <c r="AJ211" s="260"/>
      <c r="AK211" s="260"/>
      <c r="AL211" s="160">
        <v>0</v>
      </c>
      <c r="AM211" s="160"/>
      <c r="AN211" s="160">
        <v>-1.07</v>
      </c>
    </row>
    <row r="212" spans="1:40" ht="16.5" thickBot="1" x14ac:dyDescent="0.3">
      <c r="A212" s="142" t="s">
        <v>839</v>
      </c>
      <c r="B212" s="142">
        <v>217</v>
      </c>
      <c r="C212" s="142">
        <v>700</v>
      </c>
      <c r="D212" s="142">
        <v>48</v>
      </c>
      <c r="E212" s="142" t="s">
        <v>48</v>
      </c>
      <c r="F212" s="142" t="s">
        <v>876</v>
      </c>
      <c r="G212" s="269">
        <v>7980000</v>
      </c>
      <c r="H212" s="144">
        <v>13.213575899022317</v>
      </c>
      <c r="I212" s="144">
        <v>19.174568476985101</v>
      </c>
      <c r="J212" s="144">
        <v>1.7317589981992936</v>
      </c>
      <c r="K212" s="144">
        <v>61.487937314230535</v>
      </c>
      <c r="L212" s="144">
        <v>-137.03084647161592</v>
      </c>
      <c r="M212" s="144">
        <v>-121.74823772574202</v>
      </c>
      <c r="N212" s="142" t="s">
        <v>245</v>
      </c>
      <c r="O212" s="142" t="s">
        <v>247</v>
      </c>
      <c r="P212" s="142">
        <v>0</v>
      </c>
      <c r="Q212" s="142">
        <v>0</v>
      </c>
      <c r="R212" s="142"/>
      <c r="S212" s="142"/>
      <c r="T212" s="142"/>
      <c r="U212" s="142"/>
      <c r="V212" s="142"/>
      <c r="W212" s="142"/>
      <c r="X212" s="142"/>
      <c r="Y212" s="142"/>
      <c r="Z212" s="142"/>
      <c r="AA212" s="142"/>
      <c r="AB212" s="142"/>
      <c r="AC212" s="142"/>
      <c r="AD212" s="142"/>
      <c r="AE212" s="142"/>
      <c r="AF212" s="142"/>
      <c r="AG212" s="142"/>
      <c r="AH212" s="142"/>
      <c r="AI212" s="142"/>
      <c r="AJ212" s="142"/>
      <c r="AK212" s="142"/>
      <c r="AL212" s="142">
        <v>0</v>
      </c>
      <c r="AM212" s="142">
        <v>-20.100000000000001</v>
      </c>
      <c r="AN212" s="142"/>
    </row>
    <row r="213" spans="1:40" x14ac:dyDescent="0.25">
      <c r="A213" s="159" t="s">
        <v>840</v>
      </c>
      <c r="B213" s="159">
        <v>218</v>
      </c>
      <c r="C213" s="159">
        <v>700</v>
      </c>
      <c r="D213" s="159">
        <v>500</v>
      </c>
      <c r="E213" s="159" t="s">
        <v>233</v>
      </c>
      <c r="F213" s="159" t="s">
        <v>50</v>
      </c>
      <c r="G213" s="264">
        <v>8960000</v>
      </c>
      <c r="H213" s="249">
        <v>0</v>
      </c>
      <c r="I213" s="249">
        <v>100</v>
      </c>
      <c r="J213" s="249">
        <v>0</v>
      </c>
      <c r="K213" s="249">
        <v>0</v>
      </c>
      <c r="L213" s="249">
        <v>-149.74021918856832</v>
      </c>
      <c r="M213" s="249">
        <v>-63.529671587210359</v>
      </c>
      <c r="N213" s="159" t="s">
        <v>245</v>
      </c>
      <c r="O213" s="159" t="s">
        <v>230</v>
      </c>
      <c r="P213" s="159">
        <v>0</v>
      </c>
      <c r="Q213" s="159">
        <v>0</v>
      </c>
      <c r="R213" s="159">
        <v>14</v>
      </c>
      <c r="S213" s="159"/>
      <c r="T213" s="159">
        <v>10</v>
      </c>
      <c r="U213" s="159">
        <v>22</v>
      </c>
      <c r="V213" s="159">
        <v>11</v>
      </c>
      <c r="W213" s="249">
        <v>14</v>
      </c>
      <c r="X213" s="249">
        <v>3</v>
      </c>
      <c r="Y213" s="249"/>
      <c r="Z213" s="159"/>
      <c r="AA213" s="159">
        <v>19</v>
      </c>
      <c r="AB213" s="159"/>
      <c r="AC213" s="159">
        <v>7</v>
      </c>
      <c r="AD213" s="159"/>
      <c r="AE213" s="159"/>
      <c r="AF213" s="259"/>
      <c r="AG213" s="259"/>
      <c r="AH213" s="259"/>
      <c r="AI213" s="259"/>
      <c r="AJ213" s="259"/>
      <c r="AK213" s="259"/>
      <c r="AL213" s="159">
        <v>0</v>
      </c>
      <c r="AM213" s="159"/>
      <c r="AN213" s="159">
        <v>-62</v>
      </c>
    </row>
    <row r="214" spans="1:40" x14ac:dyDescent="0.25">
      <c r="A214" s="241" t="s">
        <v>841</v>
      </c>
      <c r="B214" s="241">
        <v>219</v>
      </c>
      <c r="C214" s="241">
        <v>700</v>
      </c>
      <c r="D214" s="241">
        <v>500</v>
      </c>
      <c r="E214" s="241" t="s">
        <v>233</v>
      </c>
      <c r="F214" s="241" t="s">
        <v>50</v>
      </c>
      <c r="G214" s="265">
        <v>8960000</v>
      </c>
      <c r="H214" s="250">
        <v>0</v>
      </c>
      <c r="I214" s="250">
        <v>100</v>
      </c>
      <c r="J214" s="250">
        <v>0</v>
      </c>
      <c r="K214" s="250">
        <v>0</v>
      </c>
      <c r="L214" s="250">
        <v>-149.74021918856832</v>
      </c>
      <c r="M214" s="250">
        <v>-63.529671587210359</v>
      </c>
      <c r="N214" s="241" t="s">
        <v>245</v>
      </c>
      <c r="O214" s="241" t="s">
        <v>230</v>
      </c>
      <c r="P214" s="241">
        <v>0</v>
      </c>
      <c r="Q214" s="241">
        <v>0</v>
      </c>
      <c r="R214" s="241">
        <v>14</v>
      </c>
      <c r="S214" s="241"/>
      <c r="T214" s="241">
        <v>10</v>
      </c>
      <c r="U214" s="241">
        <v>22</v>
      </c>
      <c r="V214" s="241">
        <v>11</v>
      </c>
      <c r="W214" s="250">
        <v>14</v>
      </c>
      <c r="X214" s="250">
        <v>3</v>
      </c>
      <c r="Y214" s="250"/>
      <c r="Z214" s="241"/>
      <c r="AA214" s="241">
        <v>19</v>
      </c>
      <c r="AB214" s="241"/>
      <c r="AC214" s="241">
        <v>7</v>
      </c>
      <c r="AD214" s="241"/>
      <c r="AE214" s="241"/>
      <c r="AF214" s="258"/>
      <c r="AG214" s="258"/>
      <c r="AH214" s="258"/>
      <c r="AI214" s="258"/>
      <c r="AJ214" s="258"/>
      <c r="AK214" s="258"/>
      <c r="AL214" s="241">
        <v>0</v>
      </c>
      <c r="AM214" s="241"/>
      <c r="AN214" s="241">
        <v>-85</v>
      </c>
    </row>
    <row r="215" spans="1:40" x14ac:dyDescent="0.25">
      <c r="A215" s="159" t="s">
        <v>842</v>
      </c>
      <c r="B215" s="159">
        <v>220</v>
      </c>
      <c r="C215" s="159">
        <v>700</v>
      </c>
      <c r="D215" s="159">
        <v>500</v>
      </c>
      <c r="E215" s="159" t="s">
        <v>233</v>
      </c>
      <c r="F215" s="159" t="s">
        <v>50</v>
      </c>
      <c r="G215" s="264">
        <v>8960000</v>
      </c>
      <c r="H215" s="249">
        <v>0</v>
      </c>
      <c r="I215" s="249">
        <v>100</v>
      </c>
      <c r="J215" s="249">
        <v>0</v>
      </c>
      <c r="K215" s="249">
        <v>0</v>
      </c>
      <c r="L215" s="249">
        <v>-149.74021918856832</v>
      </c>
      <c r="M215" s="249">
        <v>-63.529671587210359</v>
      </c>
      <c r="N215" s="159" t="s">
        <v>245</v>
      </c>
      <c r="O215" s="159" t="s">
        <v>230</v>
      </c>
      <c r="P215" s="159">
        <v>0</v>
      </c>
      <c r="Q215" s="159">
        <v>0</v>
      </c>
      <c r="R215" s="159">
        <v>14</v>
      </c>
      <c r="S215" s="159"/>
      <c r="T215" s="159">
        <v>10</v>
      </c>
      <c r="U215" s="159">
        <v>22</v>
      </c>
      <c r="V215" s="159">
        <v>11</v>
      </c>
      <c r="W215" s="249">
        <v>14</v>
      </c>
      <c r="X215" s="249">
        <v>3</v>
      </c>
      <c r="Y215" s="249"/>
      <c r="Z215" s="159"/>
      <c r="AA215" s="159">
        <v>19</v>
      </c>
      <c r="AB215" s="159"/>
      <c r="AC215" s="159">
        <v>7</v>
      </c>
      <c r="AD215" s="159"/>
      <c r="AE215" s="159"/>
      <c r="AF215" s="259"/>
      <c r="AG215" s="259"/>
      <c r="AH215" s="259"/>
      <c r="AI215" s="259"/>
      <c r="AJ215" s="259"/>
      <c r="AK215" s="259"/>
      <c r="AL215" s="159">
        <v>0</v>
      </c>
      <c r="AM215" s="159"/>
      <c r="AN215" s="159">
        <v>-54</v>
      </c>
    </row>
    <row r="216" spans="1:40" x14ac:dyDescent="0.25">
      <c r="A216" s="241" t="s">
        <v>843</v>
      </c>
      <c r="B216" s="241">
        <v>221</v>
      </c>
      <c r="C216" s="241">
        <v>700</v>
      </c>
      <c r="D216" s="241">
        <v>500</v>
      </c>
      <c r="E216" s="241" t="s">
        <v>48</v>
      </c>
      <c r="F216" s="241" t="s">
        <v>50</v>
      </c>
      <c r="G216" s="265">
        <v>8960000</v>
      </c>
      <c r="H216" s="250">
        <v>0</v>
      </c>
      <c r="I216" s="250">
        <v>100</v>
      </c>
      <c r="J216" s="250">
        <v>0</v>
      </c>
      <c r="K216" s="250">
        <v>0</v>
      </c>
      <c r="L216" s="250">
        <v>-149.74021918856832</v>
      </c>
      <c r="M216" s="250">
        <v>-121.74823772574202</v>
      </c>
      <c r="N216" s="241" t="s">
        <v>245</v>
      </c>
      <c r="O216" s="241" t="s">
        <v>230</v>
      </c>
      <c r="P216" s="241">
        <v>0</v>
      </c>
      <c r="Q216" s="241">
        <v>0</v>
      </c>
      <c r="R216" s="241">
        <v>14</v>
      </c>
      <c r="S216" s="241"/>
      <c r="T216" s="241">
        <v>10</v>
      </c>
      <c r="U216" s="241">
        <v>22</v>
      </c>
      <c r="V216" s="241">
        <v>11</v>
      </c>
      <c r="W216" s="250">
        <v>14</v>
      </c>
      <c r="X216" s="250">
        <v>3</v>
      </c>
      <c r="Y216" s="250"/>
      <c r="Z216" s="241"/>
      <c r="AA216" s="241">
        <v>19</v>
      </c>
      <c r="AB216" s="241"/>
      <c r="AC216" s="241">
        <v>7</v>
      </c>
      <c r="AD216" s="241"/>
      <c r="AE216" s="241"/>
      <c r="AF216" s="258"/>
      <c r="AG216" s="258"/>
      <c r="AH216" s="258"/>
      <c r="AI216" s="258"/>
      <c r="AJ216" s="258"/>
      <c r="AK216" s="258"/>
      <c r="AL216" s="241">
        <v>0</v>
      </c>
      <c r="AM216" s="241"/>
      <c r="AN216" s="241">
        <v>-49</v>
      </c>
    </row>
    <row r="217" spans="1:40" x14ac:dyDescent="0.25">
      <c r="A217" s="159" t="s">
        <v>844</v>
      </c>
      <c r="B217" s="159">
        <v>222</v>
      </c>
      <c r="C217" s="159">
        <v>700</v>
      </c>
      <c r="D217" s="159">
        <v>500</v>
      </c>
      <c r="E217" s="159" t="s">
        <v>48</v>
      </c>
      <c r="F217" s="159" t="s">
        <v>50</v>
      </c>
      <c r="G217" s="264">
        <v>8960000</v>
      </c>
      <c r="H217" s="249">
        <v>0</v>
      </c>
      <c r="I217" s="249">
        <v>100</v>
      </c>
      <c r="J217" s="249">
        <v>0</v>
      </c>
      <c r="K217" s="249">
        <v>0</v>
      </c>
      <c r="L217" s="249">
        <v>-149.74021918856832</v>
      </c>
      <c r="M217" s="249">
        <v>-121.74823772574202</v>
      </c>
      <c r="N217" s="159" t="s">
        <v>245</v>
      </c>
      <c r="O217" s="159" t="s">
        <v>230</v>
      </c>
      <c r="P217" s="159">
        <v>0</v>
      </c>
      <c r="Q217" s="159">
        <v>0</v>
      </c>
      <c r="R217" s="159">
        <v>14</v>
      </c>
      <c r="S217" s="159"/>
      <c r="T217" s="159">
        <v>10</v>
      </c>
      <c r="U217" s="159">
        <v>22</v>
      </c>
      <c r="V217" s="159">
        <v>11</v>
      </c>
      <c r="W217" s="249">
        <v>14</v>
      </c>
      <c r="X217" s="249">
        <v>3</v>
      </c>
      <c r="Y217" s="249"/>
      <c r="Z217" s="159"/>
      <c r="AA217" s="159">
        <v>19</v>
      </c>
      <c r="AB217" s="159"/>
      <c r="AC217" s="159">
        <v>7</v>
      </c>
      <c r="AD217" s="159"/>
      <c r="AE217" s="159"/>
      <c r="AF217" s="259"/>
      <c r="AG217" s="259"/>
      <c r="AH217" s="259"/>
      <c r="AI217" s="259"/>
      <c r="AJ217" s="259"/>
      <c r="AK217" s="259"/>
      <c r="AL217" s="159">
        <v>0</v>
      </c>
      <c r="AM217" s="159"/>
      <c r="AN217" s="159">
        <v>-36</v>
      </c>
    </row>
    <row r="218" spans="1:40" ht="16.5" thickBot="1" x14ac:dyDescent="0.3">
      <c r="A218" s="242" t="s">
        <v>845</v>
      </c>
      <c r="B218" s="242">
        <v>223</v>
      </c>
      <c r="C218" s="242">
        <v>700</v>
      </c>
      <c r="D218" s="242">
        <v>500</v>
      </c>
      <c r="E218" s="242" t="s">
        <v>48</v>
      </c>
      <c r="F218" s="242" t="s">
        <v>50</v>
      </c>
      <c r="G218" s="266">
        <v>8960000</v>
      </c>
      <c r="H218" s="251">
        <v>0</v>
      </c>
      <c r="I218" s="251">
        <v>100</v>
      </c>
      <c r="J218" s="251">
        <v>0</v>
      </c>
      <c r="K218" s="251">
        <v>0</v>
      </c>
      <c r="L218" s="251">
        <v>-149.74021918856832</v>
      </c>
      <c r="M218" s="251">
        <v>-121.74823772574202</v>
      </c>
      <c r="N218" s="242" t="s">
        <v>245</v>
      </c>
      <c r="O218" s="242" t="s">
        <v>230</v>
      </c>
      <c r="P218" s="242">
        <v>0</v>
      </c>
      <c r="Q218" s="242">
        <v>0</v>
      </c>
      <c r="R218" s="242">
        <v>14</v>
      </c>
      <c r="S218" s="242"/>
      <c r="T218" s="242">
        <v>10</v>
      </c>
      <c r="U218" s="242">
        <v>22</v>
      </c>
      <c r="V218" s="242">
        <v>11</v>
      </c>
      <c r="W218" s="251">
        <v>14</v>
      </c>
      <c r="X218" s="251">
        <v>3</v>
      </c>
      <c r="Y218" s="251"/>
      <c r="Z218" s="242"/>
      <c r="AA218" s="242">
        <v>19</v>
      </c>
      <c r="AB218" s="242"/>
      <c r="AC218" s="242">
        <v>7</v>
      </c>
      <c r="AD218" s="242"/>
      <c r="AE218" s="242"/>
      <c r="AF218" s="261"/>
      <c r="AG218" s="261"/>
      <c r="AH218" s="261"/>
      <c r="AI218" s="261"/>
      <c r="AJ218" s="261"/>
      <c r="AK218" s="261"/>
      <c r="AL218" s="242">
        <v>0</v>
      </c>
      <c r="AM218" s="242"/>
      <c r="AN218" s="242">
        <v>-42</v>
      </c>
    </row>
    <row r="219" spans="1:40" x14ac:dyDescent="0.25">
      <c r="A219" s="159" t="s">
        <v>846</v>
      </c>
      <c r="B219" s="159">
        <v>224</v>
      </c>
      <c r="C219" s="159">
        <v>850</v>
      </c>
      <c r="D219" s="159">
        <v>1000</v>
      </c>
      <c r="E219" s="159" t="s">
        <v>876</v>
      </c>
      <c r="F219" s="159" t="s">
        <v>876</v>
      </c>
      <c r="G219" s="264">
        <v>7980000</v>
      </c>
      <c r="H219" s="249">
        <v>9.7240484353809364</v>
      </c>
      <c r="I219" s="249">
        <v>18.412921987205639</v>
      </c>
      <c r="J219" s="249">
        <v>1.2855930456387075</v>
      </c>
      <c r="K219" s="249">
        <v>67.708895805837045</v>
      </c>
      <c r="L219" s="249">
        <v>-132.63938713276048</v>
      </c>
      <c r="M219" s="249">
        <v>-132.63938713276048</v>
      </c>
      <c r="N219" s="159" t="s">
        <v>245</v>
      </c>
      <c r="O219" s="159" t="s">
        <v>247</v>
      </c>
      <c r="P219" s="159">
        <v>0</v>
      </c>
      <c r="Q219" s="159">
        <v>0</v>
      </c>
      <c r="R219" s="159"/>
      <c r="S219" s="159"/>
      <c r="T219" s="159"/>
      <c r="U219" s="159"/>
      <c r="V219" s="159"/>
      <c r="W219" s="249"/>
      <c r="X219" s="249"/>
      <c r="Y219" s="249"/>
      <c r="Z219" s="159"/>
      <c r="AA219" s="159"/>
      <c r="AB219" s="159"/>
      <c r="AC219" s="159"/>
      <c r="AD219" s="159"/>
      <c r="AE219" s="159">
        <v>19120</v>
      </c>
      <c r="AF219" s="259"/>
      <c r="AG219" s="259"/>
      <c r="AH219" s="259"/>
      <c r="AI219" s="259"/>
      <c r="AJ219" s="259"/>
      <c r="AK219" s="259"/>
      <c r="AL219" s="159">
        <v>0</v>
      </c>
      <c r="AM219" s="159"/>
      <c r="AN219" s="159">
        <v>5.22</v>
      </c>
    </row>
    <row r="220" spans="1:40" ht="16.5" thickBot="1" x14ac:dyDescent="0.3">
      <c r="A220" s="242" t="s">
        <v>847</v>
      </c>
      <c r="B220" s="242">
        <v>225</v>
      </c>
      <c r="C220" s="242">
        <v>850</v>
      </c>
      <c r="D220" s="242">
        <v>1000</v>
      </c>
      <c r="E220" s="242" t="s">
        <v>876</v>
      </c>
      <c r="F220" s="242" t="s">
        <v>239</v>
      </c>
      <c r="G220" s="266">
        <v>8860000</v>
      </c>
      <c r="H220" s="251">
        <v>71.490264372867387</v>
      </c>
      <c r="I220" s="251">
        <v>9.3132606373674278</v>
      </c>
      <c r="J220" s="251">
        <v>10.213432504932905</v>
      </c>
      <c r="K220" s="251">
        <v>4.4656959690008904</v>
      </c>
      <c r="L220" s="251">
        <v>-120.94893252609708</v>
      </c>
      <c r="M220" s="251">
        <v>-136.54295506071665</v>
      </c>
      <c r="N220" s="242" t="s">
        <v>245</v>
      </c>
      <c r="O220" s="242" t="s">
        <v>247</v>
      </c>
      <c r="P220" s="242">
        <v>0</v>
      </c>
      <c r="Q220" s="242">
        <v>0</v>
      </c>
      <c r="R220" s="242"/>
      <c r="S220" s="242"/>
      <c r="T220" s="242"/>
      <c r="U220" s="242"/>
      <c r="V220" s="242"/>
      <c r="W220" s="251"/>
      <c r="X220" s="251"/>
      <c r="Y220" s="251"/>
      <c r="Z220" s="242"/>
      <c r="AA220" s="242"/>
      <c r="AB220" s="242"/>
      <c r="AC220" s="242"/>
      <c r="AD220" s="242"/>
      <c r="AE220" s="242">
        <v>19120</v>
      </c>
      <c r="AF220" s="261"/>
      <c r="AG220" s="261"/>
      <c r="AH220" s="261"/>
      <c r="AI220" s="261"/>
      <c r="AJ220" s="261"/>
      <c r="AK220" s="261"/>
      <c r="AL220" s="242">
        <v>0</v>
      </c>
      <c r="AM220" s="242"/>
      <c r="AN220" s="242">
        <v>25.5</v>
      </c>
    </row>
    <row r="221" spans="1:40" x14ac:dyDescent="0.25">
      <c r="A221" s="159" t="s">
        <v>848</v>
      </c>
      <c r="B221" s="159">
        <v>226</v>
      </c>
      <c r="C221" s="159">
        <v>850</v>
      </c>
      <c r="D221" s="159">
        <v>500</v>
      </c>
      <c r="E221" s="159" t="s">
        <v>233</v>
      </c>
      <c r="F221" s="159" t="s">
        <v>251</v>
      </c>
      <c r="G221" s="264">
        <v>8900000</v>
      </c>
      <c r="H221" s="249">
        <v>99.582762724991355</v>
      </c>
      <c r="I221" s="249">
        <v>0</v>
      </c>
      <c r="J221" s="249">
        <v>0</v>
      </c>
      <c r="K221" s="249">
        <v>0.10527826483213952</v>
      </c>
      <c r="L221" s="249">
        <v>-116.42563889380685</v>
      </c>
      <c r="M221" s="249">
        <v>-60.821750226979574</v>
      </c>
      <c r="N221" s="159" t="s">
        <v>245</v>
      </c>
      <c r="O221" s="159" t="s">
        <v>230</v>
      </c>
      <c r="P221" s="159">
        <v>0</v>
      </c>
      <c r="Q221" s="159">
        <v>0</v>
      </c>
      <c r="R221" s="159"/>
      <c r="S221" s="159"/>
      <c r="T221" s="159"/>
      <c r="U221" s="159"/>
      <c r="V221" s="159"/>
      <c r="W221" s="249"/>
      <c r="X221" s="249"/>
      <c r="Y221" s="249"/>
      <c r="Z221" s="159"/>
      <c r="AA221" s="159"/>
      <c r="AB221" s="159"/>
      <c r="AC221" s="159"/>
      <c r="AD221" s="159"/>
      <c r="AE221" s="159"/>
      <c r="AF221" s="259"/>
      <c r="AG221" s="259"/>
      <c r="AH221" s="259"/>
      <c r="AI221" s="259"/>
      <c r="AJ221" s="259"/>
      <c r="AK221" s="259"/>
      <c r="AL221" s="159">
        <v>0</v>
      </c>
      <c r="AM221" s="159"/>
      <c r="AN221" s="159">
        <v>-0.1</v>
      </c>
    </row>
    <row r="222" spans="1:40" x14ac:dyDescent="0.25">
      <c r="A222" s="241" t="s">
        <v>849</v>
      </c>
      <c r="B222" s="241">
        <v>227</v>
      </c>
      <c r="C222" s="241">
        <v>850</v>
      </c>
      <c r="D222" s="241">
        <v>500</v>
      </c>
      <c r="E222" s="241" t="s">
        <v>48</v>
      </c>
      <c r="F222" s="241" t="s">
        <v>251</v>
      </c>
      <c r="G222" s="265">
        <v>8900000</v>
      </c>
      <c r="H222" s="250">
        <v>99.582762724991355</v>
      </c>
      <c r="I222" s="250">
        <v>0</v>
      </c>
      <c r="J222" s="250">
        <v>0</v>
      </c>
      <c r="K222" s="250">
        <v>0.10527826483213952</v>
      </c>
      <c r="L222" s="250">
        <v>-116.42563889380685</v>
      </c>
      <c r="M222" s="250">
        <v>-116.38598529672362</v>
      </c>
      <c r="N222" s="241" t="s">
        <v>245</v>
      </c>
      <c r="O222" s="241" t="s">
        <v>230</v>
      </c>
      <c r="P222" s="241">
        <v>0</v>
      </c>
      <c r="Q222" s="241">
        <v>0</v>
      </c>
      <c r="R222" s="241"/>
      <c r="S222" s="241"/>
      <c r="T222" s="241"/>
      <c r="U222" s="241"/>
      <c r="V222" s="241"/>
      <c r="W222" s="250"/>
      <c r="X222" s="250"/>
      <c r="Y222" s="250"/>
      <c r="Z222" s="241"/>
      <c r="AA222" s="241"/>
      <c r="AB222" s="241"/>
      <c r="AC222" s="241"/>
      <c r="AD222" s="241"/>
      <c r="AE222" s="241"/>
      <c r="AF222" s="258"/>
      <c r="AG222" s="258"/>
      <c r="AH222" s="258"/>
      <c r="AI222" s="258"/>
      <c r="AJ222" s="258"/>
      <c r="AK222" s="258"/>
      <c r="AL222" s="241">
        <v>0</v>
      </c>
      <c r="AM222" s="241"/>
      <c r="AN222" s="241">
        <v>-0.6</v>
      </c>
    </row>
    <row r="223" spans="1:40" x14ac:dyDescent="0.25">
      <c r="A223" s="159" t="s">
        <v>850</v>
      </c>
      <c r="B223" s="159">
        <v>228</v>
      </c>
      <c r="C223" s="159">
        <v>850</v>
      </c>
      <c r="D223" s="159">
        <v>500</v>
      </c>
      <c r="E223" s="159" t="s">
        <v>233</v>
      </c>
      <c r="F223" s="159" t="s">
        <v>239</v>
      </c>
      <c r="G223" s="264">
        <v>8860000</v>
      </c>
      <c r="H223" s="249">
        <v>76.58634988904754</v>
      </c>
      <c r="I223" s="249">
        <v>7.542502959840629</v>
      </c>
      <c r="J223" s="249">
        <v>10.445131698357409</v>
      </c>
      <c r="K223" s="249">
        <v>4.458770276525418</v>
      </c>
      <c r="L223" s="249">
        <v>-118.84917127656649</v>
      </c>
      <c r="M223" s="249">
        <v>-60.821750226979574</v>
      </c>
      <c r="N223" s="159" t="s">
        <v>245</v>
      </c>
      <c r="O223" s="159" t="s">
        <v>230</v>
      </c>
      <c r="P223" s="159">
        <v>0</v>
      </c>
      <c r="Q223" s="159">
        <v>0</v>
      </c>
      <c r="R223" s="159"/>
      <c r="S223" s="159"/>
      <c r="T223" s="159"/>
      <c r="U223" s="159"/>
      <c r="V223" s="159"/>
      <c r="W223" s="249"/>
      <c r="X223" s="249"/>
      <c r="Y223" s="249"/>
      <c r="Z223" s="159"/>
      <c r="AA223" s="159"/>
      <c r="AB223" s="159"/>
      <c r="AC223" s="159"/>
      <c r="AD223" s="159"/>
      <c r="AE223" s="159"/>
      <c r="AF223" s="259"/>
      <c r="AG223" s="259"/>
      <c r="AH223" s="259"/>
      <c r="AI223" s="259"/>
      <c r="AJ223" s="259"/>
      <c r="AK223" s="259"/>
      <c r="AL223" s="159">
        <v>0</v>
      </c>
      <c r="AM223" s="159"/>
      <c r="AN223" s="159">
        <v>-2.2999999999999998</v>
      </c>
    </row>
    <row r="224" spans="1:40" x14ac:dyDescent="0.25">
      <c r="A224" s="241" t="s">
        <v>851</v>
      </c>
      <c r="B224" s="241">
        <v>229</v>
      </c>
      <c r="C224" s="241">
        <v>850</v>
      </c>
      <c r="D224" s="241">
        <v>500</v>
      </c>
      <c r="E224" s="241" t="s">
        <v>48</v>
      </c>
      <c r="F224" s="241" t="s">
        <v>239</v>
      </c>
      <c r="G224" s="265">
        <v>8860000</v>
      </c>
      <c r="H224" s="250">
        <v>76.58634988904754</v>
      </c>
      <c r="I224" s="250">
        <v>7.542502959840629</v>
      </c>
      <c r="J224" s="250">
        <v>10.445131698357409</v>
      </c>
      <c r="K224" s="250">
        <v>4.458770276525418</v>
      </c>
      <c r="L224" s="250">
        <v>-118.84917127656649</v>
      </c>
      <c r="M224" s="250">
        <v>-116.38598529672362</v>
      </c>
      <c r="N224" s="241" t="s">
        <v>245</v>
      </c>
      <c r="O224" s="241" t="s">
        <v>230</v>
      </c>
      <c r="P224" s="241">
        <v>0</v>
      </c>
      <c r="Q224" s="241">
        <v>0</v>
      </c>
      <c r="R224" s="241"/>
      <c r="S224" s="241"/>
      <c r="T224" s="241"/>
      <c r="U224" s="241"/>
      <c r="V224" s="241"/>
      <c r="W224" s="250"/>
      <c r="X224" s="250"/>
      <c r="Y224" s="250"/>
      <c r="Z224" s="241"/>
      <c r="AA224" s="241"/>
      <c r="AB224" s="241"/>
      <c r="AC224" s="241"/>
      <c r="AD224" s="241"/>
      <c r="AE224" s="241"/>
      <c r="AF224" s="258"/>
      <c r="AG224" s="258"/>
      <c r="AH224" s="258"/>
      <c r="AI224" s="258"/>
      <c r="AJ224" s="258"/>
      <c r="AK224" s="258"/>
      <c r="AL224" s="241">
        <v>0</v>
      </c>
      <c r="AM224" s="241"/>
      <c r="AN224" s="241">
        <v>-0.8</v>
      </c>
    </row>
    <row r="225" spans="1:40" x14ac:dyDescent="0.25">
      <c r="A225" s="159" t="s">
        <v>852</v>
      </c>
      <c r="B225" s="159">
        <v>230</v>
      </c>
      <c r="C225" s="159">
        <v>850</v>
      </c>
      <c r="D225" s="159">
        <v>500</v>
      </c>
      <c r="E225" s="159" t="s">
        <v>233</v>
      </c>
      <c r="F225" s="159" t="s">
        <v>250</v>
      </c>
      <c r="G225" s="264">
        <v>7940000</v>
      </c>
      <c r="H225" s="249">
        <v>30.024318115593513</v>
      </c>
      <c r="I225" s="249">
        <v>21.876457823859138</v>
      </c>
      <c r="J225" s="249">
        <v>0</v>
      </c>
      <c r="K225" s="249">
        <v>45.229855925257233</v>
      </c>
      <c r="L225" s="249">
        <v>-130.28483790834721</v>
      </c>
      <c r="M225" s="249">
        <v>-60.821750226979574</v>
      </c>
      <c r="N225" s="159" t="s">
        <v>245</v>
      </c>
      <c r="O225" s="159" t="s">
        <v>230</v>
      </c>
      <c r="P225" s="159">
        <v>0</v>
      </c>
      <c r="Q225" s="159">
        <v>0</v>
      </c>
      <c r="R225" s="159"/>
      <c r="S225" s="159"/>
      <c r="T225" s="159"/>
      <c r="U225" s="159"/>
      <c r="V225" s="159"/>
      <c r="W225" s="249"/>
      <c r="X225" s="249"/>
      <c r="Y225" s="249"/>
      <c r="Z225" s="159"/>
      <c r="AA225" s="159"/>
      <c r="AB225" s="159"/>
      <c r="AC225" s="159"/>
      <c r="AD225" s="159"/>
      <c r="AE225" s="159"/>
      <c r="AF225" s="259"/>
      <c r="AG225" s="259"/>
      <c r="AH225" s="259"/>
      <c r="AI225" s="259"/>
      <c r="AJ225" s="259"/>
      <c r="AK225" s="259"/>
      <c r="AL225" s="159">
        <v>0</v>
      </c>
      <c r="AM225" s="159"/>
      <c r="AN225" s="159">
        <v>-28.6</v>
      </c>
    </row>
    <row r="226" spans="1:40" x14ac:dyDescent="0.25">
      <c r="A226" s="241" t="s">
        <v>853</v>
      </c>
      <c r="B226" s="241">
        <v>231</v>
      </c>
      <c r="C226" s="241">
        <v>850</v>
      </c>
      <c r="D226" s="241">
        <v>500</v>
      </c>
      <c r="E226" s="241" t="s">
        <v>48</v>
      </c>
      <c r="F226" s="241" t="s">
        <v>250</v>
      </c>
      <c r="G226" s="265">
        <v>7940000</v>
      </c>
      <c r="H226" s="250">
        <v>30.024318115593513</v>
      </c>
      <c r="I226" s="250">
        <v>21.876457823859138</v>
      </c>
      <c r="J226" s="250">
        <v>0</v>
      </c>
      <c r="K226" s="250">
        <v>45.229855925257233</v>
      </c>
      <c r="L226" s="250">
        <v>-130.28483790834721</v>
      </c>
      <c r="M226" s="250">
        <v>-116.38598529672362</v>
      </c>
      <c r="N226" s="241" t="s">
        <v>245</v>
      </c>
      <c r="O226" s="241" t="s">
        <v>230</v>
      </c>
      <c r="P226" s="241">
        <v>0</v>
      </c>
      <c r="Q226" s="241">
        <v>0</v>
      </c>
      <c r="R226" s="241"/>
      <c r="S226" s="241"/>
      <c r="T226" s="241"/>
      <c r="U226" s="241"/>
      <c r="V226" s="241"/>
      <c r="W226" s="250"/>
      <c r="X226" s="250"/>
      <c r="Y226" s="250"/>
      <c r="Z226" s="241"/>
      <c r="AA226" s="241"/>
      <c r="AB226" s="241"/>
      <c r="AC226" s="241"/>
      <c r="AD226" s="241"/>
      <c r="AE226" s="241"/>
      <c r="AF226" s="258"/>
      <c r="AG226" s="258"/>
      <c r="AH226" s="258"/>
      <c r="AI226" s="258"/>
      <c r="AJ226" s="258"/>
      <c r="AK226" s="258"/>
      <c r="AL226" s="241">
        <v>0</v>
      </c>
      <c r="AM226" s="241"/>
      <c r="AN226" s="241">
        <v>-33</v>
      </c>
    </row>
    <row r="227" spans="1:40" ht="16.5" thickBot="1" x14ac:dyDescent="0.3">
      <c r="A227" s="242" t="s">
        <v>855</v>
      </c>
      <c r="B227" s="242">
        <v>232</v>
      </c>
      <c r="C227" s="242">
        <v>850</v>
      </c>
      <c r="D227" s="242">
        <v>500</v>
      </c>
      <c r="E227" s="242" t="s">
        <v>250</v>
      </c>
      <c r="F227" s="242" t="s">
        <v>250</v>
      </c>
      <c r="G227" s="266">
        <v>7940000</v>
      </c>
      <c r="H227" s="251">
        <v>30.024318115593513</v>
      </c>
      <c r="I227" s="251">
        <v>21.876457823859138</v>
      </c>
      <c r="J227" s="251">
        <v>0</v>
      </c>
      <c r="K227" s="251">
        <v>45.229855925257233</v>
      </c>
      <c r="L227" s="251">
        <v>-130.28483790834721</v>
      </c>
      <c r="M227" s="251">
        <v>-130.28483790834721</v>
      </c>
      <c r="N227" s="242" t="s">
        <v>245</v>
      </c>
      <c r="O227" s="242" t="s">
        <v>230</v>
      </c>
      <c r="P227" s="242">
        <v>0</v>
      </c>
      <c r="Q227" s="242">
        <v>0</v>
      </c>
      <c r="R227" s="242"/>
      <c r="S227" s="242"/>
      <c r="T227" s="242"/>
      <c r="U227" s="242"/>
      <c r="V227" s="242"/>
      <c r="W227" s="251"/>
      <c r="X227" s="251"/>
      <c r="Y227" s="251"/>
      <c r="Z227" s="242"/>
      <c r="AA227" s="242"/>
      <c r="AB227" s="242"/>
      <c r="AC227" s="242"/>
      <c r="AD227" s="242"/>
      <c r="AE227" s="242"/>
      <c r="AF227" s="261"/>
      <c r="AG227" s="261"/>
      <c r="AH227" s="261"/>
      <c r="AI227" s="261"/>
      <c r="AJ227" s="261"/>
      <c r="AK227" s="261"/>
      <c r="AL227" s="242">
        <v>0</v>
      </c>
      <c r="AM227" s="242"/>
      <c r="AN227" s="242">
        <v>-0.2</v>
      </c>
    </row>
  </sheetData>
  <autoFilter ref="A1:AN227" xr:uid="{EC547BD4-5747-498C-B54B-CB413EE86CB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1CE31-FE6C-4833-A500-1D35E10F3CA7}">
  <dimension ref="A1:CH260"/>
  <sheetViews>
    <sheetView zoomScale="70" zoomScaleNormal="70" workbookViewId="0">
      <pane xSplit="1" topLeftCell="W1" activePane="topRight" state="frozen"/>
      <selection pane="topRight" activeCell="N18" sqref="N18"/>
    </sheetView>
  </sheetViews>
  <sheetFormatPr defaultRowHeight="15.75" x14ac:dyDescent="0.25"/>
  <cols>
    <col min="1" max="1" width="35" style="129" customWidth="1"/>
    <col min="2" max="2" width="10.7109375" style="129" bestFit="1" customWidth="1"/>
    <col min="3" max="5" width="9.140625" style="129"/>
    <col min="6" max="6" width="14.140625" style="129" customWidth="1"/>
    <col min="7" max="7" width="12.42578125" style="270" customWidth="1"/>
    <col min="9" max="9" width="9.140625" style="129" customWidth="1"/>
    <col min="10" max="10" width="9.140625" style="25"/>
    <col min="11" max="11" width="9.140625" style="129" customWidth="1"/>
    <col min="12" max="13" width="9.140625" style="25"/>
    <col min="14" max="14" width="9.7109375" style="129" customWidth="1"/>
    <col min="15" max="15" width="9.5703125" style="129" customWidth="1"/>
    <col min="16" max="16" width="9.140625" style="129"/>
    <col min="17" max="17" width="9.140625" style="25"/>
    <col min="18" max="23" width="9.140625" style="129"/>
    <col min="24" max="24" width="14.42578125" style="129" bestFit="1" customWidth="1"/>
    <col min="25" max="25" width="11.5703125" style="129" customWidth="1"/>
    <col min="26" max="26" width="9.140625" style="129"/>
    <col min="27" max="27" width="15" style="129" bestFit="1" customWidth="1"/>
    <col min="28" max="28" width="14.7109375" style="129" bestFit="1" customWidth="1"/>
    <col min="29" max="29" width="9.140625" style="129"/>
    <col min="30" max="30" width="12.85546875" style="129" bestFit="1" customWidth="1"/>
    <col min="31" max="31" width="14.42578125" style="129" bestFit="1" customWidth="1"/>
    <col min="32" max="32" width="12" style="129" customWidth="1"/>
    <col min="33" max="34" width="12.85546875" style="129" bestFit="1" customWidth="1"/>
    <col min="35" max="35" width="12.5703125" style="129" bestFit="1" customWidth="1"/>
    <col min="36" max="37" width="13.42578125" style="129" bestFit="1" customWidth="1"/>
    <col min="38" max="38" width="12.5703125" style="129" bestFit="1" customWidth="1"/>
    <col min="39" max="39" width="12.5703125" style="129" customWidth="1"/>
    <col min="40" max="40" width="13.140625" style="129" bestFit="1" customWidth="1"/>
    <col min="41" max="41" width="16" style="129" bestFit="1" customWidth="1"/>
    <col min="42" max="44" width="16" style="129" customWidth="1"/>
    <col min="45" max="46" width="16" style="129" bestFit="1" customWidth="1"/>
    <col min="47" max="47" width="16.7109375" style="129" bestFit="1" customWidth="1"/>
    <col min="48" max="48" width="16.7109375" style="129" customWidth="1"/>
    <col min="49" max="49" width="16" style="129" bestFit="1" customWidth="1"/>
    <col min="50" max="50" width="16.5703125" style="129" bestFit="1" customWidth="1"/>
    <col min="51" max="51" width="16.28515625" style="129" bestFit="1" customWidth="1"/>
    <col min="52" max="52" width="17" style="130" bestFit="1" customWidth="1"/>
    <col min="53" max="53" width="17.28515625" style="130" bestFit="1" customWidth="1"/>
    <col min="54" max="54" width="16" style="129" customWidth="1"/>
    <col min="55" max="55" width="16" style="129" bestFit="1" customWidth="1"/>
    <col min="56" max="66" width="16" style="129" customWidth="1"/>
    <col min="67" max="67" width="30.85546875" style="129" customWidth="1"/>
    <col min="68" max="68" width="16" style="129" customWidth="1"/>
    <col min="69" max="69" width="16.42578125" style="129" customWidth="1"/>
    <col min="70" max="70" width="18.85546875" style="129" bestFit="1" customWidth="1"/>
    <col min="71" max="71" width="16" style="129" customWidth="1"/>
    <col min="72" max="72" width="13.7109375" style="129" customWidth="1"/>
    <col min="73" max="73" width="16" style="129" customWidth="1"/>
    <col min="74" max="74" width="25.7109375" style="129" customWidth="1"/>
    <col min="75" max="76" width="16" style="129" bestFit="1" customWidth="1"/>
    <col min="77" max="78" width="16" style="129" customWidth="1"/>
    <col min="79" max="79" width="16" style="129" bestFit="1" customWidth="1"/>
    <col min="80" max="80" width="16" style="129" customWidth="1"/>
    <col min="81" max="83" width="9.140625" style="129"/>
    <col min="84" max="84" width="16" style="129" bestFit="1" customWidth="1"/>
    <col min="85" max="86" width="16" style="129" customWidth="1"/>
    <col min="87" max="87" width="29.7109375" style="129" bestFit="1" customWidth="1"/>
    <col min="88" max="88" width="29.7109375" style="129" customWidth="1"/>
    <col min="89" max="89" width="9.140625" style="129"/>
    <col min="90" max="90" width="10.28515625" style="129" customWidth="1"/>
    <col min="91" max="91" width="12.42578125" style="129" customWidth="1"/>
    <col min="92" max="92" width="13.28515625" style="129" customWidth="1"/>
    <col min="93" max="93" width="14.85546875" style="129" customWidth="1"/>
    <col min="94" max="94" width="35" style="129" customWidth="1"/>
    <col min="95" max="95" width="32.140625" style="129" bestFit="1" customWidth="1"/>
    <col min="96" max="96" width="23.7109375" style="129" bestFit="1" customWidth="1"/>
    <col min="97" max="97" width="42" style="129" bestFit="1" customWidth="1"/>
    <col min="98" max="98" width="20.140625" style="129" bestFit="1" customWidth="1"/>
    <col min="99" max="99" width="22.28515625" style="129" bestFit="1" customWidth="1"/>
    <col min="100" max="100" width="57.85546875" style="129" bestFit="1" customWidth="1"/>
    <col min="101" max="101" width="14.7109375" style="129" bestFit="1" customWidth="1"/>
    <col min="102" max="102" width="15.7109375" style="129" bestFit="1" customWidth="1"/>
    <col min="103" max="103" width="190" style="129" bestFit="1" customWidth="1"/>
    <col min="104" max="104" width="28.42578125" style="129" bestFit="1" customWidth="1"/>
    <col min="105" max="105" width="18.28515625" style="129" bestFit="1" customWidth="1"/>
    <col min="106" max="106" width="9.140625" style="129"/>
    <col min="107" max="107" width="158.140625" style="129" bestFit="1" customWidth="1"/>
    <col min="108" max="108" width="16.85546875" style="129" bestFit="1" customWidth="1"/>
    <col min="109" max="111" width="18.5703125" style="129" bestFit="1" customWidth="1"/>
    <col min="112" max="112" width="9.140625" style="129"/>
    <col min="113" max="113" width="12.85546875" style="129" bestFit="1" customWidth="1"/>
    <col min="114" max="114" width="13.85546875" style="129" bestFit="1" customWidth="1"/>
    <col min="115" max="115" width="10" style="129" bestFit="1" customWidth="1"/>
    <col min="116" max="116" width="9.85546875" style="129" bestFit="1" customWidth="1"/>
    <col min="117" max="117" width="11.7109375" style="129" bestFit="1" customWidth="1"/>
    <col min="118" max="118" width="9.140625" style="129"/>
    <col min="119" max="119" width="12.28515625" style="129" bestFit="1" customWidth="1"/>
    <col min="120" max="120" width="37.7109375" style="129" bestFit="1" customWidth="1"/>
    <col min="121" max="121" width="16.85546875" style="129" bestFit="1" customWidth="1"/>
    <col min="122" max="122" width="27.140625" style="129" bestFit="1" customWidth="1"/>
    <col min="123" max="123" width="12.85546875" style="129" bestFit="1" customWidth="1"/>
    <col min="124" max="124" width="16.28515625" style="129" bestFit="1" customWidth="1"/>
    <col min="125" max="125" width="19.140625" style="129" bestFit="1" customWidth="1"/>
    <col min="126" max="126" width="37.7109375" style="129" bestFit="1" customWidth="1"/>
    <col min="127" max="127" width="16.85546875" style="129" bestFit="1" customWidth="1"/>
    <col min="128" max="128" width="27.140625" style="129" bestFit="1" customWidth="1"/>
    <col min="129" max="134" width="9.140625" style="129"/>
    <col min="135" max="135" width="12" style="129" bestFit="1" customWidth="1"/>
    <col min="136" max="136" width="12.140625" style="129" bestFit="1" customWidth="1"/>
    <col min="137" max="137" width="9.140625" style="129"/>
    <col min="138" max="138" width="11.85546875" style="129" bestFit="1" customWidth="1"/>
    <col min="139" max="139" width="14.140625" style="129" customWidth="1"/>
    <col min="140" max="140" width="11.85546875" style="129" bestFit="1" customWidth="1"/>
    <col min="141" max="16384" width="9.140625" style="129"/>
  </cols>
  <sheetData>
    <row r="1" spans="1:86" x14ac:dyDescent="0.25">
      <c r="A1" s="247" t="s">
        <v>874</v>
      </c>
      <c r="B1" s="247" t="s">
        <v>122</v>
      </c>
      <c r="C1" s="247" t="s">
        <v>21</v>
      </c>
      <c r="D1" s="247" t="s">
        <v>13</v>
      </c>
      <c r="E1" s="247" t="s">
        <v>3</v>
      </c>
      <c r="F1" s="247" t="s">
        <v>9</v>
      </c>
      <c r="G1" s="263" t="s">
        <v>124</v>
      </c>
      <c r="H1" s="247" t="s">
        <v>149</v>
      </c>
      <c r="I1" s="247" t="s">
        <v>150</v>
      </c>
      <c r="J1" s="247" t="s">
        <v>151</v>
      </c>
      <c r="K1" s="247" t="s">
        <v>152</v>
      </c>
      <c r="L1" s="247" t="s">
        <v>153</v>
      </c>
      <c r="M1" s="247" t="s">
        <v>154</v>
      </c>
      <c r="N1" s="247" t="s">
        <v>155</v>
      </c>
      <c r="O1" s="247" t="s">
        <v>156</v>
      </c>
      <c r="P1" s="247" t="s">
        <v>157</v>
      </c>
      <c r="Q1" s="247" t="s">
        <v>158</v>
      </c>
      <c r="R1" s="247" t="s">
        <v>159</v>
      </c>
      <c r="S1" s="247" t="s">
        <v>160</v>
      </c>
      <c r="T1" s="247" t="s">
        <v>161</v>
      </c>
      <c r="U1" s="247" t="s">
        <v>162</v>
      </c>
      <c r="V1" s="247" t="s">
        <v>163</v>
      </c>
      <c r="W1" s="247" t="s">
        <v>164</v>
      </c>
      <c r="X1" s="247" t="s">
        <v>165</v>
      </c>
      <c r="Y1" s="247" t="s">
        <v>166</v>
      </c>
      <c r="Z1" s="247" t="s">
        <v>167</v>
      </c>
      <c r="AA1" s="247" t="s">
        <v>168</v>
      </c>
      <c r="AB1" s="247" t="s">
        <v>169</v>
      </c>
      <c r="AC1" s="247" t="s">
        <v>170</v>
      </c>
      <c r="AD1" s="247" t="s">
        <v>171</v>
      </c>
      <c r="AE1" s="247" t="s">
        <v>172</v>
      </c>
      <c r="AF1" s="247" t="s">
        <v>610</v>
      </c>
      <c r="AG1" s="247" t="s">
        <v>611</v>
      </c>
      <c r="AH1" s="248" t="s">
        <v>16</v>
      </c>
      <c r="AI1" s="248" t="s">
        <v>17</v>
      </c>
      <c r="AJ1" s="248" t="s">
        <v>24</v>
      </c>
      <c r="AK1" s="247" t="s">
        <v>18</v>
      </c>
      <c r="AL1" s="247" t="s">
        <v>19</v>
      </c>
      <c r="AM1" s="247" t="s">
        <v>174</v>
      </c>
      <c r="AN1" s="247" t="s">
        <v>14</v>
      </c>
      <c r="AO1" s="247" t="s">
        <v>175</v>
      </c>
      <c r="AP1" s="247" t="s">
        <v>176</v>
      </c>
      <c r="AQ1" s="247" t="s">
        <v>177</v>
      </c>
      <c r="AR1" s="247" t="s">
        <v>178</v>
      </c>
      <c r="AS1" s="247" t="s">
        <v>179</v>
      </c>
      <c r="AT1" s="247" t="s">
        <v>180</v>
      </c>
      <c r="AU1" s="247" t="s">
        <v>181</v>
      </c>
      <c r="AV1" s="247" t="s">
        <v>182</v>
      </c>
      <c r="AW1" s="247" t="s">
        <v>183</v>
      </c>
      <c r="AX1" s="247" t="s">
        <v>184</v>
      </c>
      <c r="AY1" s="247" t="s">
        <v>185</v>
      </c>
      <c r="AZ1" s="247" t="s">
        <v>186</v>
      </c>
      <c r="BA1" s="247" t="s">
        <v>187</v>
      </c>
      <c r="BB1" s="247" t="s">
        <v>188</v>
      </c>
      <c r="BC1" s="247" t="s">
        <v>189</v>
      </c>
      <c r="BD1" s="247" t="s">
        <v>190</v>
      </c>
      <c r="BE1" s="247" t="s">
        <v>191</v>
      </c>
      <c r="BF1" s="247" t="s">
        <v>192</v>
      </c>
      <c r="BG1" s="247" t="s">
        <v>193</v>
      </c>
      <c r="BH1" s="247" t="s">
        <v>194</v>
      </c>
      <c r="BI1" s="247" t="s">
        <v>195</v>
      </c>
      <c r="BJ1" s="247" t="s">
        <v>196</v>
      </c>
      <c r="BK1" s="247" t="s">
        <v>197</v>
      </c>
      <c r="BL1" s="247" t="s">
        <v>198</v>
      </c>
      <c r="BM1" s="247" t="s">
        <v>199</v>
      </c>
      <c r="BN1" s="247" t="s">
        <v>200</v>
      </c>
      <c r="BO1" s="247" t="s">
        <v>201</v>
      </c>
      <c r="BP1" s="247" t="s">
        <v>202</v>
      </c>
      <c r="BQ1" s="247" t="s">
        <v>203</v>
      </c>
      <c r="BR1" s="247" t="s">
        <v>204</v>
      </c>
      <c r="BS1" s="247" t="s">
        <v>205</v>
      </c>
      <c r="BT1" s="247" t="s">
        <v>206</v>
      </c>
      <c r="BU1" s="247" t="s">
        <v>207</v>
      </c>
      <c r="BV1" s="247" t="s">
        <v>208</v>
      </c>
      <c r="BW1" s="247" t="s">
        <v>209</v>
      </c>
      <c r="BX1" s="247" t="s">
        <v>210</v>
      </c>
      <c r="BY1" s="247" t="s">
        <v>211</v>
      </c>
      <c r="BZ1" s="247" t="s">
        <v>212</v>
      </c>
      <c r="CA1" s="247" t="s">
        <v>213</v>
      </c>
      <c r="CB1" s="247" t="s">
        <v>214</v>
      </c>
      <c r="CC1" s="247" t="s">
        <v>215</v>
      </c>
      <c r="CD1" s="247" t="s">
        <v>11</v>
      </c>
      <c r="CE1" s="247" t="s">
        <v>216</v>
      </c>
      <c r="CF1" s="247" t="s">
        <v>217</v>
      </c>
      <c r="CG1" s="247" t="s">
        <v>218</v>
      </c>
      <c r="CH1" s="247" t="s">
        <v>875</v>
      </c>
    </row>
    <row r="2" spans="1:86" x14ac:dyDescent="0.25">
      <c r="A2" s="159" t="s">
        <v>613</v>
      </c>
      <c r="B2" s="159">
        <v>0</v>
      </c>
      <c r="C2" s="159">
        <v>700</v>
      </c>
      <c r="D2" s="159">
        <v>1000</v>
      </c>
      <c r="E2" s="159" t="s">
        <v>227</v>
      </c>
      <c r="F2" s="159" t="s">
        <v>227</v>
      </c>
      <c r="G2" s="264">
        <v>7980000</v>
      </c>
      <c r="H2" s="249">
        <v>9.4263736040079404</v>
      </c>
      <c r="I2" s="249">
        <v>17.855668155061338</v>
      </c>
      <c r="J2" s="249">
        <v>1.1567890643408911</v>
      </c>
      <c r="K2" s="249">
        <v>67.794477124908823</v>
      </c>
      <c r="L2" s="249">
        <v>0</v>
      </c>
      <c r="M2" s="249">
        <v>0</v>
      </c>
      <c r="N2" s="249">
        <v>1.53733691466061</v>
      </c>
      <c r="O2" s="249">
        <v>0</v>
      </c>
      <c r="P2" s="249">
        <v>0</v>
      </c>
      <c r="Q2" s="249">
        <v>0.60705930029728394</v>
      </c>
      <c r="R2" s="249">
        <v>1.0338651293026873</v>
      </c>
      <c r="S2" s="249">
        <v>0.32954945831000193</v>
      </c>
      <c r="T2" s="249">
        <v>0</v>
      </c>
      <c r="U2" s="249">
        <v>0</v>
      </c>
      <c r="V2" s="249">
        <v>5.5238880104858952E-2</v>
      </c>
      <c r="W2" s="249">
        <v>2.7532484252753265E-3</v>
      </c>
      <c r="X2" s="249">
        <v>0</v>
      </c>
      <c r="Y2" s="249">
        <v>0</v>
      </c>
      <c r="Z2" s="249">
        <v>0</v>
      </c>
      <c r="AA2" s="249">
        <v>0</v>
      </c>
      <c r="AB2" s="249">
        <v>0</v>
      </c>
      <c r="AC2" s="249">
        <v>0.20088912058028036</v>
      </c>
      <c r="AD2" s="249">
        <v>0</v>
      </c>
      <c r="AE2" s="249">
        <v>0</v>
      </c>
      <c r="AF2" s="249">
        <v>-136.54295506071665</v>
      </c>
      <c r="AG2" s="249">
        <v>-136.54295506071665</v>
      </c>
      <c r="AH2" s="249">
        <v>13</v>
      </c>
      <c r="AI2" s="249">
        <v>7</v>
      </c>
      <c r="AJ2" s="249">
        <v>1</v>
      </c>
      <c r="AK2" s="159" t="s">
        <v>228</v>
      </c>
      <c r="AL2" s="159" t="s">
        <v>230</v>
      </c>
      <c r="AM2" s="159"/>
      <c r="AN2" s="159">
        <v>0</v>
      </c>
      <c r="AO2" s="159"/>
      <c r="AP2" s="159"/>
      <c r="AQ2" s="159"/>
      <c r="AR2" s="159"/>
      <c r="AS2" s="159"/>
      <c r="AT2" s="159"/>
      <c r="AU2" s="159"/>
      <c r="AV2" s="159"/>
      <c r="AW2" s="159"/>
      <c r="AX2" s="159"/>
      <c r="AY2" s="159"/>
      <c r="AZ2" s="159"/>
      <c r="BA2" s="159"/>
      <c r="BB2" s="159"/>
      <c r="BC2" s="159"/>
      <c r="BD2" s="159"/>
      <c r="BE2" s="159"/>
      <c r="BF2" s="159"/>
      <c r="BG2" s="159"/>
      <c r="BH2" s="159"/>
      <c r="BI2" s="159"/>
      <c r="BJ2" s="159"/>
      <c r="BK2" s="159"/>
      <c r="BL2" s="159"/>
      <c r="BM2" s="159"/>
      <c r="BN2" s="159"/>
      <c r="BO2" s="159"/>
      <c r="BP2" s="159"/>
      <c r="BQ2" s="159"/>
      <c r="BR2" s="159"/>
      <c r="BS2" s="159"/>
      <c r="BT2" s="159"/>
      <c r="BU2" s="159"/>
      <c r="BV2" s="159"/>
      <c r="BW2" s="159"/>
      <c r="BX2" s="159"/>
      <c r="BY2" s="159"/>
      <c r="BZ2" s="159"/>
      <c r="CA2" s="159"/>
      <c r="CB2" s="159"/>
      <c r="CC2" s="159"/>
      <c r="CD2" s="159">
        <v>0</v>
      </c>
      <c r="CE2" s="159"/>
      <c r="CF2" s="159">
        <v>-6.4</v>
      </c>
      <c r="CG2" s="159">
        <v>-0.22</v>
      </c>
      <c r="CH2" s="159">
        <v>1</v>
      </c>
    </row>
    <row r="3" spans="1:86" x14ac:dyDescent="0.25">
      <c r="A3" s="241" t="s">
        <v>614</v>
      </c>
      <c r="B3" s="241">
        <v>0</v>
      </c>
      <c r="C3" s="241">
        <v>700</v>
      </c>
      <c r="D3" s="241">
        <v>1000</v>
      </c>
      <c r="E3" s="241" t="s">
        <v>233</v>
      </c>
      <c r="F3" s="241" t="s">
        <v>227</v>
      </c>
      <c r="G3" s="265">
        <v>7980000</v>
      </c>
      <c r="H3" s="250">
        <v>9.4263736040079404</v>
      </c>
      <c r="I3" s="250">
        <v>17.855668155061299</v>
      </c>
      <c r="J3" s="250">
        <v>1.1567890643408911</v>
      </c>
      <c r="K3" s="250">
        <v>67.794477124908823</v>
      </c>
      <c r="L3" s="250">
        <v>0</v>
      </c>
      <c r="M3" s="250">
        <v>0</v>
      </c>
      <c r="N3" s="250">
        <v>1.53733691466061</v>
      </c>
      <c r="O3" s="250">
        <v>0</v>
      </c>
      <c r="P3" s="250">
        <v>0</v>
      </c>
      <c r="Q3" s="250">
        <v>0.60705930029728394</v>
      </c>
      <c r="R3" s="250">
        <v>1.0338651293026873</v>
      </c>
      <c r="S3" s="250">
        <v>0.32954945831000193</v>
      </c>
      <c r="T3" s="250">
        <v>0</v>
      </c>
      <c r="U3" s="250">
        <v>0</v>
      </c>
      <c r="V3" s="250">
        <v>5.5238880104858952E-2</v>
      </c>
      <c r="W3" s="250">
        <v>2.7532484252753265E-3</v>
      </c>
      <c r="X3" s="250">
        <v>0</v>
      </c>
      <c r="Y3" s="250">
        <v>0</v>
      </c>
      <c r="Z3" s="250">
        <v>0</v>
      </c>
      <c r="AA3" s="250">
        <v>0</v>
      </c>
      <c r="AB3" s="250">
        <v>0</v>
      </c>
      <c r="AC3" s="250">
        <v>0.20088912058028036</v>
      </c>
      <c r="AD3" s="250">
        <v>0</v>
      </c>
      <c r="AE3" s="250">
        <v>0</v>
      </c>
      <c r="AF3" s="250">
        <v>-136.54295506071665</v>
      </c>
      <c r="AG3" s="250">
        <v>-63.529671587210359</v>
      </c>
      <c r="AH3" s="250">
        <v>13</v>
      </c>
      <c r="AI3" s="250">
        <v>7</v>
      </c>
      <c r="AJ3" s="250">
        <v>1</v>
      </c>
      <c r="AK3" s="241" t="s">
        <v>228</v>
      </c>
      <c r="AL3" s="241" t="s">
        <v>230</v>
      </c>
      <c r="AM3" s="241"/>
      <c r="AN3" s="241">
        <v>0</v>
      </c>
      <c r="AO3" s="241"/>
      <c r="AP3" s="241"/>
      <c r="AQ3" s="241"/>
      <c r="AR3" s="241"/>
      <c r="AS3" s="241"/>
      <c r="AT3" s="241"/>
      <c r="AU3" s="241"/>
      <c r="AV3" s="241"/>
      <c r="AW3" s="241"/>
      <c r="AX3" s="241"/>
      <c r="AY3" s="241"/>
      <c r="AZ3" s="241"/>
      <c r="BA3" s="241"/>
      <c r="BB3" s="241"/>
      <c r="BC3" s="241"/>
      <c r="BD3" s="241"/>
      <c r="BE3" s="241"/>
      <c r="BF3" s="241"/>
      <c r="BG3" s="241"/>
      <c r="BH3" s="241"/>
      <c r="BI3" s="241"/>
      <c r="BJ3" s="241"/>
      <c r="BK3" s="241"/>
      <c r="BL3" s="241"/>
      <c r="BM3" s="241"/>
      <c r="BN3" s="241"/>
      <c r="BO3" s="241"/>
      <c r="BP3" s="241"/>
      <c r="BQ3" s="241"/>
      <c r="BR3" s="241"/>
      <c r="BS3" s="241"/>
      <c r="BT3" s="241"/>
      <c r="BU3" s="241"/>
      <c r="BV3" s="241"/>
      <c r="BW3" s="241"/>
      <c r="BX3" s="241"/>
      <c r="BY3" s="241"/>
      <c r="BZ3" s="241"/>
      <c r="CA3" s="241"/>
      <c r="CB3" s="241"/>
      <c r="CC3" s="241"/>
      <c r="CD3" s="241">
        <v>0</v>
      </c>
      <c r="CE3" s="241"/>
      <c r="CF3" s="241">
        <v>-13.7</v>
      </c>
      <c r="CG3" s="241">
        <v>-0.27</v>
      </c>
      <c r="CH3" s="241">
        <v>2</v>
      </c>
    </row>
    <row r="4" spans="1:86" x14ac:dyDescent="0.25">
      <c r="A4" s="159" t="s">
        <v>615</v>
      </c>
      <c r="B4" s="159">
        <v>0</v>
      </c>
      <c r="C4" s="159">
        <v>700</v>
      </c>
      <c r="D4" s="159">
        <v>2000</v>
      </c>
      <c r="E4" s="159" t="s">
        <v>227</v>
      </c>
      <c r="F4" s="159" t="s">
        <v>227</v>
      </c>
      <c r="G4" s="264">
        <v>7980000</v>
      </c>
      <c r="H4" s="249">
        <v>9.4263736040079404</v>
      </c>
      <c r="I4" s="249">
        <v>17.855668155061338</v>
      </c>
      <c r="J4" s="249">
        <v>1.1567890643408911</v>
      </c>
      <c r="K4" s="249">
        <v>67.794477124908823</v>
      </c>
      <c r="L4" s="249">
        <v>0</v>
      </c>
      <c r="M4" s="249">
        <v>0</v>
      </c>
      <c r="N4" s="249">
        <v>1.53733691466061</v>
      </c>
      <c r="O4" s="249">
        <v>0</v>
      </c>
      <c r="P4" s="249">
        <v>0</v>
      </c>
      <c r="Q4" s="249">
        <v>0.60705930029728394</v>
      </c>
      <c r="R4" s="249">
        <v>1.0338651293026873</v>
      </c>
      <c r="S4" s="249">
        <v>0.32954945831000193</v>
      </c>
      <c r="T4" s="249">
        <v>0</v>
      </c>
      <c r="U4" s="249">
        <v>0</v>
      </c>
      <c r="V4" s="249">
        <v>5.5238880104858952E-2</v>
      </c>
      <c r="W4" s="249">
        <v>2.7532484252753265E-3</v>
      </c>
      <c r="X4" s="249">
        <v>0</v>
      </c>
      <c r="Y4" s="249">
        <v>0</v>
      </c>
      <c r="Z4" s="249">
        <v>0</v>
      </c>
      <c r="AA4" s="249">
        <v>0</v>
      </c>
      <c r="AB4" s="249">
        <v>0</v>
      </c>
      <c r="AC4" s="249">
        <v>0.20088912058028036</v>
      </c>
      <c r="AD4" s="249">
        <v>0</v>
      </c>
      <c r="AE4" s="249">
        <v>0</v>
      </c>
      <c r="AF4" s="249">
        <v>-136.54295506071665</v>
      </c>
      <c r="AG4" s="249">
        <v>-136.54295506071665</v>
      </c>
      <c r="AH4" s="249">
        <v>13</v>
      </c>
      <c r="AI4" s="249">
        <v>7</v>
      </c>
      <c r="AJ4" s="249">
        <v>1</v>
      </c>
      <c r="AK4" s="159" t="s">
        <v>228</v>
      </c>
      <c r="AL4" s="159" t="s">
        <v>230</v>
      </c>
      <c r="AM4" s="159"/>
      <c r="AN4" s="159">
        <v>0</v>
      </c>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59"/>
      <c r="BY4" s="159"/>
      <c r="BZ4" s="159"/>
      <c r="CA4" s="159"/>
      <c r="CB4" s="159"/>
      <c r="CC4" s="159"/>
      <c r="CD4" s="159">
        <v>0</v>
      </c>
      <c r="CE4" s="159"/>
      <c r="CF4" s="159">
        <v>-10.7</v>
      </c>
      <c r="CG4" s="159">
        <v>-0.35</v>
      </c>
      <c r="CH4" s="159">
        <v>3</v>
      </c>
    </row>
    <row r="5" spans="1:86" x14ac:dyDescent="0.25">
      <c r="A5" s="241" t="s">
        <v>616</v>
      </c>
      <c r="B5" s="241">
        <v>0</v>
      </c>
      <c r="C5" s="241">
        <v>700</v>
      </c>
      <c r="D5" s="241">
        <v>2000</v>
      </c>
      <c r="E5" s="241" t="s">
        <v>233</v>
      </c>
      <c r="F5" s="241" t="s">
        <v>227</v>
      </c>
      <c r="G5" s="265">
        <v>7980000</v>
      </c>
      <c r="H5" s="250">
        <v>9.4263736040079404</v>
      </c>
      <c r="I5" s="250">
        <v>17.855668155061338</v>
      </c>
      <c r="J5" s="250">
        <v>1.1567890643408911</v>
      </c>
      <c r="K5" s="250">
        <v>67.794477124908823</v>
      </c>
      <c r="L5" s="250">
        <v>0</v>
      </c>
      <c r="M5" s="250">
        <v>0</v>
      </c>
      <c r="N5" s="250">
        <v>1.53733691466061</v>
      </c>
      <c r="O5" s="250">
        <v>0</v>
      </c>
      <c r="P5" s="250">
        <v>0</v>
      </c>
      <c r="Q5" s="250">
        <v>0.60705930029728394</v>
      </c>
      <c r="R5" s="250">
        <v>1.0338651293026873</v>
      </c>
      <c r="S5" s="250">
        <v>0.32954945831000193</v>
      </c>
      <c r="T5" s="250">
        <v>0</v>
      </c>
      <c r="U5" s="250">
        <v>0</v>
      </c>
      <c r="V5" s="250">
        <v>5.5238880104858952E-2</v>
      </c>
      <c r="W5" s="250">
        <v>2.7532484252753265E-3</v>
      </c>
      <c r="X5" s="250">
        <v>0</v>
      </c>
      <c r="Y5" s="250">
        <v>0</v>
      </c>
      <c r="Z5" s="250">
        <v>0</v>
      </c>
      <c r="AA5" s="250">
        <v>0</v>
      </c>
      <c r="AB5" s="250">
        <v>0</v>
      </c>
      <c r="AC5" s="250">
        <v>0.20088912058028036</v>
      </c>
      <c r="AD5" s="250">
        <v>0</v>
      </c>
      <c r="AE5" s="250">
        <v>0</v>
      </c>
      <c r="AF5" s="250">
        <v>-136.54295506071665</v>
      </c>
      <c r="AG5" s="250">
        <v>-63.529671587210359</v>
      </c>
      <c r="AH5" s="250">
        <v>13</v>
      </c>
      <c r="AI5" s="250">
        <v>7</v>
      </c>
      <c r="AJ5" s="250">
        <v>1</v>
      </c>
      <c r="AK5" s="241" t="s">
        <v>228</v>
      </c>
      <c r="AL5" s="241" t="s">
        <v>230</v>
      </c>
      <c r="AM5" s="241"/>
      <c r="AN5" s="241">
        <v>0</v>
      </c>
      <c r="AO5" s="241"/>
      <c r="AP5" s="241"/>
      <c r="AQ5" s="241"/>
      <c r="AR5" s="241"/>
      <c r="AS5" s="241"/>
      <c r="AT5" s="241"/>
      <c r="AU5" s="241"/>
      <c r="AV5" s="241"/>
      <c r="AW5" s="241"/>
      <c r="AX5" s="241"/>
      <c r="AY5" s="241"/>
      <c r="AZ5" s="241"/>
      <c r="BA5" s="241"/>
      <c r="BB5" s="241"/>
      <c r="BC5" s="241"/>
      <c r="BD5" s="241"/>
      <c r="BE5" s="241"/>
      <c r="BF5" s="241"/>
      <c r="BG5" s="241"/>
      <c r="BH5" s="241"/>
      <c r="BI5" s="241"/>
      <c r="BJ5" s="241"/>
      <c r="BK5" s="241"/>
      <c r="BL5" s="241"/>
      <c r="BM5" s="241"/>
      <c r="BN5" s="241"/>
      <c r="BO5" s="241"/>
      <c r="BP5" s="241"/>
      <c r="BQ5" s="241"/>
      <c r="BR5" s="241"/>
      <c r="BS5" s="241"/>
      <c r="BT5" s="241"/>
      <c r="BU5" s="241"/>
      <c r="BV5" s="241"/>
      <c r="BW5" s="241"/>
      <c r="BX5" s="241"/>
      <c r="BY5" s="241"/>
      <c r="BZ5" s="241"/>
      <c r="CA5" s="241"/>
      <c r="CB5" s="241"/>
      <c r="CC5" s="241"/>
      <c r="CD5" s="241">
        <v>0</v>
      </c>
      <c r="CE5" s="241"/>
      <c r="CF5" s="241">
        <v>-19.399999999999999</v>
      </c>
      <c r="CG5" s="241">
        <v>-0.41</v>
      </c>
      <c r="CH5" s="241">
        <v>4</v>
      </c>
    </row>
    <row r="6" spans="1:86" x14ac:dyDescent="0.25">
      <c r="A6" s="159" t="s">
        <v>617</v>
      </c>
      <c r="B6" s="159">
        <v>0</v>
      </c>
      <c r="C6" s="159">
        <v>700</v>
      </c>
      <c r="D6" s="159">
        <v>3000</v>
      </c>
      <c r="E6" s="159" t="s">
        <v>227</v>
      </c>
      <c r="F6" s="159" t="s">
        <v>227</v>
      </c>
      <c r="G6" s="264">
        <v>7980000</v>
      </c>
      <c r="H6" s="249">
        <v>9.4263736040079404</v>
      </c>
      <c r="I6" s="249">
        <v>17.855668155061338</v>
      </c>
      <c r="J6" s="249">
        <v>1.1567890643408911</v>
      </c>
      <c r="K6" s="249">
        <v>67.794477124908823</v>
      </c>
      <c r="L6" s="249">
        <v>0</v>
      </c>
      <c r="M6" s="249">
        <v>0</v>
      </c>
      <c r="N6" s="249">
        <v>1.53733691466061</v>
      </c>
      <c r="O6" s="249">
        <v>0</v>
      </c>
      <c r="P6" s="249">
        <v>0</v>
      </c>
      <c r="Q6" s="249">
        <v>0.60705930029728394</v>
      </c>
      <c r="R6" s="249">
        <v>1.0338651293026873</v>
      </c>
      <c r="S6" s="249">
        <v>0.32954945831000193</v>
      </c>
      <c r="T6" s="249">
        <v>0</v>
      </c>
      <c r="U6" s="249">
        <v>0</v>
      </c>
      <c r="V6" s="249">
        <v>5.5238880104858952E-2</v>
      </c>
      <c r="W6" s="249">
        <v>2.7532484252753265E-3</v>
      </c>
      <c r="X6" s="249">
        <v>0</v>
      </c>
      <c r="Y6" s="249">
        <v>0</v>
      </c>
      <c r="Z6" s="249">
        <v>0</v>
      </c>
      <c r="AA6" s="249">
        <v>0</v>
      </c>
      <c r="AB6" s="249">
        <v>0</v>
      </c>
      <c r="AC6" s="249">
        <v>0.20088912058028036</v>
      </c>
      <c r="AD6" s="249">
        <v>0</v>
      </c>
      <c r="AE6" s="249">
        <v>0</v>
      </c>
      <c r="AF6" s="249">
        <v>-136.54295506071665</v>
      </c>
      <c r="AG6" s="249">
        <v>-136.54295506071665</v>
      </c>
      <c r="AH6" s="249">
        <v>13</v>
      </c>
      <c r="AI6" s="249">
        <v>7</v>
      </c>
      <c r="AJ6" s="249">
        <v>1</v>
      </c>
      <c r="AK6" s="159" t="s">
        <v>228</v>
      </c>
      <c r="AL6" s="159" t="s">
        <v>230</v>
      </c>
      <c r="AM6" s="159"/>
      <c r="AN6" s="159">
        <v>0</v>
      </c>
      <c r="AO6" s="159"/>
      <c r="AP6" s="159"/>
      <c r="AQ6" s="159"/>
      <c r="AR6" s="159"/>
      <c r="AS6" s="159"/>
      <c r="AT6" s="159"/>
      <c r="AU6" s="159"/>
      <c r="AV6" s="159"/>
      <c r="AW6" s="159"/>
      <c r="AX6" s="159"/>
      <c r="AY6" s="159"/>
      <c r="AZ6" s="159"/>
      <c r="BA6" s="159"/>
      <c r="BB6" s="159"/>
      <c r="BC6" s="159"/>
      <c r="BD6" s="159"/>
      <c r="BE6" s="159"/>
      <c r="BF6" s="159"/>
      <c r="BG6" s="159"/>
      <c r="BH6" s="159"/>
      <c r="BI6" s="159"/>
      <c r="BJ6" s="159"/>
      <c r="BK6" s="159"/>
      <c r="BL6" s="159"/>
      <c r="BM6" s="159"/>
      <c r="BN6" s="159"/>
      <c r="BO6" s="159"/>
      <c r="BP6" s="159"/>
      <c r="BQ6" s="159"/>
      <c r="BR6" s="159"/>
      <c r="BS6" s="159"/>
      <c r="BT6" s="159"/>
      <c r="BU6" s="159"/>
      <c r="BV6" s="159"/>
      <c r="BW6" s="159"/>
      <c r="BX6" s="159"/>
      <c r="BY6" s="159"/>
      <c r="BZ6" s="159"/>
      <c r="CA6" s="159"/>
      <c r="CB6" s="159"/>
      <c r="CC6" s="159"/>
      <c r="CD6" s="159">
        <v>0</v>
      </c>
      <c r="CE6" s="159"/>
      <c r="CF6" s="159">
        <v>-11.5</v>
      </c>
      <c r="CG6" s="159">
        <v>-0.55000000000000004</v>
      </c>
      <c r="CH6" s="159">
        <v>5</v>
      </c>
    </row>
    <row r="7" spans="1:86" x14ac:dyDescent="0.25">
      <c r="A7" s="241" t="s">
        <v>618</v>
      </c>
      <c r="B7" s="241">
        <v>0</v>
      </c>
      <c r="C7" s="241">
        <v>700</v>
      </c>
      <c r="D7" s="241">
        <v>3000</v>
      </c>
      <c r="E7" s="241" t="s">
        <v>233</v>
      </c>
      <c r="F7" s="241" t="s">
        <v>227</v>
      </c>
      <c r="G7" s="265">
        <v>7980000</v>
      </c>
      <c r="H7" s="250">
        <v>9.4263736040079404</v>
      </c>
      <c r="I7" s="250">
        <v>17.855668155061338</v>
      </c>
      <c r="J7" s="250">
        <v>1.1567890643408911</v>
      </c>
      <c r="K7" s="250">
        <v>67.794477124908823</v>
      </c>
      <c r="L7" s="250">
        <v>0</v>
      </c>
      <c r="M7" s="250">
        <v>0</v>
      </c>
      <c r="N7" s="250">
        <v>1.53733691466061</v>
      </c>
      <c r="O7" s="250">
        <v>0</v>
      </c>
      <c r="P7" s="250">
        <v>0</v>
      </c>
      <c r="Q7" s="250">
        <v>0.60705930029728394</v>
      </c>
      <c r="R7" s="250">
        <v>1.0338651293026873</v>
      </c>
      <c r="S7" s="250">
        <v>0.32954945831000193</v>
      </c>
      <c r="T7" s="250">
        <v>0</v>
      </c>
      <c r="U7" s="250">
        <v>0</v>
      </c>
      <c r="V7" s="250">
        <v>5.5238880104858952E-2</v>
      </c>
      <c r="W7" s="250">
        <v>2.7532484252753265E-3</v>
      </c>
      <c r="X7" s="250">
        <v>0</v>
      </c>
      <c r="Y7" s="250">
        <v>0</v>
      </c>
      <c r="Z7" s="250">
        <v>0</v>
      </c>
      <c r="AA7" s="250">
        <v>0</v>
      </c>
      <c r="AB7" s="250">
        <v>0</v>
      </c>
      <c r="AC7" s="250">
        <v>0.20088912058028036</v>
      </c>
      <c r="AD7" s="250">
        <v>0</v>
      </c>
      <c r="AE7" s="250">
        <v>0</v>
      </c>
      <c r="AF7" s="250">
        <v>-136.54295506071665</v>
      </c>
      <c r="AG7" s="250">
        <v>-63.529671587210359</v>
      </c>
      <c r="AH7" s="250">
        <v>13</v>
      </c>
      <c r="AI7" s="250">
        <v>7</v>
      </c>
      <c r="AJ7" s="250">
        <v>1</v>
      </c>
      <c r="AK7" s="241" t="s">
        <v>228</v>
      </c>
      <c r="AL7" s="241" t="s">
        <v>230</v>
      </c>
      <c r="AM7" s="241"/>
      <c r="AN7" s="241">
        <v>0</v>
      </c>
      <c r="AO7" s="241"/>
      <c r="AP7" s="241"/>
      <c r="AQ7" s="241"/>
      <c r="AR7" s="241"/>
      <c r="AS7" s="241"/>
      <c r="AT7" s="241"/>
      <c r="AU7" s="241"/>
      <c r="AV7" s="241"/>
      <c r="AW7" s="241"/>
      <c r="AX7" s="241"/>
      <c r="AY7" s="241"/>
      <c r="AZ7" s="241"/>
      <c r="BA7" s="241"/>
      <c r="BB7" s="241"/>
      <c r="BC7" s="241"/>
      <c r="BD7" s="241"/>
      <c r="BE7" s="241"/>
      <c r="BF7" s="241"/>
      <c r="BG7" s="241"/>
      <c r="BH7" s="241"/>
      <c r="BI7" s="241"/>
      <c r="BJ7" s="241"/>
      <c r="BK7" s="241"/>
      <c r="BL7" s="241"/>
      <c r="BM7" s="241"/>
      <c r="BN7" s="241"/>
      <c r="BO7" s="241"/>
      <c r="BP7" s="241"/>
      <c r="BQ7" s="241"/>
      <c r="BR7" s="241"/>
      <c r="BS7" s="241"/>
      <c r="BT7" s="241"/>
      <c r="BU7" s="241"/>
      <c r="BV7" s="241"/>
      <c r="BW7" s="241"/>
      <c r="BX7" s="241"/>
      <c r="BY7" s="241"/>
      <c r="BZ7" s="241"/>
      <c r="CA7" s="241"/>
      <c r="CB7" s="241"/>
      <c r="CC7" s="241"/>
      <c r="CD7" s="241">
        <v>0</v>
      </c>
      <c r="CE7" s="241"/>
      <c r="CF7" s="241">
        <v>-22.5</v>
      </c>
      <c r="CG7" s="241">
        <v>-0.5</v>
      </c>
      <c r="CH7" s="241">
        <v>6</v>
      </c>
    </row>
    <row r="8" spans="1:86" x14ac:dyDescent="0.25">
      <c r="A8" s="159" t="s">
        <v>619</v>
      </c>
      <c r="B8" s="159">
        <v>0</v>
      </c>
      <c r="C8" s="159">
        <v>700</v>
      </c>
      <c r="D8" s="159">
        <v>1000</v>
      </c>
      <c r="E8" s="159" t="s">
        <v>48</v>
      </c>
      <c r="F8" s="159" t="s">
        <v>239</v>
      </c>
      <c r="G8" s="264">
        <v>8860000</v>
      </c>
      <c r="H8" s="249">
        <v>72.822611879318529</v>
      </c>
      <c r="I8" s="249">
        <v>8.1033893928441021</v>
      </c>
      <c r="J8" s="249">
        <v>10.036949882162649</v>
      </c>
      <c r="K8" s="249">
        <v>4.3113057774947521</v>
      </c>
      <c r="L8" s="249">
        <v>0.16375573155133422</v>
      </c>
      <c r="M8" s="249">
        <v>0.20429868290605968</v>
      </c>
      <c r="N8" s="249">
        <v>0.87654323870797934</v>
      </c>
      <c r="O8" s="249">
        <v>0.37929663365848709</v>
      </c>
      <c r="P8" s="249">
        <v>0.22635030802775613</v>
      </c>
      <c r="Q8" s="249">
        <v>2.1429906343278917</v>
      </c>
      <c r="R8" s="249">
        <v>0.40097656565042783</v>
      </c>
      <c r="S8" s="249">
        <v>0.33153127335003413</v>
      </c>
      <c r="T8" s="249">
        <v>0</v>
      </c>
      <c r="U8" s="249">
        <v>0</v>
      </c>
      <c r="V8" s="249">
        <v>0</v>
      </c>
      <c r="W8" s="249">
        <v>0</v>
      </c>
      <c r="X8" s="249">
        <v>0</v>
      </c>
      <c r="Y8" s="249">
        <v>0</v>
      </c>
      <c r="Z8" s="249">
        <v>0</v>
      </c>
      <c r="AA8" s="249">
        <v>0</v>
      </c>
      <c r="AB8" s="249">
        <v>0</v>
      </c>
      <c r="AC8" s="249">
        <v>0</v>
      </c>
      <c r="AD8" s="249">
        <v>0</v>
      </c>
      <c r="AE8" s="249">
        <v>0</v>
      </c>
      <c r="AF8" s="249">
        <v>-125.28457574331848</v>
      </c>
      <c r="AG8" s="249">
        <v>-121.74823772574202</v>
      </c>
      <c r="AH8" s="249">
        <v>13</v>
      </c>
      <c r="AI8" s="249">
        <v>7</v>
      </c>
      <c r="AJ8" s="249">
        <v>1</v>
      </c>
      <c r="AK8" s="159" t="s">
        <v>228</v>
      </c>
      <c r="AL8" s="159" t="s">
        <v>230</v>
      </c>
      <c r="AM8" s="159"/>
      <c r="AN8" s="159">
        <v>0</v>
      </c>
      <c r="AO8" s="159"/>
      <c r="AP8" s="159"/>
      <c r="AQ8" s="159"/>
      <c r="AR8" s="159"/>
      <c r="AS8" s="159"/>
      <c r="AT8" s="159"/>
      <c r="AU8" s="159"/>
      <c r="AV8" s="159"/>
      <c r="AW8" s="159"/>
      <c r="AX8" s="159"/>
      <c r="AY8" s="159"/>
      <c r="AZ8" s="159"/>
      <c r="BA8" s="159"/>
      <c r="BB8" s="159"/>
      <c r="BC8" s="159"/>
      <c r="BD8" s="159"/>
      <c r="BE8" s="159"/>
      <c r="BF8" s="159"/>
      <c r="BG8" s="159"/>
      <c r="BH8" s="159"/>
      <c r="BI8" s="159"/>
      <c r="BJ8" s="159"/>
      <c r="BK8" s="159"/>
      <c r="BL8" s="159"/>
      <c r="BM8" s="159"/>
      <c r="BN8" s="159"/>
      <c r="BO8" s="159"/>
      <c r="BP8" s="159"/>
      <c r="BQ8" s="159"/>
      <c r="BR8" s="159"/>
      <c r="BS8" s="159"/>
      <c r="BT8" s="159"/>
      <c r="BU8" s="159"/>
      <c r="BV8" s="159"/>
      <c r="BW8" s="159"/>
      <c r="BX8" s="159"/>
      <c r="BY8" s="159"/>
      <c r="BZ8" s="159"/>
      <c r="CA8" s="159"/>
      <c r="CB8" s="159"/>
      <c r="CC8" s="159"/>
      <c r="CD8" s="159">
        <v>0</v>
      </c>
      <c r="CE8" s="159"/>
      <c r="CF8" s="159">
        <v>-3.5</v>
      </c>
      <c r="CG8" s="159">
        <v>-0.124</v>
      </c>
      <c r="CH8" s="159">
        <v>7</v>
      </c>
    </row>
    <row r="9" spans="1:86" x14ac:dyDescent="0.25">
      <c r="A9" s="241" t="s">
        <v>620</v>
      </c>
      <c r="B9" s="241">
        <v>0</v>
      </c>
      <c r="C9" s="241">
        <v>700</v>
      </c>
      <c r="D9" s="241">
        <v>1000</v>
      </c>
      <c r="E9" s="241" t="s">
        <v>233</v>
      </c>
      <c r="F9" s="241" t="s">
        <v>239</v>
      </c>
      <c r="G9" s="265">
        <v>8860000</v>
      </c>
      <c r="H9" s="250">
        <v>72.822611879318529</v>
      </c>
      <c r="I9" s="250">
        <v>8.1033893928441021</v>
      </c>
      <c r="J9" s="250">
        <v>10.036949882162649</v>
      </c>
      <c r="K9" s="250">
        <v>4.3113057774947521</v>
      </c>
      <c r="L9" s="250">
        <v>0.16375573155133422</v>
      </c>
      <c r="M9" s="250">
        <v>0.20429868290605968</v>
      </c>
      <c r="N9" s="250">
        <v>0.87654323870797934</v>
      </c>
      <c r="O9" s="250">
        <v>0.37929663365848709</v>
      </c>
      <c r="P9" s="250">
        <v>0.22635030802775613</v>
      </c>
      <c r="Q9" s="250">
        <v>2.1429906343278917</v>
      </c>
      <c r="R9" s="250">
        <v>0.40097656565042783</v>
      </c>
      <c r="S9" s="250">
        <v>0.33153127335003413</v>
      </c>
      <c r="T9" s="250">
        <v>0</v>
      </c>
      <c r="U9" s="250">
        <v>0</v>
      </c>
      <c r="V9" s="250">
        <v>0</v>
      </c>
      <c r="W9" s="250">
        <v>0</v>
      </c>
      <c r="X9" s="250">
        <v>0</v>
      </c>
      <c r="Y9" s="250">
        <v>0</v>
      </c>
      <c r="Z9" s="250">
        <v>0</v>
      </c>
      <c r="AA9" s="250">
        <v>0</v>
      </c>
      <c r="AB9" s="250">
        <v>0</v>
      </c>
      <c r="AC9" s="250">
        <v>0</v>
      </c>
      <c r="AD9" s="250">
        <v>0</v>
      </c>
      <c r="AE9" s="250">
        <v>0</v>
      </c>
      <c r="AF9" s="250">
        <v>-125.28457574331848</v>
      </c>
      <c r="AG9" s="250">
        <v>-63.529671587210359</v>
      </c>
      <c r="AH9" s="250">
        <v>13</v>
      </c>
      <c r="AI9" s="250">
        <v>7</v>
      </c>
      <c r="AJ9" s="250">
        <v>1</v>
      </c>
      <c r="AK9" s="241" t="s">
        <v>228</v>
      </c>
      <c r="AL9" s="241" t="s">
        <v>230</v>
      </c>
      <c r="AM9" s="241"/>
      <c r="AN9" s="241">
        <v>0</v>
      </c>
      <c r="AO9" s="241"/>
      <c r="AP9" s="241"/>
      <c r="AQ9" s="241"/>
      <c r="AR9" s="241"/>
      <c r="AS9" s="241"/>
      <c r="AT9" s="241"/>
      <c r="AU9" s="241"/>
      <c r="AV9" s="241"/>
      <c r="AW9" s="241"/>
      <c r="AX9" s="241"/>
      <c r="AY9" s="241"/>
      <c r="AZ9" s="241"/>
      <c r="BA9" s="241"/>
      <c r="BB9" s="241"/>
      <c r="BC9" s="241"/>
      <c r="BD9" s="241"/>
      <c r="BE9" s="241"/>
      <c r="BF9" s="241"/>
      <c r="BG9" s="241"/>
      <c r="BH9" s="241"/>
      <c r="BI9" s="241"/>
      <c r="BJ9" s="241"/>
      <c r="BK9" s="241"/>
      <c r="BL9" s="241"/>
      <c r="BM9" s="241"/>
      <c r="BN9" s="241"/>
      <c r="BO9" s="241"/>
      <c r="BP9" s="241"/>
      <c r="BQ9" s="241"/>
      <c r="BR9" s="241"/>
      <c r="BS9" s="241"/>
      <c r="BT9" s="241"/>
      <c r="BU9" s="241"/>
      <c r="BV9" s="241"/>
      <c r="BW9" s="241"/>
      <c r="BX9" s="241"/>
      <c r="BY9" s="241"/>
      <c r="BZ9" s="241"/>
      <c r="CA9" s="241"/>
      <c r="CB9" s="241"/>
      <c r="CC9" s="241"/>
      <c r="CD9" s="241">
        <v>0</v>
      </c>
      <c r="CE9" s="241"/>
      <c r="CF9" s="241">
        <v>-9</v>
      </c>
      <c r="CG9" s="241">
        <v>0.16500000000000001</v>
      </c>
      <c r="CH9" s="241">
        <v>8</v>
      </c>
    </row>
    <row r="10" spans="1:86" x14ac:dyDescent="0.25">
      <c r="A10" s="159" t="s">
        <v>621</v>
      </c>
      <c r="B10" s="159">
        <v>0</v>
      </c>
      <c r="C10" s="159">
        <v>700</v>
      </c>
      <c r="D10" s="159">
        <v>50</v>
      </c>
      <c r="E10" s="159" t="s">
        <v>48</v>
      </c>
      <c r="F10" s="159" t="s">
        <v>241</v>
      </c>
      <c r="G10" s="264">
        <v>8570000</v>
      </c>
      <c r="H10" s="249">
        <v>77.993175597135249</v>
      </c>
      <c r="I10" s="249">
        <v>22.006824402864751</v>
      </c>
      <c r="J10" s="249">
        <v>0</v>
      </c>
      <c r="K10" s="249">
        <v>0</v>
      </c>
      <c r="L10" s="249">
        <v>0</v>
      </c>
      <c r="M10" s="249">
        <v>0</v>
      </c>
      <c r="N10" s="249">
        <v>0</v>
      </c>
      <c r="O10" s="249">
        <v>0</v>
      </c>
      <c r="P10" s="249">
        <v>0</v>
      </c>
      <c r="Q10" s="249">
        <v>0</v>
      </c>
      <c r="R10" s="249">
        <v>0</v>
      </c>
      <c r="S10" s="249">
        <v>0</v>
      </c>
      <c r="T10" s="249">
        <v>0</v>
      </c>
      <c r="U10" s="249">
        <v>0</v>
      </c>
      <c r="V10" s="249">
        <v>0</v>
      </c>
      <c r="W10" s="249">
        <v>0</v>
      </c>
      <c r="X10" s="249">
        <v>0</v>
      </c>
      <c r="Y10" s="249">
        <v>0</v>
      </c>
      <c r="Z10" s="249">
        <v>0</v>
      </c>
      <c r="AA10" s="249">
        <v>0</v>
      </c>
      <c r="AB10" s="249">
        <v>0</v>
      </c>
      <c r="AC10" s="249">
        <v>0</v>
      </c>
      <c r="AD10" s="249">
        <v>0</v>
      </c>
      <c r="AE10" s="249">
        <v>0</v>
      </c>
      <c r="AF10" s="249">
        <v>-127.90838393314866</v>
      </c>
      <c r="AG10" s="249">
        <v>-121.74823772574202</v>
      </c>
      <c r="AH10" s="249">
        <v>12.7</v>
      </c>
      <c r="AI10" s="249">
        <v>6.3</v>
      </c>
      <c r="AJ10" s="249">
        <v>2.2999999999999998</v>
      </c>
      <c r="AK10" s="159" t="s">
        <v>228</v>
      </c>
      <c r="AL10" s="159" t="s">
        <v>230</v>
      </c>
      <c r="AM10" s="159"/>
      <c r="AN10" s="159">
        <v>0</v>
      </c>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59"/>
      <c r="BK10" s="159"/>
      <c r="BL10" s="159"/>
      <c r="BM10" s="159"/>
      <c r="BN10" s="159"/>
      <c r="BO10" s="159"/>
      <c r="BP10" s="159"/>
      <c r="BQ10" s="159"/>
      <c r="BR10" s="159"/>
      <c r="BS10" s="159"/>
      <c r="BT10" s="159"/>
      <c r="BU10" s="159"/>
      <c r="BV10" s="159"/>
      <c r="BW10" s="159"/>
      <c r="BX10" s="159"/>
      <c r="BY10" s="159"/>
      <c r="BZ10" s="159"/>
      <c r="CA10" s="159"/>
      <c r="CB10" s="159"/>
      <c r="CC10" s="159"/>
      <c r="CD10" s="159">
        <v>0</v>
      </c>
      <c r="CE10" s="159"/>
      <c r="CF10" s="159">
        <v>-18.2</v>
      </c>
      <c r="CG10" s="159">
        <v>-0.67</v>
      </c>
      <c r="CH10" s="159">
        <v>9</v>
      </c>
    </row>
    <row r="11" spans="1:86" x14ac:dyDescent="0.25">
      <c r="A11" s="241" t="s">
        <v>622</v>
      </c>
      <c r="B11" s="241">
        <v>0</v>
      </c>
      <c r="C11" s="241">
        <v>700</v>
      </c>
      <c r="D11" s="241">
        <v>500</v>
      </c>
      <c r="E11" s="241" t="s">
        <v>48</v>
      </c>
      <c r="F11" s="241" t="s">
        <v>241</v>
      </c>
      <c r="G11" s="265">
        <v>8570000</v>
      </c>
      <c r="H11" s="250">
        <v>77.993175597135249</v>
      </c>
      <c r="I11" s="250">
        <v>22.006824402864751</v>
      </c>
      <c r="J11" s="250">
        <v>0</v>
      </c>
      <c r="K11" s="250">
        <v>0</v>
      </c>
      <c r="L11" s="250">
        <v>0</v>
      </c>
      <c r="M11" s="250">
        <v>0</v>
      </c>
      <c r="N11" s="250">
        <v>0</v>
      </c>
      <c r="O11" s="250">
        <v>0</v>
      </c>
      <c r="P11" s="250">
        <v>0</v>
      </c>
      <c r="Q11" s="250">
        <v>0</v>
      </c>
      <c r="R11" s="250">
        <v>0</v>
      </c>
      <c r="S11" s="250">
        <v>0</v>
      </c>
      <c r="T11" s="250">
        <v>0</v>
      </c>
      <c r="U11" s="250">
        <v>0</v>
      </c>
      <c r="V11" s="250">
        <v>0</v>
      </c>
      <c r="W11" s="250">
        <v>0</v>
      </c>
      <c r="X11" s="250">
        <v>0</v>
      </c>
      <c r="Y11" s="250">
        <v>0</v>
      </c>
      <c r="Z11" s="250">
        <v>0</v>
      </c>
      <c r="AA11" s="250">
        <v>0</v>
      </c>
      <c r="AB11" s="250">
        <v>0</v>
      </c>
      <c r="AC11" s="250">
        <v>0</v>
      </c>
      <c r="AD11" s="250">
        <v>0</v>
      </c>
      <c r="AE11" s="250">
        <v>0</v>
      </c>
      <c r="AF11" s="250">
        <v>-127.90838393314866</v>
      </c>
      <c r="AG11" s="250">
        <v>-121.74823772574202</v>
      </c>
      <c r="AH11" s="250">
        <v>12.7</v>
      </c>
      <c r="AI11" s="250">
        <v>6.3</v>
      </c>
      <c r="AJ11" s="250">
        <v>2.2999999999999998</v>
      </c>
      <c r="AK11" s="241" t="s">
        <v>228</v>
      </c>
      <c r="AL11" s="241" t="s">
        <v>230</v>
      </c>
      <c r="AM11" s="241"/>
      <c r="AN11" s="241">
        <v>0</v>
      </c>
      <c r="AO11" s="241"/>
      <c r="AP11" s="241"/>
      <c r="AQ11" s="241"/>
      <c r="AR11" s="241"/>
      <c r="AS11" s="241"/>
      <c r="AT11" s="241"/>
      <c r="AU11" s="241"/>
      <c r="AV11" s="241"/>
      <c r="AW11" s="241"/>
      <c r="AX11" s="241"/>
      <c r="AY11" s="241"/>
      <c r="AZ11" s="241"/>
      <c r="BA11" s="241"/>
      <c r="BB11" s="241"/>
      <c r="BC11" s="241"/>
      <c r="BD11" s="241"/>
      <c r="BE11" s="241"/>
      <c r="BF11" s="241"/>
      <c r="BG11" s="241"/>
      <c r="BH11" s="241"/>
      <c r="BI11" s="241"/>
      <c r="BJ11" s="241"/>
      <c r="BK11" s="241"/>
      <c r="BL11" s="241"/>
      <c r="BM11" s="241"/>
      <c r="BN11" s="241"/>
      <c r="BO11" s="241"/>
      <c r="BP11" s="241"/>
      <c r="BQ11" s="241"/>
      <c r="BR11" s="241"/>
      <c r="BS11" s="241"/>
      <c r="BT11" s="241"/>
      <c r="BU11" s="241"/>
      <c r="BV11" s="241"/>
      <c r="BW11" s="241"/>
      <c r="BX11" s="241"/>
      <c r="BY11" s="241"/>
      <c r="BZ11" s="241"/>
      <c r="CA11" s="241"/>
      <c r="CB11" s="241"/>
      <c r="CC11" s="241"/>
      <c r="CD11" s="241">
        <v>0</v>
      </c>
      <c r="CE11" s="241"/>
      <c r="CF11" s="241">
        <v>-84.5</v>
      </c>
      <c r="CG11" s="241">
        <v>-3.05</v>
      </c>
      <c r="CH11" s="241">
        <v>10</v>
      </c>
    </row>
    <row r="12" spans="1:86" x14ac:dyDescent="0.25">
      <c r="A12" s="159" t="s">
        <v>623</v>
      </c>
      <c r="B12" s="159">
        <v>0</v>
      </c>
      <c r="C12" s="159">
        <v>700</v>
      </c>
      <c r="D12" s="159">
        <v>1000</v>
      </c>
      <c r="E12" s="159" t="s">
        <v>48</v>
      </c>
      <c r="F12" s="159" t="s">
        <v>241</v>
      </c>
      <c r="G12" s="264">
        <v>8570000</v>
      </c>
      <c r="H12" s="249">
        <v>77.993175597135249</v>
      </c>
      <c r="I12" s="249">
        <v>22.006824402864751</v>
      </c>
      <c r="J12" s="249">
        <v>0</v>
      </c>
      <c r="K12" s="249">
        <v>0</v>
      </c>
      <c r="L12" s="249">
        <v>0</v>
      </c>
      <c r="M12" s="249">
        <v>0</v>
      </c>
      <c r="N12" s="249">
        <v>0</v>
      </c>
      <c r="O12" s="249">
        <v>0</v>
      </c>
      <c r="P12" s="249">
        <v>0</v>
      </c>
      <c r="Q12" s="249">
        <v>0</v>
      </c>
      <c r="R12" s="249">
        <v>0</v>
      </c>
      <c r="S12" s="249">
        <v>0</v>
      </c>
      <c r="T12" s="249">
        <v>0</v>
      </c>
      <c r="U12" s="249">
        <v>0</v>
      </c>
      <c r="V12" s="249">
        <v>0</v>
      </c>
      <c r="W12" s="249">
        <v>0</v>
      </c>
      <c r="X12" s="249">
        <v>0</v>
      </c>
      <c r="Y12" s="249">
        <v>0</v>
      </c>
      <c r="Z12" s="249">
        <v>0</v>
      </c>
      <c r="AA12" s="249">
        <v>0</v>
      </c>
      <c r="AB12" s="249">
        <v>0</v>
      </c>
      <c r="AC12" s="249">
        <v>0</v>
      </c>
      <c r="AD12" s="249">
        <v>0</v>
      </c>
      <c r="AE12" s="249">
        <v>0</v>
      </c>
      <c r="AF12" s="249">
        <v>-127.90838393314866</v>
      </c>
      <c r="AG12" s="249">
        <v>-121.74823772574202</v>
      </c>
      <c r="AH12" s="249">
        <v>12.7</v>
      </c>
      <c r="AI12" s="249">
        <v>6.3</v>
      </c>
      <c r="AJ12" s="249">
        <v>2.2999999999999998</v>
      </c>
      <c r="AK12" s="159" t="s">
        <v>228</v>
      </c>
      <c r="AL12" s="159" t="s">
        <v>230</v>
      </c>
      <c r="AM12" s="159"/>
      <c r="AN12" s="159">
        <v>0</v>
      </c>
      <c r="AO12" s="159"/>
      <c r="AP12" s="159"/>
      <c r="AQ12" s="159"/>
      <c r="AR12" s="159"/>
      <c r="AS12" s="159"/>
      <c r="AT12" s="159"/>
      <c r="AU12" s="159"/>
      <c r="AV12" s="159"/>
      <c r="AW12" s="159"/>
      <c r="AX12" s="159"/>
      <c r="AY12" s="159"/>
      <c r="AZ12" s="159"/>
      <c r="BA12" s="159"/>
      <c r="BB12" s="159"/>
      <c r="BC12" s="159"/>
      <c r="BD12" s="159"/>
      <c r="BE12" s="159"/>
      <c r="BF12" s="159"/>
      <c r="BG12" s="159"/>
      <c r="BH12" s="159"/>
      <c r="BI12" s="159"/>
      <c r="BJ12" s="159"/>
      <c r="BK12" s="159"/>
      <c r="BL12" s="159"/>
      <c r="BM12" s="159"/>
      <c r="BN12" s="159"/>
      <c r="BO12" s="159"/>
      <c r="BP12" s="159"/>
      <c r="BQ12" s="159"/>
      <c r="BR12" s="159"/>
      <c r="BS12" s="159"/>
      <c r="BT12" s="159"/>
      <c r="BU12" s="159"/>
      <c r="BV12" s="159"/>
      <c r="BW12" s="159"/>
      <c r="BX12" s="159"/>
      <c r="BY12" s="159"/>
      <c r="BZ12" s="159"/>
      <c r="CA12" s="159"/>
      <c r="CB12" s="159"/>
      <c r="CC12" s="159"/>
      <c r="CD12" s="159">
        <v>0</v>
      </c>
      <c r="CE12" s="159"/>
      <c r="CF12" s="159">
        <v>-140.80000000000001</v>
      </c>
      <c r="CG12" s="159">
        <v>-7.12</v>
      </c>
      <c r="CH12" s="159">
        <v>11</v>
      </c>
    </row>
    <row r="13" spans="1:86" x14ac:dyDescent="0.25">
      <c r="A13" s="241" t="s">
        <v>624</v>
      </c>
      <c r="B13" s="241">
        <v>0</v>
      </c>
      <c r="C13" s="241">
        <v>700</v>
      </c>
      <c r="D13" s="241">
        <v>50</v>
      </c>
      <c r="E13" s="241" t="s">
        <v>48</v>
      </c>
      <c r="F13" s="241" t="s">
        <v>243</v>
      </c>
      <c r="G13" s="265">
        <v>8700000</v>
      </c>
      <c r="H13" s="250">
        <v>94.392800160505971</v>
      </c>
      <c r="I13" s="250">
        <v>5.6071998394940241</v>
      </c>
      <c r="J13" s="250">
        <v>0</v>
      </c>
      <c r="K13" s="250">
        <v>0</v>
      </c>
      <c r="L13" s="250">
        <v>0</v>
      </c>
      <c r="M13" s="250">
        <v>0</v>
      </c>
      <c r="N13" s="250">
        <v>0</v>
      </c>
      <c r="O13" s="250">
        <v>0</v>
      </c>
      <c r="P13" s="250">
        <v>0</v>
      </c>
      <c r="Q13" s="250">
        <v>0</v>
      </c>
      <c r="R13" s="250">
        <v>0</v>
      </c>
      <c r="S13" s="250">
        <v>0</v>
      </c>
      <c r="T13" s="250">
        <v>0</v>
      </c>
      <c r="U13" s="250">
        <v>0</v>
      </c>
      <c r="V13" s="250">
        <v>0</v>
      </c>
      <c r="W13" s="250">
        <v>0</v>
      </c>
      <c r="X13" s="250">
        <v>0</v>
      </c>
      <c r="Y13" s="250">
        <v>0</v>
      </c>
      <c r="Z13" s="250">
        <v>0</v>
      </c>
      <c r="AA13" s="250">
        <v>0</v>
      </c>
      <c r="AB13" s="250">
        <v>0</v>
      </c>
      <c r="AC13" s="250">
        <v>0</v>
      </c>
      <c r="AD13" s="250">
        <v>0</v>
      </c>
      <c r="AE13" s="250">
        <v>0</v>
      </c>
      <c r="AF13" s="250">
        <v>-123.3178040653968</v>
      </c>
      <c r="AG13" s="250">
        <v>-121.74823772574202</v>
      </c>
      <c r="AH13" s="250">
        <v>12.7</v>
      </c>
      <c r="AI13" s="250">
        <v>6.3</v>
      </c>
      <c r="AJ13" s="250">
        <v>0.57999999999999996</v>
      </c>
      <c r="AK13" s="241" t="s">
        <v>228</v>
      </c>
      <c r="AL13" s="241" t="s">
        <v>230</v>
      </c>
      <c r="AM13" s="241"/>
      <c r="AN13" s="241">
        <v>0</v>
      </c>
      <c r="AO13" s="241"/>
      <c r="AP13" s="241"/>
      <c r="AQ13" s="241"/>
      <c r="AR13" s="241"/>
      <c r="AS13" s="241"/>
      <c r="AT13" s="241"/>
      <c r="AU13" s="241"/>
      <c r="AV13" s="241"/>
      <c r="AW13" s="241"/>
      <c r="AX13" s="241"/>
      <c r="AY13" s="241"/>
      <c r="AZ13" s="241"/>
      <c r="BA13" s="241"/>
      <c r="BB13" s="241"/>
      <c r="BC13" s="241"/>
      <c r="BD13" s="241"/>
      <c r="BE13" s="241"/>
      <c r="BF13" s="241"/>
      <c r="BG13" s="241"/>
      <c r="BH13" s="241"/>
      <c r="BI13" s="241"/>
      <c r="BJ13" s="241"/>
      <c r="BK13" s="241"/>
      <c r="BL13" s="241"/>
      <c r="BM13" s="241"/>
      <c r="BN13" s="241"/>
      <c r="BO13" s="241"/>
      <c r="BP13" s="241"/>
      <c r="BQ13" s="241"/>
      <c r="BR13" s="241"/>
      <c r="BS13" s="241"/>
      <c r="BT13" s="241"/>
      <c r="BU13" s="241"/>
      <c r="BV13" s="241"/>
      <c r="BW13" s="241"/>
      <c r="BX13" s="241"/>
      <c r="BY13" s="241"/>
      <c r="BZ13" s="241"/>
      <c r="CA13" s="241"/>
      <c r="CB13" s="241"/>
      <c r="CC13" s="241"/>
      <c r="CD13" s="241">
        <v>0</v>
      </c>
      <c r="CE13" s="241"/>
      <c r="CF13" s="241">
        <v>-5.6</v>
      </c>
      <c r="CG13" s="241">
        <v>-0.08</v>
      </c>
      <c r="CH13" s="241">
        <v>12</v>
      </c>
    </row>
    <row r="14" spans="1:86" x14ac:dyDescent="0.25">
      <c r="A14" s="159" t="s">
        <v>625</v>
      </c>
      <c r="B14" s="159">
        <v>0</v>
      </c>
      <c r="C14" s="159">
        <v>700</v>
      </c>
      <c r="D14" s="159">
        <v>500</v>
      </c>
      <c r="E14" s="159" t="s">
        <v>48</v>
      </c>
      <c r="F14" s="159" t="s">
        <v>243</v>
      </c>
      <c r="G14" s="264">
        <v>8700000</v>
      </c>
      <c r="H14" s="249">
        <v>94.392800160505971</v>
      </c>
      <c r="I14" s="249">
        <v>5.6071998394940241</v>
      </c>
      <c r="J14" s="249">
        <v>0</v>
      </c>
      <c r="K14" s="249">
        <v>0</v>
      </c>
      <c r="L14" s="249">
        <v>0</v>
      </c>
      <c r="M14" s="249">
        <v>0</v>
      </c>
      <c r="N14" s="249">
        <v>0</v>
      </c>
      <c r="O14" s="249">
        <v>0</v>
      </c>
      <c r="P14" s="249">
        <v>0</v>
      </c>
      <c r="Q14" s="249">
        <v>0</v>
      </c>
      <c r="R14" s="249">
        <v>0</v>
      </c>
      <c r="S14" s="249">
        <v>0</v>
      </c>
      <c r="T14" s="249">
        <v>0</v>
      </c>
      <c r="U14" s="249">
        <v>0</v>
      </c>
      <c r="V14" s="249">
        <v>0</v>
      </c>
      <c r="W14" s="249">
        <v>0</v>
      </c>
      <c r="X14" s="249">
        <v>0</v>
      </c>
      <c r="Y14" s="249">
        <v>0</v>
      </c>
      <c r="Z14" s="249">
        <v>0</v>
      </c>
      <c r="AA14" s="249">
        <v>0</v>
      </c>
      <c r="AB14" s="249">
        <v>0</v>
      </c>
      <c r="AC14" s="249">
        <v>0</v>
      </c>
      <c r="AD14" s="249">
        <v>0</v>
      </c>
      <c r="AE14" s="249">
        <v>0</v>
      </c>
      <c r="AF14" s="249">
        <v>-123.3178040653968</v>
      </c>
      <c r="AG14" s="249">
        <v>-121.74823772574202</v>
      </c>
      <c r="AH14" s="249">
        <v>12.7</v>
      </c>
      <c r="AI14" s="249">
        <v>6.3</v>
      </c>
      <c r="AJ14" s="249">
        <v>0.57999999999999996</v>
      </c>
      <c r="AK14" s="159" t="s">
        <v>228</v>
      </c>
      <c r="AL14" s="159" t="s">
        <v>230</v>
      </c>
      <c r="AM14" s="159"/>
      <c r="AN14" s="159">
        <v>0</v>
      </c>
      <c r="AO14" s="159"/>
      <c r="AP14" s="159"/>
      <c r="AQ14" s="159"/>
      <c r="AR14" s="159"/>
      <c r="AS14" s="159"/>
      <c r="AT14" s="159"/>
      <c r="AU14" s="159"/>
      <c r="AV14" s="159"/>
      <c r="AW14" s="159"/>
      <c r="AX14" s="159"/>
      <c r="AY14" s="159"/>
      <c r="AZ14" s="159"/>
      <c r="BA14" s="159"/>
      <c r="BB14" s="159"/>
      <c r="BC14" s="159"/>
      <c r="BD14" s="159"/>
      <c r="BE14" s="159"/>
      <c r="BF14" s="159"/>
      <c r="BG14" s="159"/>
      <c r="BH14" s="159"/>
      <c r="BI14" s="159"/>
      <c r="BJ14" s="159"/>
      <c r="BK14" s="159"/>
      <c r="BL14" s="159"/>
      <c r="BM14" s="159"/>
      <c r="BN14" s="159"/>
      <c r="BO14" s="159"/>
      <c r="BP14" s="159"/>
      <c r="BQ14" s="159"/>
      <c r="BR14" s="159"/>
      <c r="BS14" s="159"/>
      <c r="BT14" s="159"/>
      <c r="BU14" s="159"/>
      <c r="BV14" s="159"/>
      <c r="BW14" s="159"/>
      <c r="BX14" s="159"/>
      <c r="BY14" s="159"/>
      <c r="BZ14" s="159"/>
      <c r="CA14" s="159"/>
      <c r="CB14" s="159"/>
      <c r="CC14" s="159"/>
      <c r="CD14" s="159">
        <v>0</v>
      </c>
      <c r="CE14" s="159"/>
      <c r="CF14" s="159">
        <v>-18</v>
      </c>
      <c r="CG14" s="159">
        <v>-0.27</v>
      </c>
      <c r="CH14" s="159">
        <v>13</v>
      </c>
    </row>
    <row r="15" spans="1:86" ht="16.5" thickBot="1" x14ac:dyDescent="0.3">
      <c r="A15" s="242" t="s">
        <v>626</v>
      </c>
      <c r="B15" s="242">
        <v>0</v>
      </c>
      <c r="C15" s="242">
        <v>700</v>
      </c>
      <c r="D15" s="242">
        <v>1000</v>
      </c>
      <c r="E15" s="242" t="s">
        <v>48</v>
      </c>
      <c r="F15" s="242" t="s">
        <v>243</v>
      </c>
      <c r="G15" s="266">
        <v>8700000</v>
      </c>
      <c r="H15" s="251">
        <v>94.392800160505971</v>
      </c>
      <c r="I15" s="251">
        <v>5.6071998394940241</v>
      </c>
      <c r="J15" s="251">
        <v>0</v>
      </c>
      <c r="K15" s="251">
        <v>0</v>
      </c>
      <c r="L15" s="251">
        <v>0</v>
      </c>
      <c r="M15" s="251">
        <v>0</v>
      </c>
      <c r="N15" s="251">
        <v>0</v>
      </c>
      <c r="O15" s="251">
        <v>0</v>
      </c>
      <c r="P15" s="251">
        <v>0</v>
      </c>
      <c r="Q15" s="251">
        <v>0</v>
      </c>
      <c r="R15" s="251">
        <v>0</v>
      </c>
      <c r="S15" s="251">
        <v>0</v>
      </c>
      <c r="T15" s="251">
        <v>0</v>
      </c>
      <c r="U15" s="251">
        <v>0</v>
      </c>
      <c r="V15" s="251">
        <v>0</v>
      </c>
      <c r="W15" s="251">
        <v>0</v>
      </c>
      <c r="X15" s="251">
        <v>0</v>
      </c>
      <c r="Y15" s="251">
        <v>0</v>
      </c>
      <c r="Z15" s="251">
        <v>0</v>
      </c>
      <c r="AA15" s="251">
        <v>0</v>
      </c>
      <c r="AB15" s="251">
        <v>0</v>
      </c>
      <c r="AC15" s="251">
        <v>0</v>
      </c>
      <c r="AD15" s="251">
        <v>0</v>
      </c>
      <c r="AE15" s="251">
        <v>0</v>
      </c>
      <c r="AF15" s="251">
        <v>-123.3178040653968</v>
      </c>
      <c r="AG15" s="251">
        <v>-121.74823772574202</v>
      </c>
      <c r="AH15" s="251">
        <v>12.7</v>
      </c>
      <c r="AI15" s="251">
        <v>6.3</v>
      </c>
      <c r="AJ15" s="251">
        <v>0.57999999999999996</v>
      </c>
      <c r="AK15" s="242" t="s">
        <v>228</v>
      </c>
      <c r="AL15" s="242" t="s">
        <v>230</v>
      </c>
      <c r="AM15" s="242"/>
      <c r="AN15" s="242">
        <v>0</v>
      </c>
      <c r="AO15" s="242"/>
      <c r="AP15" s="242"/>
      <c r="AQ15" s="242"/>
      <c r="AR15" s="242"/>
      <c r="AS15" s="242"/>
      <c r="AT15" s="242"/>
      <c r="AU15" s="242"/>
      <c r="AV15" s="242"/>
      <c r="AW15" s="242"/>
      <c r="AX15" s="242"/>
      <c r="AY15" s="242"/>
      <c r="AZ15" s="242"/>
      <c r="BA15" s="242"/>
      <c r="BB15" s="242"/>
      <c r="BC15" s="242"/>
      <c r="BD15" s="242"/>
      <c r="BE15" s="242"/>
      <c r="BF15" s="242"/>
      <c r="BG15" s="242"/>
      <c r="BH15" s="242"/>
      <c r="BI15" s="242"/>
      <c r="BJ15" s="242"/>
      <c r="BK15" s="242"/>
      <c r="BL15" s="242"/>
      <c r="BM15" s="242"/>
      <c r="BN15" s="242"/>
      <c r="BO15" s="242"/>
      <c r="BP15" s="242"/>
      <c r="BQ15" s="242"/>
      <c r="BR15" s="242"/>
      <c r="BS15" s="242"/>
      <c r="BT15" s="242"/>
      <c r="BU15" s="242"/>
      <c r="BV15" s="242"/>
      <c r="BW15" s="242"/>
      <c r="BX15" s="242"/>
      <c r="BY15" s="242"/>
      <c r="BZ15" s="242"/>
      <c r="CA15" s="242"/>
      <c r="CB15" s="242"/>
      <c r="CC15" s="242"/>
      <c r="CD15" s="242">
        <v>0</v>
      </c>
      <c r="CE15" s="242"/>
      <c r="CF15" s="242">
        <v>-21.8</v>
      </c>
      <c r="CG15" s="242">
        <v>-0.43</v>
      </c>
      <c r="CH15" s="242">
        <v>14</v>
      </c>
    </row>
    <row r="16" spans="1:86" x14ac:dyDescent="0.25">
      <c r="A16" s="159" t="s">
        <v>627</v>
      </c>
      <c r="B16" s="159">
        <v>0</v>
      </c>
      <c r="C16" s="159">
        <v>550</v>
      </c>
      <c r="D16" s="159">
        <v>500</v>
      </c>
      <c r="E16" s="159" t="s">
        <v>55</v>
      </c>
      <c r="F16" s="159" t="s">
        <v>50</v>
      </c>
      <c r="G16" s="264">
        <v>8960000</v>
      </c>
      <c r="H16" s="249">
        <v>0</v>
      </c>
      <c r="I16" s="249">
        <v>100</v>
      </c>
      <c r="J16" s="249">
        <v>0</v>
      </c>
      <c r="K16" s="249">
        <v>0</v>
      </c>
      <c r="L16" s="249">
        <v>0</v>
      </c>
      <c r="M16" s="249">
        <v>0</v>
      </c>
      <c r="N16" s="249">
        <v>0</v>
      </c>
      <c r="O16" s="249">
        <v>0</v>
      </c>
      <c r="P16" s="249">
        <v>0</v>
      </c>
      <c r="Q16" s="249">
        <v>0</v>
      </c>
      <c r="R16" s="249">
        <v>0</v>
      </c>
      <c r="S16" s="249">
        <v>0</v>
      </c>
      <c r="T16" s="249">
        <v>0</v>
      </c>
      <c r="U16" s="249">
        <v>0</v>
      </c>
      <c r="V16" s="249">
        <v>0</v>
      </c>
      <c r="W16" s="249">
        <v>0</v>
      </c>
      <c r="X16" s="249">
        <v>0</v>
      </c>
      <c r="Y16" s="249">
        <v>0</v>
      </c>
      <c r="Z16" s="249">
        <v>0</v>
      </c>
      <c r="AA16" s="249">
        <v>0</v>
      </c>
      <c r="AB16" s="249">
        <v>0</v>
      </c>
      <c r="AC16" s="249">
        <v>0</v>
      </c>
      <c r="AD16" s="249">
        <v>0</v>
      </c>
      <c r="AE16" s="249">
        <v>0</v>
      </c>
      <c r="AF16" s="249">
        <v>-154.88567716533856</v>
      </c>
      <c r="AG16" s="249">
        <v>-117.90049202390642</v>
      </c>
      <c r="AH16" s="249">
        <v>20</v>
      </c>
      <c r="AI16" s="249">
        <v>10</v>
      </c>
      <c r="AJ16" s="249">
        <v>1.5</v>
      </c>
      <c r="AK16" s="159" t="s">
        <v>245</v>
      </c>
      <c r="AL16" s="159" t="s">
        <v>230</v>
      </c>
      <c r="AM16" s="159"/>
      <c r="AN16" s="159">
        <v>0</v>
      </c>
      <c r="AO16" s="159">
        <v>16</v>
      </c>
      <c r="AP16" s="159"/>
      <c r="AQ16" s="159"/>
      <c r="AR16" s="159"/>
      <c r="AS16" s="159"/>
      <c r="AT16" s="159">
        <v>6</v>
      </c>
      <c r="AU16" s="159">
        <v>7</v>
      </c>
      <c r="AV16" s="159"/>
      <c r="AW16" s="159"/>
      <c r="AX16" s="159"/>
      <c r="AY16" s="159">
        <v>1</v>
      </c>
      <c r="AZ16" s="159"/>
      <c r="BA16" s="159"/>
      <c r="BB16" s="159">
        <v>314</v>
      </c>
      <c r="BC16" s="159"/>
      <c r="BD16" s="159"/>
      <c r="BE16" s="159"/>
      <c r="BF16" s="159"/>
      <c r="BG16" s="159">
        <v>590</v>
      </c>
      <c r="BH16" s="159"/>
      <c r="BI16" s="159"/>
      <c r="BJ16" s="159"/>
      <c r="BK16" s="159"/>
      <c r="BL16" s="159"/>
      <c r="BM16" s="159"/>
      <c r="BN16" s="159"/>
      <c r="BO16" s="159"/>
      <c r="BP16" s="159"/>
      <c r="BQ16" s="159"/>
      <c r="BR16" s="159"/>
      <c r="BS16" s="159"/>
      <c r="BT16" s="159"/>
      <c r="BU16" s="159"/>
      <c r="BV16" s="159"/>
      <c r="BW16" s="159"/>
      <c r="BX16" s="159"/>
      <c r="BY16" s="159"/>
      <c r="BZ16" s="159"/>
      <c r="CA16" s="159"/>
      <c r="CB16" s="159"/>
      <c r="CC16" s="159"/>
      <c r="CD16" s="159">
        <v>0</v>
      </c>
      <c r="CE16" s="159"/>
      <c r="CF16" s="159"/>
      <c r="CG16" s="159">
        <v>-2.64</v>
      </c>
      <c r="CH16" s="159">
        <v>15</v>
      </c>
    </row>
    <row r="17" spans="1:86" x14ac:dyDescent="0.25">
      <c r="A17" s="241" t="s">
        <v>628</v>
      </c>
      <c r="B17" s="241">
        <v>0</v>
      </c>
      <c r="C17" s="241">
        <v>550</v>
      </c>
      <c r="D17" s="241">
        <v>1000</v>
      </c>
      <c r="E17" s="241" t="s">
        <v>55</v>
      </c>
      <c r="F17" s="241" t="s">
        <v>50</v>
      </c>
      <c r="G17" s="265">
        <v>8960000</v>
      </c>
      <c r="H17" s="250">
        <v>0</v>
      </c>
      <c r="I17" s="250">
        <v>100</v>
      </c>
      <c r="J17" s="250">
        <v>0</v>
      </c>
      <c r="K17" s="250">
        <v>0</v>
      </c>
      <c r="L17" s="250">
        <v>0</v>
      </c>
      <c r="M17" s="250">
        <v>0</v>
      </c>
      <c r="N17" s="250">
        <v>0</v>
      </c>
      <c r="O17" s="250">
        <v>0</v>
      </c>
      <c r="P17" s="250">
        <v>0</v>
      </c>
      <c r="Q17" s="250">
        <v>0</v>
      </c>
      <c r="R17" s="250">
        <v>0</v>
      </c>
      <c r="S17" s="250">
        <v>0</v>
      </c>
      <c r="T17" s="250">
        <v>0</v>
      </c>
      <c r="U17" s="250">
        <v>0</v>
      </c>
      <c r="V17" s="250">
        <v>0</v>
      </c>
      <c r="W17" s="250">
        <v>0</v>
      </c>
      <c r="X17" s="250">
        <v>0</v>
      </c>
      <c r="Y17" s="250">
        <v>0</v>
      </c>
      <c r="Z17" s="250">
        <v>0</v>
      </c>
      <c r="AA17" s="250">
        <v>0</v>
      </c>
      <c r="AB17" s="250">
        <v>0</v>
      </c>
      <c r="AC17" s="250">
        <v>0</v>
      </c>
      <c r="AD17" s="250">
        <v>0</v>
      </c>
      <c r="AE17" s="250">
        <v>0</v>
      </c>
      <c r="AF17" s="250">
        <v>-154.88567716533856</v>
      </c>
      <c r="AG17" s="250">
        <v>-117.90049202390642</v>
      </c>
      <c r="AH17" s="250">
        <v>20</v>
      </c>
      <c r="AI17" s="250">
        <v>10</v>
      </c>
      <c r="AJ17" s="250">
        <v>1.5</v>
      </c>
      <c r="AK17" s="241" t="s">
        <v>245</v>
      </c>
      <c r="AL17" s="241" t="s">
        <v>230</v>
      </c>
      <c r="AM17" s="241"/>
      <c r="AN17" s="241">
        <v>0</v>
      </c>
      <c r="AO17" s="241">
        <v>16</v>
      </c>
      <c r="AP17" s="241"/>
      <c r="AQ17" s="241"/>
      <c r="AR17" s="241"/>
      <c r="AS17" s="241"/>
      <c r="AT17" s="241">
        <v>6</v>
      </c>
      <c r="AU17" s="241">
        <v>7</v>
      </c>
      <c r="AV17" s="241"/>
      <c r="AW17" s="241"/>
      <c r="AX17" s="241"/>
      <c r="AY17" s="241">
        <v>1</v>
      </c>
      <c r="AZ17" s="241"/>
      <c r="BA17" s="241"/>
      <c r="BB17" s="241">
        <v>314</v>
      </c>
      <c r="BC17" s="241"/>
      <c r="BD17" s="241"/>
      <c r="BE17" s="241"/>
      <c r="BF17" s="241"/>
      <c r="BG17" s="241">
        <v>590</v>
      </c>
      <c r="BH17" s="241"/>
      <c r="BI17" s="241"/>
      <c r="BJ17" s="241"/>
      <c r="BK17" s="241"/>
      <c r="BL17" s="241"/>
      <c r="BM17" s="241"/>
      <c r="BN17" s="241"/>
      <c r="BO17" s="241"/>
      <c r="BP17" s="241"/>
      <c r="BQ17" s="241"/>
      <c r="BR17" s="241"/>
      <c r="BS17" s="241"/>
      <c r="BT17" s="241"/>
      <c r="BU17" s="241"/>
      <c r="BV17" s="241"/>
      <c r="BW17" s="241"/>
      <c r="BX17" s="241"/>
      <c r="BY17" s="241"/>
      <c r="BZ17" s="241"/>
      <c r="CA17" s="241"/>
      <c r="CB17" s="241"/>
      <c r="CC17" s="241"/>
      <c r="CD17" s="241">
        <v>0</v>
      </c>
      <c r="CE17" s="241"/>
      <c r="CF17" s="241"/>
      <c r="CG17" s="241">
        <v>-3.31</v>
      </c>
      <c r="CH17" s="241">
        <v>16</v>
      </c>
    </row>
    <row r="18" spans="1:86" x14ac:dyDescent="0.25">
      <c r="A18" s="159" t="s">
        <v>629</v>
      </c>
      <c r="B18" s="159">
        <v>0</v>
      </c>
      <c r="C18" s="159">
        <v>550</v>
      </c>
      <c r="D18" s="159">
        <v>2000</v>
      </c>
      <c r="E18" s="159" t="s">
        <v>55</v>
      </c>
      <c r="F18" s="159" t="s">
        <v>50</v>
      </c>
      <c r="G18" s="264">
        <v>8960000</v>
      </c>
      <c r="H18" s="249">
        <v>0</v>
      </c>
      <c r="I18" s="249">
        <v>100</v>
      </c>
      <c r="J18" s="249">
        <v>0</v>
      </c>
      <c r="K18" s="249">
        <v>0</v>
      </c>
      <c r="L18" s="249">
        <v>0</v>
      </c>
      <c r="M18" s="249">
        <v>0</v>
      </c>
      <c r="N18" s="249">
        <v>0</v>
      </c>
      <c r="O18" s="249">
        <v>0</v>
      </c>
      <c r="P18" s="249">
        <v>0</v>
      </c>
      <c r="Q18" s="249">
        <v>0</v>
      </c>
      <c r="R18" s="249">
        <v>0</v>
      </c>
      <c r="S18" s="249">
        <v>0</v>
      </c>
      <c r="T18" s="249">
        <v>0</v>
      </c>
      <c r="U18" s="249">
        <v>0</v>
      </c>
      <c r="V18" s="249">
        <v>0</v>
      </c>
      <c r="W18" s="249">
        <v>0</v>
      </c>
      <c r="X18" s="249">
        <v>0</v>
      </c>
      <c r="Y18" s="249">
        <v>0</v>
      </c>
      <c r="Z18" s="249">
        <v>0</v>
      </c>
      <c r="AA18" s="249">
        <v>0</v>
      </c>
      <c r="AB18" s="249">
        <v>0</v>
      </c>
      <c r="AC18" s="249">
        <v>0</v>
      </c>
      <c r="AD18" s="249">
        <v>0</v>
      </c>
      <c r="AE18" s="249">
        <v>0</v>
      </c>
      <c r="AF18" s="249">
        <v>-154.88567716533856</v>
      </c>
      <c r="AG18" s="249">
        <v>-117.90049202390642</v>
      </c>
      <c r="AH18" s="249">
        <v>20</v>
      </c>
      <c r="AI18" s="249">
        <v>10</v>
      </c>
      <c r="AJ18" s="249">
        <v>1.5</v>
      </c>
      <c r="AK18" s="159" t="s">
        <v>245</v>
      </c>
      <c r="AL18" s="159" t="s">
        <v>230</v>
      </c>
      <c r="AM18" s="159"/>
      <c r="AN18" s="159">
        <v>0</v>
      </c>
      <c r="AO18" s="159">
        <v>16</v>
      </c>
      <c r="AP18" s="159"/>
      <c r="AQ18" s="159"/>
      <c r="AR18" s="159"/>
      <c r="AS18" s="159"/>
      <c r="AT18" s="159">
        <v>6</v>
      </c>
      <c r="AU18" s="159">
        <v>7</v>
      </c>
      <c r="AV18" s="159"/>
      <c r="AW18" s="159"/>
      <c r="AX18" s="159"/>
      <c r="AY18" s="159">
        <v>1</v>
      </c>
      <c r="AZ18" s="159"/>
      <c r="BA18" s="159"/>
      <c r="BB18" s="159">
        <v>314</v>
      </c>
      <c r="BC18" s="159"/>
      <c r="BD18" s="159"/>
      <c r="BE18" s="159"/>
      <c r="BF18" s="159"/>
      <c r="BG18" s="159">
        <v>590</v>
      </c>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c r="CD18" s="159">
        <v>0</v>
      </c>
      <c r="CE18" s="159"/>
      <c r="CF18" s="159"/>
      <c r="CG18" s="159">
        <v>-2.94</v>
      </c>
      <c r="CH18" s="159">
        <v>17</v>
      </c>
    </row>
    <row r="19" spans="1:86" x14ac:dyDescent="0.25">
      <c r="A19" s="241" t="s">
        <v>630</v>
      </c>
      <c r="B19" s="241">
        <v>0</v>
      </c>
      <c r="C19" s="241">
        <v>650</v>
      </c>
      <c r="D19" s="241">
        <v>500</v>
      </c>
      <c r="E19" s="241" t="s">
        <v>55</v>
      </c>
      <c r="F19" s="241" t="s">
        <v>50</v>
      </c>
      <c r="G19" s="265">
        <v>8960000</v>
      </c>
      <c r="H19" s="250">
        <v>0</v>
      </c>
      <c r="I19" s="250">
        <v>100</v>
      </c>
      <c r="J19" s="250">
        <v>0</v>
      </c>
      <c r="K19" s="250">
        <v>0</v>
      </c>
      <c r="L19" s="250">
        <v>0</v>
      </c>
      <c r="M19" s="250">
        <v>0</v>
      </c>
      <c r="N19" s="250">
        <v>0</v>
      </c>
      <c r="O19" s="250">
        <v>0</v>
      </c>
      <c r="P19" s="250">
        <v>0</v>
      </c>
      <c r="Q19" s="250">
        <v>0</v>
      </c>
      <c r="R19" s="250">
        <v>0</v>
      </c>
      <c r="S19" s="250">
        <v>0</v>
      </c>
      <c r="T19" s="250">
        <v>0</v>
      </c>
      <c r="U19" s="250">
        <v>0</v>
      </c>
      <c r="V19" s="250">
        <v>0</v>
      </c>
      <c r="W19" s="250">
        <v>0</v>
      </c>
      <c r="X19" s="250">
        <v>0</v>
      </c>
      <c r="Y19" s="250">
        <v>0</v>
      </c>
      <c r="Z19" s="250">
        <v>0</v>
      </c>
      <c r="AA19" s="250">
        <v>0</v>
      </c>
      <c r="AB19" s="250">
        <v>0</v>
      </c>
      <c r="AC19" s="250">
        <v>0</v>
      </c>
      <c r="AD19" s="250">
        <v>0</v>
      </c>
      <c r="AE19" s="250">
        <v>0</v>
      </c>
      <c r="AF19" s="250">
        <v>-151.45537184749173</v>
      </c>
      <c r="AG19" s="250">
        <v>-115.93813288350846</v>
      </c>
      <c r="AH19" s="250">
        <v>20</v>
      </c>
      <c r="AI19" s="250">
        <v>10</v>
      </c>
      <c r="AJ19" s="250">
        <v>1.5</v>
      </c>
      <c r="AK19" s="241" t="s">
        <v>245</v>
      </c>
      <c r="AL19" s="241" t="s">
        <v>230</v>
      </c>
      <c r="AM19" s="241"/>
      <c r="AN19" s="241">
        <v>0</v>
      </c>
      <c r="AO19" s="241">
        <v>16</v>
      </c>
      <c r="AP19" s="241"/>
      <c r="AQ19" s="241"/>
      <c r="AR19" s="241"/>
      <c r="AS19" s="241"/>
      <c r="AT19" s="241">
        <v>6</v>
      </c>
      <c r="AU19" s="241">
        <v>7</v>
      </c>
      <c r="AV19" s="241"/>
      <c r="AW19" s="241"/>
      <c r="AX19" s="241"/>
      <c r="AY19" s="241">
        <v>1</v>
      </c>
      <c r="AZ19" s="241"/>
      <c r="BA19" s="241"/>
      <c r="BB19" s="241">
        <v>314</v>
      </c>
      <c r="BC19" s="241"/>
      <c r="BD19" s="241"/>
      <c r="BE19" s="241"/>
      <c r="BF19" s="241"/>
      <c r="BG19" s="241">
        <v>590</v>
      </c>
      <c r="BH19" s="241"/>
      <c r="BI19" s="241"/>
      <c r="BJ19" s="241"/>
      <c r="BK19" s="241"/>
      <c r="BL19" s="241"/>
      <c r="BM19" s="241"/>
      <c r="BN19" s="241"/>
      <c r="BO19" s="241"/>
      <c r="BP19" s="241"/>
      <c r="BQ19" s="241"/>
      <c r="BR19" s="241"/>
      <c r="BS19" s="241"/>
      <c r="BT19" s="241"/>
      <c r="BU19" s="241"/>
      <c r="BV19" s="241"/>
      <c r="BW19" s="241"/>
      <c r="BX19" s="241"/>
      <c r="BY19" s="241"/>
      <c r="BZ19" s="241"/>
      <c r="CA19" s="241"/>
      <c r="CB19" s="241"/>
      <c r="CC19" s="241"/>
      <c r="CD19" s="241">
        <v>0</v>
      </c>
      <c r="CE19" s="241"/>
      <c r="CF19" s="241"/>
      <c r="CG19" s="241">
        <v>-1.96</v>
      </c>
      <c r="CH19" s="241">
        <v>18</v>
      </c>
    </row>
    <row r="20" spans="1:86" x14ac:dyDescent="0.25">
      <c r="A20" s="159" t="s">
        <v>631</v>
      </c>
      <c r="B20" s="159">
        <v>0</v>
      </c>
      <c r="C20" s="159">
        <v>650</v>
      </c>
      <c r="D20" s="159">
        <v>1000</v>
      </c>
      <c r="E20" s="159" t="s">
        <v>55</v>
      </c>
      <c r="F20" s="159" t="s">
        <v>50</v>
      </c>
      <c r="G20" s="264">
        <v>8960000</v>
      </c>
      <c r="H20" s="249">
        <v>0</v>
      </c>
      <c r="I20" s="249">
        <v>100</v>
      </c>
      <c r="J20" s="249">
        <v>0</v>
      </c>
      <c r="K20" s="249">
        <v>0</v>
      </c>
      <c r="L20" s="249">
        <v>0</v>
      </c>
      <c r="M20" s="249">
        <v>0</v>
      </c>
      <c r="N20" s="249">
        <v>0</v>
      </c>
      <c r="O20" s="249">
        <v>0</v>
      </c>
      <c r="P20" s="249">
        <v>0</v>
      </c>
      <c r="Q20" s="249">
        <v>0</v>
      </c>
      <c r="R20" s="249">
        <v>0</v>
      </c>
      <c r="S20" s="249">
        <v>0</v>
      </c>
      <c r="T20" s="249">
        <v>0</v>
      </c>
      <c r="U20" s="249">
        <v>0</v>
      </c>
      <c r="V20" s="249">
        <v>0</v>
      </c>
      <c r="W20" s="249">
        <v>0</v>
      </c>
      <c r="X20" s="249">
        <v>0</v>
      </c>
      <c r="Y20" s="249">
        <v>0</v>
      </c>
      <c r="Z20" s="249">
        <v>0</v>
      </c>
      <c r="AA20" s="249">
        <v>0</v>
      </c>
      <c r="AB20" s="249">
        <v>0</v>
      </c>
      <c r="AC20" s="249">
        <v>0</v>
      </c>
      <c r="AD20" s="249">
        <v>0</v>
      </c>
      <c r="AE20" s="249">
        <v>0</v>
      </c>
      <c r="AF20" s="249">
        <v>-151.45537184749173</v>
      </c>
      <c r="AG20" s="249">
        <v>-115.93813288350846</v>
      </c>
      <c r="AH20" s="249">
        <v>20</v>
      </c>
      <c r="AI20" s="249">
        <v>10</v>
      </c>
      <c r="AJ20" s="249">
        <v>1.5</v>
      </c>
      <c r="AK20" s="159" t="s">
        <v>245</v>
      </c>
      <c r="AL20" s="159" t="s">
        <v>230</v>
      </c>
      <c r="AM20" s="159"/>
      <c r="AN20" s="159">
        <v>0</v>
      </c>
      <c r="AO20" s="159">
        <v>16</v>
      </c>
      <c r="AP20" s="159"/>
      <c r="AQ20" s="159"/>
      <c r="AR20" s="159"/>
      <c r="AS20" s="159"/>
      <c r="AT20" s="159">
        <v>6</v>
      </c>
      <c r="AU20" s="159">
        <v>7</v>
      </c>
      <c r="AV20" s="159"/>
      <c r="AW20" s="159"/>
      <c r="AX20" s="159"/>
      <c r="AY20" s="159">
        <v>1</v>
      </c>
      <c r="AZ20" s="159"/>
      <c r="BA20" s="159"/>
      <c r="BB20" s="159">
        <v>314</v>
      </c>
      <c r="BC20" s="159"/>
      <c r="BD20" s="159"/>
      <c r="BE20" s="159"/>
      <c r="BF20" s="159"/>
      <c r="BG20" s="159">
        <v>590</v>
      </c>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v>0</v>
      </c>
      <c r="CE20" s="159"/>
      <c r="CF20" s="159"/>
      <c r="CG20" s="159">
        <v>-1.97</v>
      </c>
      <c r="CH20" s="159">
        <v>19</v>
      </c>
    </row>
    <row r="21" spans="1:86" x14ac:dyDescent="0.25">
      <c r="A21" s="241" t="s">
        <v>632</v>
      </c>
      <c r="B21" s="241">
        <v>0</v>
      </c>
      <c r="C21" s="241">
        <v>650</v>
      </c>
      <c r="D21" s="241">
        <v>2000</v>
      </c>
      <c r="E21" s="241" t="s">
        <v>55</v>
      </c>
      <c r="F21" s="241" t="s">
        <v>50</v>
      </c>
      <c r="G21" s="265">
        <v>8960000</v>
      </c>
      <c r="H21" s="250">
        <v>0</v>
      </c>
      <c r="I21" s="250">
        <v>100</v>
      </c>
      <c r="J21" s="250">
        <v>0</v>
      </c>
      <c r="K21" s="250">
        <v>0</v>
      </c>
      <c r="L21" s="250">
        <v>0</v>
      </c>
      <c r="M21" s="250">
        <v>0</v>
      </c>
      <c r="N21" s="250">
        <v>0</v>
      </c>
      <c r="O21" s="250">
        <v>0</v>
      </c>
      <c r="P21" s="250">
        <v>0</v>
      </c>
      <c r="Q21" s="250">
        <v>0</v>
      </c>
      <c r="R21" s="250">
        <v>0</v>
      </c>
      <c r="S21" s="250">
        <v>0</v>
      </c>
      <c r="T21" s="250">
        <v>0</v>
      </c>
      <c r="U21" s="250">
        <v>0</v>
      </c>
      <c r="V21" s="250">
        <v>0</v>
      </c>
      <c r="W21" s="250">
        <v>0</v>
      </c>
      <c r="X21" s="250">
        <v>0</v>
      </c>
      <c r="Y21" s="250">
        <v>0</v>
      </c>
      <c r="Z21" s="250">
        <v>0</v>
      </c>
      <c r="AA21" s="250">
        <v>0</v>
      </c>
      <c r="AB21" s="250">
        <v>0</v>
      </c>
      <c r="AC21" s="250">
        <v>0</v>
      </c>
      <c r="AD21" s="250">
        <v>0</v>
      </c>
      <c r="AE21" s="250">
        <v>0</v>
      </c>
      <c r="AF21" s="250">
        <v>-151.45537184749173</v>
      </c>
      <c r="AG21" s="250">
        <v>-115.93813288350846</v>
      </c>
      <c r="AH21" s="250">
        <v>20</v>
      </c>
      <c r="AI21" s="250">
        <v>10</v>
      </c>
      <c r="AJ21" s="250">
        <v>1.5</v>
      </c>
      <c r="AK21" s="241" t="s">
        <v>245</v>
      </c>
      <c r="AL21" s="241" t="s">
        <v>230</v>
      </c>
      <c r="AM21" s="241"/>
      <c r="AN21" s="241">
        <v>0</v>
      </c>
      <c r="AO21" s="241">
        <v>16</v>
      </c>
      <c r="AP21" s="241"/>
      <c r="AQ21" s="241"/>
      <c r="AR21" s="241"/>
      <c r="AS21" s="241"/>
      <c r="AT21" s="241">
        <v>6</v>
      </c>
      <c r="AU21" s="241">
        <v>7</v>
      </c>
      <c r="AV21" s="241"/>
      <c r="AW21" s="241"/>
      <c r="AX21" s="241"/>
      <c r="AY21" s="241">
        <v>1</v>
      </c>
      <c r="AZ21" s="241"/>
      <c r="BA21" s="241"/>
      <c r="BB21" s="241">
        <v>314</v>
      </c>
      <c r="BC21" s="241"/>
      <c r="BD21" s="241"/>
      <c r="BE21" s="241"/>
      <c r="BF21" s="241"/>
      <c r="BG21" s="241">
        <v>590</v>
      </c>
      <c r="BH21" s="241"/>
      <c r="BI21" s="241"/>
      <c r="BJ21" s="241"/>
      <c r="BK21" s="241"/>
      <c r="BL21" s="241"/>
      <c r="BM21" s="241"/>
      <c r="BN21" s="241"/>
      <c r="BO21" s="241"/>
      <c r="BP21" s="241"/>
      <c r="BQ21" s="241"/>
      <c r="BR21" s="241"/>
      <c r="BS21" s="241"/>
      <c r="BT21" s="241"/>
      <c r="BU21" s="241"/>
      <c r="BV21" s="241"/>
      <c r="BW21" s="241"/>
      <c r="BX21" s="241"/>
      <c r="BY21" s="241"/>
      <c r="BZ21" s="241"/>
      <c r="CA21" s="241"/>
      <c r="CB21" s="241"/>
      <c r="CC21" s="241"/>
      <c r="CD21" s="241">
        <v>0</v>
      </c>
      <c r="CE21" s="241"/>
      <c r="CF21" s="241"/>
      <c r="CG21" s="241">
        <v>-2.0299999999999998</v>
      </c>
      <c r="CH21" s="241">
        <v>20</v>
      </c>
    </row>
    <row r="22" spans="1:86" x14ac:dyDescent="0.25">
      <c r="A22" s="159" t="s">
        <v>633</v>
      </c>
      <c r="B22" s="159">
        <v>0</v>
      </c>
      <c r="C22" s="159">
        <v>750</v>
      </c>
      <c r="D22" s="159">
        <v>500</v>
      </c>
      <c r="E22" s="159" t="s">
        <v>55</v>
      </c>
      <c r="F22" s="159" t="s">
        <v>50</v>
      </c>
      <c r="G22" s="264">
        <v>8960000</v>
      </c>
      <c r="H22" s="249">
        <v>0</v>
      </c>
      <c r="I22" s="249">
        <v>100</v>
      </c>
      <c r="J22" s="249">
        <v>0</v>
      </c>
      <c r="K22" s="249">
        <v>0</v>
      </c>
      <c r="L22" s="249">
        <v>0</v>
      </c>
      <c r="M22" s="249">
        <v>0</v>
      </c>
      <c r="N22" s="249">
        <v>0</v>
      </c>
      <c r="O22" s="249">
        <v>0</v>
      </c>
      <c r="P22" s="249">
        <v>0</v>
      </c>
      <c r="Q22" s="249">
        <v>0</v>
      </c>
      <c r="R22" s="249">
        <v>0</v>
      </c>
      <c r="S22" s="249">
        <v>0</v>
      </c>
      <c r="T22" s="249">
        <v>0</v>
      </c>
      <c r="U22" s="249">
        <v>0</v>
      </c>
      <c r="V22" s="249">
        <v>0</v>
      </c>
      <c r="W22" s="249">
        <v>0</v>
      </c>
      <c r="X22" s="249">
        <v>0</v>
      </c>
      <c r="Y22" s="249">
        <v>0</v>
      </c>
      <c r="Z22" s="249">
        <v>0</v>
      </c>
      <c r="AA22" s="249">
        <v>0</v>
      </c>
      <c r="AB22" s="249">
        <v>0</v>
      </c>
      <c r="AC22" s="249">
        <v>0</v>
      </c>
      <c r="AD22" s="249">
        <v>0</v>
      </c>
      <c r="AE22" s="249">
        <v>0</v>
      </c>
      <c r="AF22" s="249">
        <v>-148.0250665296449</v>
      </c>
      <c r="AG22" s="249">
        <v>-113.97577374311049</v>
      </c>
      <c r="AH22" s="249">
        <v>20</v>
      </c>
      <c r="AI22" s="249">
        <v>10</v>
      </c>
      <c r="AJ22" s="249">
        <v>1.5</v>
      </c>
      <c r="AK22" s="159" t="s">
        <v>245</v>
      </c>
      <c r="AL22" s="159" t="s">
        <v>230</v>
      </c>
      <c r="AM22" s="159"/>
      <c r="AN22" s="159">
        <v>0</v>
      </c>
      <c r="AO22" s="159">
        <v>16</v>
      </c>
      <c r="AP22" s="159"/>
      <c r="AQ22" s="159"/>
      <c r="AR22" s="159"/>
      <c r="AS22" s="159"/>
      <c r="AT22" s="159">
        <v>6</v>
      </c>
      <c r="AU22" s="159">
        <v>7</v>
      </c>
      <c r="AV22" s="159"/>
      <c r="AW22" s="159"/>
      <c r="AX22" s="159"/>
      <c r="AY22" s="159">
        <v>1</v>
      </c>
      <c r="AZ22" s="159"/>
      <c r="BA22" s="159"/>
      <c r="BB22" s="159">
        <v>314</v>
      </c>
      <c r="BC22" s="159"/>
      <c r="BD22" s="159"/>
      <c r="BE22" s="159"/>
      <c r="BF22" s="159"/>
      <c r="BG22" s="159">
        <v>590</v>
      </c>
      <c r="BH22" s="159"/>
      <c r="BI22" s="159"/>
      <c r="BJ22" s="159"/>
      <c r="BK22" s="159"/>
      <c r="BL22" s="159"/>
      <c r="BM22" s="159"/>
      <c r="BN22" s="159"/>
      <c r="BO22" s="159"/>
      <c r="BP22" s="159"/>
      <c r="BQ22" s="159"/>
      <c r="BR22" s="159"/>
      <c r="BS22" s="159"/>
      <c r="BT22" s="159"/>
      <c r="BU22" s="159"/>
      <c r="BV22" s="159"/>
      <c r="BW22" s="159"/>
      <c r="BX22" s="159"/>
      <c r="BY22" s="159"/>
      <c r="BZ22" s="159"/>
      <c r="CA22" s="159"/>
      <c r="CB22" s="159"/>
      <c r="CC22" s="159"/>
      <c r="CD22" s="159">
        <v>0</v>
      </c>
      <c r="CE22" s="159"/>
      <c r="CF22" s="159"/>
      <c r="CG22" s="159">
        <v>-2.66</v>
      </c>
      <c r="CH22" s="159">
        <v>21</v>
      </c>
    </row>
    <row r="23" spans="1:86" x14ac:dyDescent="0.25">
      <c r="A23" s="241" t="s">
        <v>634</v>
      </c>
      <c r="B23" s="241">
        <v>0</v>
      </c>
      <c r="C23" s="241">
        <v>750</v>
      </c>
      <c r="D23" s="241">
        <v>1000</v>
      </c>
      <c r="E23" s="241" t="s">
        <v>55</v>
      </c>
      <c r="F23" s="241" t="s">
        <v>50</v>
      </c>
      <c r="G23" s="265">
        <v>8960000</v>
      </c>
      <c r="H23" s="250">
        <v>0</v>
      </c>
      <c r="I23" s="250">
        <v>100</v>
      </c>
      <c r="J23" s="250">
        <v>0</v>
      </c>
      <c r="K23" s="250">
        <v>0</v>
      </c>
      <c r="L23" s="250">
        <v>0</v>
      </c>
      <c r="M23" s="250">
        <v>0</v>
      </c>
      <c r="N23" s="250">
        <v>0</v>
      </c>
      <c r="O23" s="250">
        <v>0</v>
      </c>
      <c r="P23" s="250">
        <v>0</v>
      </c>
      <c r="Q23" s="250">
        <v>0</v>
      </c>
      <c r="R23" s="250">
        <v>0</v>
      </c>
      <c r="S23" s="250">
        <v>0</v>
      </c>
      <c r="T23" s="250">
        <v>0</v>
      </c>
      <c r="U23" s="250">
        <v>0</v>
      </c>
      <c r="V23" s="250">
        <v>0</v>
      </c>
      <c r="W23" s="250">
        <v>0</v>
      </c>
      <c r="X23" s="250">
        <v>0</v>
      </c>
      <c r="Y23" s="250">
        <v>0</v>
      </c>
      <c r="Z23" s="250">
        <v>0</v>
      </c>
      <c r="AA23" s="250">
        <v>0</v>
      </c>
      <c r="AB23" s="250">
        <v>0</v>
      </c>
      <c r="AC23" s="250">
        <v>0</v>
      </c>
      <c r="AD23" s="250">
        <v>0</v>
      </c>
      <c r="AE23" s="250">
        <v>0</v>
      </c>
      <c r="AF23" s="250">
        <v>-148.0250665296449</v>
      </c>
      <c r="AG23" s="250">
        <v>-113.97577374311049</v>
      </c>
      <c r="AH23" s="250">
        <v>20</v>
      </c>
      <c r="AI23" s="250">
        <v>10</v>
      </c>
      <c r="AJ23" s="250">
        <v>1.5</v>
      </c>
      <c r="AK23" s="241" t="s">
        <v>245</v>
      </c>
      <c r="AL23" s="241" t="s">
        <v>230</v>
      </c>
      <c r="AM23" s="241"/>
      <c r="AN23" s="241">
        <v>0</v>
      </c>
      <c r="AO23" s="241">
        <v>16</v>
      </c>
      <c r="AP23" s="241"/>
      <c r="AQ23" s="241"/>
      <c r="AR23" s="241"/>
      <c r="AS23" s="241"/>
      <c r="AT23" s="241">
        <v>6</v>
      </c>
      <c r="AU23" s="241">
        <v>7</v>
      </c>
      <c r="AV23" s="241"/>
      <c r="AW23" s="241"/>
      <c r="AX23" s="241"/>
      <c r="AY23" s="241">
        <v>1</v>
      </c>
      <c r="AZ23" s="241"/>
      <c r="BA23" s="241"/>
      <c r="BB23" s="241">
        <v>314</v>
      </c>
      <c r="BC23" s="241"/>
      <c r="BD23" s="241"/>
      <c r="BE23" s="241"/>
      <c r="BF23" s="241"/>
      <c r="BG23" s="241">
        <v>590</v>
      </c>
      <c r="BH23" s="241"/>
      <c r="BI23" s="241"/>
      <c r="BJ23" s="241"/>
      <c r="BK23" s="241"/>
      <c r="BL23" s="241"/>
      <c r="BM23" s="241"/>
      <c r="BN23" s="241"/>
      <c r="BO23" s="241"/>
      <c r="BP23" s="241"/>
      <c r="BQ23" s="241"/>
      <c r="BR23" s="241"/>
      <c r="BS23" s="241"/>
      <c r="BT23" s="241"/>
      <c r="BU23" s="241"/>
      <c r="BV23" s="241"/>
      <c r="BW23" s="241"/>
      <c r="BX23" s="241"/>
      <c r="BY23" s="241"/>
      <c r="BZ23" s="241"/>
      <c r="CA23" s="241"/>
      <c r="CB23" s="241"/>
      <c r="CC23" s="241"/>
      <c r="CD23" s="241">
        <v>0</v>
      </c>
      <c r="CE23" s="241"/>
      <c r="CF23" s="241"/>
      <c r="CG23" s="241">
        <v>-3.06</v>
      </c>
      <c r="CH23" s="241">
        <v>22</v>
      </c>
    </row>
    <row r="24" spans="1:86" x14ac:dyDescent="0.25">
      <c r="A24" s="159" t="s">
        <v>635</v>
      </c>
      <c r="B24" s="159">
        <v>0</v>
      </c>
      <c r="C24" s="159">
        <v>750</v>
      </c>
      <c r="D24" s="159">
        <v>2000</v>
      </c>
      <c r="E24" s="159" t="s">
        <v>55</v>
      </c>
      <c r="F24" s="159" t="s">
        <v>50</v>
      </c>
      <c r="G24" s="264">
        <v>8960000</v>
      </c>
      <c r="H24" s="249">
        <v>0</v>
      </c>
      <c r="I24" s="249">
        <v>100</v>
      </c>
      <c r="J24" s="249">
        <v>0</v>
      </c>
      <c r="K24" s="249">
        <v>0</v>
      </c>
      <c r="L24" s="249">
        <v>0</v>
      </c>
      <c r="M24" s="249">
        <v>0</v>
      </c>
      <c r="N24" s="249">
        <v>0</v>
      </c>
      <c r="O24" s="249">
        <v>0</v>
      </c>
      <c r="P24" s="249">
        <v>0</v>
      </c>
      <c r="Q24" s="249">
        <v>0</v>
      </c>
      <c r="R24" s="249">
        <v>0</v>
      </c>
      <c r="S24" s="249">
        <v>0</v>
      </c>
      <c r="T24" s="249">
        <v>0</v>
      </c>
      <c r="U24" s="249">
        <v>0</v>
      </c>
      <c r="V24" s="249">
        <v>0</v>
      </c>
      <c r="W24" s="249">
        <v>0</v>
      </c>
      <c r="X24" s="249">
        <v>0</v>
      </c>
      <c r="Y24" s="249">
        <v>0</v>
      </c>
      <c r="Z24" s="249">
        <v>0</v>
      </c>
      <c r="AA24" s="249">
        <v>0</v>
      </c>
      <c r="AB24" s="249">
        <v>0</v>
      </c>
      <c r="AC24" s="249">
        <v>0</v>
      </c>
      <c r="AD24" s="249">
        <v>0</v>
      </c>
      <c r="AE24" s="249">
        <v>0</v>
      </c>
      <c r="AF24" s="249">
        <v>-148.0250665296449</v>
      </c>
      <c r="AG24" s="249">
        <v>-113.97577374311049</v>
      </c>
      <c r="AH24" s="249">
        <v>20</v>
      </c>
      <c r="AI24" s="249">
        <v>10</v>
      </c>
      <c r="AJ24" s="249">
        <v>1.5</v>
      </c>
      <c r="AK24" s="159" t="s">
        <v>245</v>
      </c>
      <c r="AL24" s="159" t="s">
        <v>230</v>
      </c>
      <c r="AM24" s="159"/>
      <c r="AN24" s="159">
        <v>0</v>
      </c>
      <c r="AO24" s="159">
        <v>16</v>
      </c>
      <c r="AP24" s="159"/>
      <c r="AQ24" s="159"/>
      <c r="AR24" s="159"/>
      <c r="AS24" s="159"/>
      <c r="AT24" s="159">
        <v>6</v>
      </c>
      <c r="AU24" s="159">
        <v>7</v>
      </c>
      <c r="AV24" s="159"/>
      <c r="AW24" s="159"/>
      <c r="AX24" s="159"/>
      <c r="AY24" s="159">
        <v>1</v>
      </c>
      <c r="AZ24" s="159"/>
      <c r="BA24" s="159"/>
      <c r="BB24" s="159">
        <v>314</v>
      </c>
      <c r="BC24" s="159"/>
      <c r="BD24" s="159"/>
      <c r="BE24" s="159"/>
      <c r="BF24" s="159"/>
      <c r="BG24" s="159">
        <v>590</v>
      </c>
      <c r="BH24" s="159"/>
      <c r="BI24" s="159"/>
      <c r="BJ24" s="159"/>
      <c r="BK24" s="159"/>
      <c r="BL24" s="159"/>
      <c r="BM24" s="159"/>
      <c r="BN24" s="159"/>
      <c r="BO24" s="159"/>
      <c r="BP24" s="159"/>
      <c r="BQ24" s="159"/>
      <c r="BR24" s="159"/>
      <c r="BS24" s="159"/>
      <c r="BT24" s="159"/>
      <c r="BU24" s="159"/>
      <c r="BV24" s="159"/>
      <c r="BW24" s="159"/>
      <c r="BX24" s="159"/>
      <c r="BY24" s="159"/>
      <c r="BZ24" s="159"/>
      <c r="CA24" s="159"/>
      <c r="CB24" s="159"/>
      <c r="CC24" s="159"/>
      <c r="CD24" s="159">
        <v>0</v>
      </c>
      <c r="CE24" s="159"/>
      <c r="CF24" s="159"/>
      <c r="CG24" s="159">
        <v>-2.36</v>
      </c>
      <c r="CH24" s="159">
        <v>23</v>
      </c>
    </row>
    <row r="25" spans="1:86" x14ac:dyDescent="0.25">
      <c r="A25" s="241" t="s">
        <v>636</v>
      </c>
      <c r="B25" s="241">
        <v>0</v>
      </c>
      <c r="C25" s="241">
        <v>850</v>
      </c>
      <c r="D25" s="241">
        <v>100</v>
      </c>
      <c r="E25" s="241" t="s">
        <v>55</v>
      </c>
      <c r="F25" s="241" t="s">
        <v>50</v>
      </c>
      <c r="G25" s="265">
        <v>8960000</v>
      </c>
      <c r="H25" s="250">
        <v>0</v>
      </c>
      <c r="I25" s="250">
        <v>100</v>
      </c>
      <c r="J25" s="250">
        <v>0</v>
      </c>
      <c r="K25" s="250">
        <v>0</v>
      </c>
      <c r="L25" s="250">
        <v>0</v>
      </c>
      <c r="M25" s="250">
        <v>0</v>
      </c>
      <c r="N25" s="250">
        <v>0</v>
      </c>
      <c r="O25" s="250">
        <v>0</v>
      </c>
      <c r="P25" s="250">
        <v>0</v>
      </c>
      <c r="Q25" s="250">
        <v>0</v>
      </c>
      <c r="R25" s="250">
        <v>0</v>
      </c>
      <c r="S25" s="250">
        <v>0</v>
      </c>
      <c r="T25" s="250">
        <v>0</v>
      </c>
      <c r="U25" s="250">
        <v>0</v>
      </c>
      <c r="V25" s="250">
        <v>0</v>
      </c>
      <c r="W25" s="250">
        <v>0</v>
      </c>
      <c r="X25" s="250">
        <v>0</v>
      </c>
      <c r="Y25" s="250">
        <v>0</v>
      </c>
      <c r="Z25" s="250">
        <v>0</v>
      </c>
      <c r="AA25" s="250">
        <v>0</v>
      </c>
      <c r="AB25" s="250">
        <v>0</v>
      </c>
      <c r="AC25" s="250">
        <v>0</v>
      </c>
      <c r="AD25" s="250">
        <v>0</v>
      </c>
      <c r="AE25" s="250">
        <v>0</v>
      </c>
      <c r="AF25" s="250">
        <v>-144.59476121179804</v>
      </c>
      <c r="AG25" s="250">
        <v>-112.01341460271253</v>
      </c>
      <c r="AH25" s="250">
        <v>20</v>
      </c>
      <c r="AI25" s="250">
        <v>10</v>
      </c>
      <c r="AJ25" s="250">
        <v>2</v>
      </c>
      <c r="AK25" s="241" t="s">
        <v>245</v>
      </c>
      <c r="AL25" s="241" t="s">
        <v>230</v>
      </c>
      <c r="AM25" s="241"/>
      <c r="AN25" s="241">
        <v>0</v>
      </c>
      <c r="AO25" s="241">
        <v>16</v>
      </c>
      <c r="AP25" s="241"/>
      <c r="AQ25" s="241"/>
      <c r="AR25" s="241"/>
      <c r="AS25" s="241"/>
      <c r="AT25" s="241">
        <v>6</v>
      </c>
      <c r="AU25" s="241">
        <v>7</v>
      </c>
      <c r="AV25" s="241"/>
      <c r="AW25" s="241"/>
      <c r="AX25" s="241"/>
      <c r="AY25" s="241">
        <v>1</v>
      </c>
      <c r="AZ25" s="241"/>
      <c r="BA25" s="241"/>
      <c r="BB25" s="241">
        <v>314</v>
      </c>
      <c r="BC25" s="241"/>
      <c r="BD25" s="241"/>
      <c r="BE25" s="241"/>
      <c r="BF25" s="241"/>
      <c r="BG25" s="241">
        <v>590</v>
      </c>
      <c r="BH25" s="241"/>
      <c r="BI25" s="241"/>
      <c r="BJ25" s="241"/>
      <c r="BK25" s="241"/>
      <c r="BL25" s="241"/>
      <c r="BM25" s="241"/>
      <c r="BN25" s="241"/>
      <c r="BO25" s="241"/>
      <c r="BP25" s="241"/>
      <c r="BQ25" s="241"/>
      <c r="BR25" s="241"/>
      <c r="BS25" s="241"/>
      <c r="BT25" s="241"/>
      <c r="BU25" s="241"/>
      <c r="BV25" s="241"/>
      <c r="BW25" s="241"/>
      <c r="BX25" s="241"/>
      <c r="BY25" s="241"/>
      <c r="BZ25" s="241"/>
      <c r="CA25" s="241"/>
      <c r="CB25" s="241"/>
      <c r="CC25" s="241"/>
      <c r="CD25" s="241">
        <v>0</v>
      </c>
      <c r="CE25" s="241"/>
      <c r="CF25" s="241"/>
      <c r="CG25" s="241">
        <v>-0.74</v>
      </c>
      <c r="CH25" s="241">
        <v>24</v>
      </c>
    </row>
    <row r="26" spans="1:86" x14ac:dyDescent="0.25">
      <c r="A26" s="159" t="s">
        <v>637</v>
      </c>
      <c r="B26" s="159">
        <v>0</v>
      </c>
      <c r="C26" s="159">
        <v>850</v>
      </c>
      <c r="D26" s="159">
        <v>500</v>
      </c>
      <c r="E26" s="159" t="s">
        <v>55</v>
      </c>
      <c r="F26" s="159" t="s">
        <v>50</v>
      </c>
      <c r="G26" s="264">
        <v>8960000</v>
      </c>
      <c r="H26" s="249">
        <v>0</v>
      </c>
      <c r="I26" s="249">
        <v>100</v>
      </c>
      <c r="J26" s="249">
        <v>0</v>
      </c>
      <c r="K26" s="249">
        <v>0</v>
      </c>
      <c r="L26" s="249">
        <v>0</v>
      </c>
      <c r="M26" s="249">
        <v>0</v>
      </c>
      <c r="N26" s="249">
        <v>0</v>
      </c>
      <c r="O26" s="249">
        <v>0</v>
      </c>
      <c r="P26" s="249">
        <v>0</v>
      </c>
      <c r="Q26" s="249">
        <v>0</v>
      </c>
      <c r="R26" s="249">
        <v>0</v>
      </c>
      <c r="S26" s="249">
        <v>0</v>
      </c>
      <c r="T26" s="249">
        <v>0</v>
      </c>
      <c r="U26" s="249">
        <v>0</v>
      </c>
      <c r="V26" s="249">
        <v>0</v>
      </c>
      <c r="W26" s="249">
        <v>0</v>
      </c>
      <c r="X26" s="249">
        <v>0</v>
      </c>
      <c r="Y26" s="249">
        <v>0</v>
      </c>
      <c r="Z26" s="249">
        <v>0</v>
      </c>
      <c r="AA26" s="249">
        <v>0</v>
      </c>
      <c r="AB26" s="249">
        <v>0</v>
      </c>
      <c r="AC26" s="249">
        <v>0</v>
      </c>
      <c r="AD26" s="249">
        <v>0</v>
      </c>
      <c r="AE26" s="249">
        <v>0</v>
      </c>
      <c r="AF26" s="249">
        <v>-144.59476121179804</v>
      </c>
      <c r="AG26" s="249">
        <v>-112.01341460271253</v>
      </c>
      <c r="AH26" s="249">
        <v>20</v>
      </c>
      <c r="AI26" s="249">
        <v>10</v>
      </c>
      <c r="AJ26" s="249">
        <v>2</v>
      </c>
      <c r="AK26" s="159" t="s">
        <v>245</v>
      </c>
      <c r="AL26" s="159" t="s">
        <v>230</v>
      </c>
      <c r="AM26" s="159"/>
      <c r="AN26" s="159">
        <v>0</v>
      </c>
      <c r="AO26" s="159">
        <v>16</v>
      </c>
      <c r="AP26" s="159"/>
      <c r="AQ26" s="159"/>
      <c r="AR26" s="159"/>
      <c r="AS26" s="159"/>
      <c r="AT26" s="159">
        <v>6</v>
      </c>
      <c r="AU26" s="159">
        <v>7</v>
      </c>
      <c r="AV26" s="159"/>
      <c r="AW26" s="159"/>
      <c r="AX26" s="159"/>
      <c r="AY26" s="159">
        <v>1</v>
      </c>
      <c r="AZ26" s="159"/>
      <c r="BA26" s="159"/>
      <c r="BB26" s="159">
        <v>314</v>
      </c>
      <c r="BC26" s="159"/>
      <c r="BD26" s="159"/>
      <c r="BE26" s="159"/>
      <c r="BF26" s="159"/>
      <c r="BG26" s="159">
        <v>590</v>
      </c>
      <c r="BH26" s="159"/>
      <c r="BI26" s="159"/>
      <c r="BJ26" s="159"/>
      <c r="BK26" s="159"/>
      <c r="BL26" s="159"/>
      <c r="BM26" s="159"/>
      <c r="BN26" s="159"/>
      <c r="BO26" s="159"/>
      <c r="BP26" s="159"/>
      <c r="BQ26" s="159"/>
      <c r="BR26" s="159"/>
      <c r="BS26" s="159"/>
      <c r="BT26" s="159"/>
      <c r="BU26" s="159"/>
      <c r="BV26" s="159"/>
      <c r="BW26" s="159"/>
      <c r="BX26" s="159"/>
      <c r="BY26" s="159"/>
      <c r="BZ26" s="159"/>
      <c r="CA26" s="159"/>
      <c r="CB26" s="159"/>
      <c r="CC26" s="159"/>
      <c r="CD26" s="159">
        <v>0</v>
      </c>
      <c r="CE26" s="159"/>
      <c r="CF26" s="159"/>
      <c r="CG26" s="159">
        <v>-0.96</v>
      </c>
      <c r="CH26" s="159">
        <v>25</v>
      </c>
    </row>
    <row r="27" spans="1:86" ht="16.5" thickBot="1" x14ac:dyDescent="0.3">
      <c r="A27" s="242" t="s">
        <v>638</v>
      </c>
      <c r="B27" s="242">
        <v>0</v>
      </c>
      <c r="C27" s="242">
        <v>850</v>
      </c>
      <c r="D27" s="242">
        <v>2000</v>
      </c>
      <c r="E27" s="242" t="s">
        <v>55</v>
      </c>
      <c r="F27" s="242" t="s">
        <v>50</v>
      </c>
      <c r="G27" s="266">
        <v>8960000</v>
      </c>
      <c r="H27" s="251">
        <v>0</v>
      </c>
      <c r="I27" s="251">
        <v>100</v>
      </c>
      <c r="J27" s="251">
        <v>0</v>
      </c>
      <c r="K27" s="251">
        <v>0</v>
      </c>
      <c r="L27" s="251">
        <v>0</v>
      </c>
      <c r="M27" s="251">
        <v>0</v>
      </c>
      <c r="N27" s="251">
        <v>0</v>
      </c>
      <c r="O27" s="251">
        <v>0</v>
      </c>
      <c r="P27" s="251">
        <v>0</v>
      </c>
      <c r="Q27" s="251">
        <v>0</v>
      </c>
      <c r="R27" s="251">
        <v>0</v>
      </c>
      <c r="S27" s="251">
        <v>0</v>
      </c>
      <c r="T27" s="251">
        <v>0</v>
      </c>
      <c r="U27" s="251">
        <v>0</v>
      </c>
      <c r="V27" s="251">
        <v>0</v>
      </c>
      <c r="W27" s="251">
        <v>0</v>
      </c>
      <c r="X27" s="251">
        <v>0</v>
      </c>
      <c r="Y27" s="251">
        <v>0</v>
      </c>
      <c r="Z27" s="251">
        <v>0</v>
      </c>
      <c r="AA27" s="251">
        <v>0</v>
      </c>
      <c r="AB27" s="251">
        <v>0</v>
      </c>
      <c r="AC27" s="251">
        <v>0</v>
      </c>
      <c r="AD27" s="251">
        <v>0</v>
      </c>
      <c r="AE27" s="251">
        <v>0</v>
      </c>
      <c r="AF27" s="251">
        <v>-144.59476121179804</v>
      </c>
      <c r="AG27" s="251">
        <v>-112.01341460271253</v>
      </c>
      <c r="AH27" s="251">
        <v>20</v>
      </c>
      <c r="AI27" s="251">
        <v>10</v>
      </c>
      <c r="AJ27" s="251">
        <v>2</v>
      </c>
      <c r="AK27" s="242" t="s">
        <v>245</v>
      </c>
      <c r="AL27" s="242" t="s">
        <v>230</v>
      </c>
      <c r="AM27" s="242"/>
      <c r="AN27" s="242">
        <v>0</v>
      </c>
      <c r="AO27" s="242">
        <v>16</v>
      </c>
      <c r="AP27" s="242"/>
      <c r="AQ27" s="242"/>
      <c r="AR27" s="242"/>
      <c r="AS27" s="242"/>
      <c r="AT27" s="242">
        <v>6</v>
      </c>
      <c r="AU27" s="242">
        <v>7</v>
      </c>
      <c r="AV27" s="242"/>
      <c r="AW27" s="242"/>
      <c r="AX27" s="242"/>
      <c r="AY27" s="242">
        <v>1</v>
      </c>
      <c r="AZ27" s="242"/>
      <c r="BA27" s="242"/>
      <c r="BB27" s="242">
        <v>314</v>
      </c>
      <c r="BC27" s="242"/>
      <c r="BD27" s="242"/>
      <c r="BE27" s="242"/>
      <c r="BF27" s="242"/>
      <c r="BG27" s="242">
        <v>590</v>
      </c>
      <c r="BH27" s="242"/>
      <c r="BI27" s="242"/>
      <c r="BJ27" s="242"/>
      <c r="BK27" s="242"/>
      <c r="BL27" s="242"/>
      <c r="BM27" s="242"/>
      <c r="BN27" s="242"/>
      <c r="BO27" s="242"/>
      <c r="BP27" s="242"/>
      <c r="BQ27" s="242"/>
      <c r="BR27" s="242"/>
      <c r="BS27" s="242"/>
      <c r="BT27" s="242"/>
      <c r="BU27" s="242"/>
      <c r="BV27" s="242"/>
      <c r="BW27" s="242"/>
      <c r="BX27" s="242"/>
      <c r="BY27" s="242"/>
      <c r="BZ27" s="242"/>
      <c r="CA27" s="242"/>
      <c r="CB27" s="242"/>
      <c r="CC27" s="242"/>
      <c r="CD27" s="242">
        <v>0</v>
      </c>
      <c r="CE27" s="242"/>
      <c r="CF27" s="242"/>
      <c r="CG27" s="242">
        <v>-1.5</v>
      </c>
      <c r="CH27" s="242">
        <v>26</v>
      </c>
    </row>
    <row r="28" spans="1:86" x14ac:dyDescent="0.25">
      <c r="A28" s="159" t="s">
        <v>639</v>
      </c>
      <c r="B28" s="159">
        <v>0</v>
      </c>
      <c r="C28" s="159">
        <v>550</v>
      </c>
      <c r="D28" s="159">
        <v>100</v>
      </c>
      <c r="E28" s="159" t="s">
        <v>55</v>
      </c>
      <c r="F28" s="159" t="s">
        <v>50</v>
      </c>
      <c r="G28" s="264">
        <v>8960000</v>
      </c>
      <c r="H28" s="249">
        <v>0</v>
      </c>
      <c r="I28" s="249">
        <v>100</v>
      </c>
      <c r="J28" s="249">
        <v>0</v>
      </c>
      <c r="K28" s="249">
        <v>0</v>
      </c>
      <c r="L28" s="249">
        <v>0</v>
      </c>
      <c r="M28" s="249">
        <v>0</v>
      </c>
      <c r="N28" s="249">
        <v>0</v>
      </c>
      <c r="O28" s="249">
        <v>0</v>
      </c>
      <c r="P28" s="249">
        <v>0</v>
      </c>
      <c r="Q28" s="249">
        <v>0</v>
      </c>
      <c r="R28" s="249">
        <v>0</v>
      </c>
      <c r="S28" s="249">
        <v>0</v>
      </c>
      <c r="T28" s="249">
        <v>0</v>
      </c>
      <c r="U28" s="249">
        <v>0</v>
      </c>
      <c r="V28" s="249">
        <v>0</v>
      </c>
      <c r="W28" s="249">
        <v>0</v>
      </c>
      <c r="X28" s="249">
        <v>0</v>
      </c>
      <c r="Y28" s="249">
        <v>0</v>
      </c>
      <c r="Z28" s="249">
        <v>0</v>
      </c>
      <c r="AA28" s="249">
        <v>0</v>
      </c>
      <c r="AB28" s="249">
        <v>0</v>
      </c>
      <c r="AC28" s="249">
        <v>0</v>
      </c>
      <c r="AD28" s="249">
        <v>0</v>
      </c>
      <c r="AE28" s="249">
        <v>0</v>
      </c>
      <c r="AF28" s="249">
        <v>-154.88567716533856</v>
      </c>
      <c r="AG28" s="249">
        <v>-117.90049202390642</v>
      </c>
      <c r="AH28" s="249">
        <v>20</v>
      </c>
      <c r="AI28" s="249">
        <v>10</v>
      </c>
      <c r="AJ28" s="249">
        <v>1.5</v>
      </c>
      <c r="AK28" s="159" t="s">
        <v>228</v>
      </c>
      <c r="AL28" s="159" t="s">
        <v>230</v>
      </c>
      <c r="AM28" s="159"/>
      <c r="AN28" s="159">
        <v>0</v>
      </c>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c r="BK28" s="159"/>
      <c r="BL28" s="159"/>
      <c r="BM28" s="159"/>
      <c r="BN28" s="159"/>
      <c r="BO28" s="159"/>
      <c r="BP28" s="159"/>
      <c r="BQ28" s="159"/>
      <c r="BR28" s="159"/>
      <c r="BS28" s="159"/>
      <c r="BT28" s="159"/>
      <c r="BU28" s="159"/>
      <c r="BV28" s="159"/>
      <c r="BW28" s="159"/>
      <c r="BX28" s="159"/>
      <c r="BY28" s="159"/>
      <c r="BZ28" s="159"/>
      <c r="CA28" s="159"/>
      <c r="CB28" s="159"/>
      <c r="CC28" s="159"/>
      <c r="CD28" s="159">
        <v>0</v>
      </c>
      <c r="CE28" s="159"/>
      <c r="CF28" s="159"/>
      <c r="CG28" s="159">
        <v>-0.48</v>
      </c>
      <c r="CH28" s="159">
        <v>27</v>
      </c>
    </row>
    <row r="29" spans="1:86" x14ac:dyDescent="0.25">
      <c r="A29" s="241" t="s">
        <v>640</v>
      </c>
      <c r="B29" s="241">
        <v>0</v>
      </c>
      <c r="C29" s="241">
        <v>550</v>
      </c>
      <c r="D29" s="241">
        <v>500</v>
      </c>
      <c r="E29" s="241" t="s">
        <v>55</v>
      </c>
      <c r="F29" s="241" t="s">
        <v>50</v>
      </c>
      <c r="G29" s="265">
        <v>8960000</v>
      </c>
      <c r="H29" s="250">
        <v>0</v>
      </c>
      <c r="I29" s="250">
        <v>100</v>
      </c>
      <c r="J29" s="250">
        <v>0</v>
      </c>
      <c r="K29" s="250">
        <v>0</v>
      </c>
      <c r="L29" s="250">
        <v>0</v>
      </c>
      <c r="M29" s="250">
        <v>0</v>
      </c>
      <c r="N29" s="250">
        <v>0</v>
      </c>
      <c r="O29" s="250">
        <v>0</v>
      </c>
      <c r="P29" s="250">
        <v>0</v>
      </c>
      <c r="Q29" s="250">
        <v>0</v>
      </c>
      <c r="R29" s="250">
        <v>0</v>
      </c>
      <c r="S29" s="250">
        <v>0</v>
      </c>
      <c r="T29" s="250">
        <v>0</v>
      </c>
      <c r="U29" s="250">
        <v>0</v>
      </c>
      <c r="V29" s="250">
        <v>0</v>
      </c>
      <c r="W29" s="250">
        <v>0</v>
      </c>
      <c r="X29" s="250">
        <v>0</v>
      </c>
      <c r="Y29" s="250">
        <v>0</v>
      </c>
      <c r="Z29" s="250">
        <v>0</v>
      </c>
      <c r="AA29" s="250">
        <v>0</v>
      </c>
      <c r="AB29" s="250">
        <v>0</v>
      </c>
      <c r="AC29" s="250">
        <v>0</v>
      </c>
      <c r="AD29" s="250">
        <v>0</v>
      </c>
      <c r="AE29" s="250">
        <v>0</v>
      </c>
      <c r="AF29" s="250">
        <v>-154.88567716533856</v>
      </c>
      <c r="AG29" s="250">
        <v>-117.90049202390642</v>
      </c>
      <c r="AH29" s="250">
        <v>20</v>
      </c>
      <c r="AI29" s="250">
        <v>10</v>
      </c>
      <c r="AJ29" s="250">
        <v>1.5</v>
      </c>
      <c r="AK29" s="241" t="s">
        <v>228</v>
      </c>
      <c r="AL29" s="241" t="s">
        <v>230</v>
      </c>
      <c r="AM29" s="241"/>
      <c r="AN29" s="241">
        <v>0</v>
      </c>
      <c r="AO29" s="241"/>
      <c r="AP29" s="241"/>
      <c r="AQ29" s="241"/>
      <c r="AR29" s="241"/>
      <c r="AS29" s="241"/>
      <c r="AT29" s="241"/>
      <c r="AU29" s="241"/>
      <c r="AV29" s="241"/>
      <c r="AW29" s="241"/>
      <c r="AX29" s="241"/>
      <c r="AY29" s="241"/>
      <c r="AZ29" s="241"/>
      <c r="BA29" s="241"/>
      <c r="BB29" s="241"/>
      <c r="BC29" s="241"/>
      <c r="BD29" s="241"/>
      <c r="BE29" s="241"/>
      <c r="BF29" s="241"/>
      <c r="BG29" s="241"/>
      <c r="BH29" s="241"/>
      <c r="BI29" s="241"/>
      <c r="BJ29" s="241"/>
      <c r="BK29" s="241"/>
      <c r="BL29" s="241"/>
      <c r="BM29" s="241"/>
      <c r="BN29" s="241"/>
      <c r="BO29" s="241"/>
      <c r="BP29" s="241"/>
      <c r="BQ29" s="241"/>
      <c r="BR29" s="241"/>
      <c r="BS29" s="241"/>
      <c r="BT29" s="241"/>
      <c r="BU29" s="241"/>
      <c r="BV29" s="241"/>
      <c r="BW29" s="241"/>
      <c r="BX29" s="241"/>
      <c r="BY29" s="241"/>
      <c r="BZ29" s="241"/>
      <c r="CA29" s="241"/>
      <c r="CB29" s="241"/>
      <c r="CC29" s="241"/>
      <c r="CD29" s="241">
        <v>0</v>
      </c>
      <c r="CE29" s="241"/>
      <c r="CF29" s="241"/>
      <c r="CG29" s="241">
        <v>-0.84</v>
      </c>
      <c r="CH29" s="241">
        <v>28</v>
      </c>
    </row>
    <row r="30" spans="1:86" x14ac:dyDescent="0.25">
      <c r="A30" s="159" t="s">
        <v>641</v>
      </c>
      <c r="B30" s="159">
        <v>0</v>
      </c>
      <c r="C30" s="159">
        <v>550</v>
      </c>
      <c r="D30" s="159">
        <v>2000</v>
      </c>
      <c r="E30" s="159" t="s">
        <v>55</v>
      </c>
      <c r="F30" s="159" t="s">
        <v>50</v>
      </c>
      <c r="G30" s="264">
        <v>8960000</v>
      </c>
      <c r="H30" s="249">
        <v>0</v>
      </c>
      <c r="I30" s="249">
        <v>100</v>
      </c>
      <c r="J30" s="249">
        <v>0</v>
      </c>
      <c r="K30" s="249">
        <v>0</v>
      </c>
      <c r="L30" s="249">
        <v>0</v>
      </c>
      <c r="M30" s="249">
        <v>0</v>
      </c>
      <c r="N30" s="249">
        <v>0</v>
      </c>
      <c r="O30" s="249">
        <v>0</v>
      </c>
      <c r="P30" s="249">
        <v>0</v>
      </c>
      <c r="Q30" s="249">
        <v>0</v>
      </c>
      <c r="R30" s="249">
        <v>0</v>
      </c>
      <c r="S30" s="249">
        <v>0</v>
      </c>
      <c r="T30" s="249">
        <v>0</v>
      </c>
      <c r="U30" s="249">
        <v>0</v>
      </c>
      <c r="V30" s="249">
        <v>0</v>
      </c>
      <c r="W30" s="249">
        <v>0</v>
      </c>
      <c r="X30" s="249">
        <v>0</v>
      </c>
      <c r="Y30" s="249">
        <v>0</v>
      </c>
      <c r="Z30" s="249">
        <v>0</v>
      </c>
      <c r="AA30" s="249">
        <v>0</v>
      </c>
      <c r="AB30" s="249">
        <v>0</v>
      </c>
      <c r="AC30" s="249">
        <v>0</v>
      </c>
      <c r="AD30" s="249">
        <v>0</v>
      </c>
      <c r="AE30" s="249">
        <v>0</v>
      </c>
      <c r="AF30" s="249">
        <v>-154.88567716533856</v>
      </c>
      <c r="AG30" s="249">
        <v>-117.90049202390642</v>
      </c>
      <c r="AH30" s="249">
        <v>20</v>
      </c>
      <c r="AI30" s="249">
        <v>10</v>
      </c>
      <c r="AJ30" s="249">
        <v>1.5</v>
      </c>
      <c r="AK30" s="159" t="s">
        <v>228</v>
      </c>
      <c r="AL30" s="159" t="s">
        <v>230</v>
      </c>
      <c r="AM30" s="159"/>
      <c r="AN30" s="159">
        <v>0</v>
      </c>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c r="BM30" s="159"/>
      <c r="BN30" s="159"/>
      <c r="BO30" s="159"/>
      <c r="BP30" s="159"/>
      <c r="BQ30" s="159"/>
      <c r="BR30" s="159"/>
      <c r="BS30" s="159"/>
      <c r="BT30" s="159"/>
      <c r="BU30" s="159"/>
      <c r="BV30" s="159"/>
      <c r="BW30" s="159"/>
      <c r="BX30" s="159"/>
      <c r="BY30" s="159"/>
      <c r="BZ30" s="159"/>
      <c r="CA30" s="159"/>
      <c r="CB30" s="159"/>
      <c r="CC30" s="159"/>
      <c r="CD30" s="159">
        <v>0</v>
      </c>
      <c r="CE30" s="159"/>
      <c r="CF30" s="159"/>
      <c r="CG30" s="159">
        <v>-0.81</v>
      </c>
      <c r="CH30" s="159">
        <v>29</v>
      </c>
    </row>
    <row r="31" spans="1:86" x14ac:dyDescent="0.25">
      <c r="A31" s="241" t="s">
        <v>642</v>
      </c>
      <c r="B31" s="241">
        <v>0</v>
      </c>
      <c r="C31" s="241">
        <v>650</v>
      </c>
      <c r="D31" s="241">
        <v>100</v>
      </c>
      <c r="E31" s="241" t="s">
        <v>55</v>
      </c>
      <c r="F31" s="241" t="s">
        <v>50</v>
      </c>
      <c r="G31" s="265">
        <v>8960000</v>
      </c>
      <c r="H31" s="250">
        <v>0</v>
      </c>
      <c r="I31" s="250">
        <v>100</v>
      </c>
      <c r="J31" s="250">
        <v>0</v>
      </c>
      <c r="K31" s="250">
        <v>0</v>
      </c>
      <c r="L31" s="250">
        <v>0</v>
      </c>
      <c r="M31" s="250">
        <v>0</v>
      </c>
      <c r="N31" s="250">
        <v>0</v>
      </c>
      <c r="O31" s="250">
        <v>0</v>
      </c>
      <c r="P31" s="250">
        <v>0</v>
      </c>
      <c r="Q31" s="250">
        <v>0</v>
      </c>
      <c r="R31" s="250">
        <v>0</v>
      </c>
      <c r="S31" s="250">
        <v>0</v>
      </c>
      <c r="T31" s="250">
        <v>0</v>
      </c>
      <c r="U31" s="250">
        <v>0</v>
      </c>
      <c r="V31" s="250">
        <v>0</v>
      </c>
      <c r="W31" s="250">
        <v>0</v>
      </c>
      <c r="X31" s="250">
        <v>0</v>
      </c>
      <c r="Y31" s="250">
        <v>0</v>
      </c>
      <c r="Z31" s="250">
        <v>0</v>
      </c>
      <c r="AA31" s="250">
        <v>0</v>
      </c>
      <c r="AB31" s="250">
        <v>0</v>
      </c>
      <c r="AC31" s="250">
        <v>0</v>
      </c>
      <c r="AD31" s="250">
        <v>0</v>
      </c>
      <c r="AE31" s="250">
        <v>0</v>
      </c>
      <c r="AF31" s="250">
        <v>-151.45537184749173</v>
      </c>
      <c r="AG31" s="250">
        <v>-115.93813288350846</v>
      </c>
      <c r="AH31" s="250">
        <v>20</v>
      </c>
      <c r="AI31" s="250">
        <v>10</v>
      </c>
      <c r="AJ31" s="250">
        <v>1.5</v>
      </c>
      <c r="AK31" s="241" t="s">
        <v>228</v>
      </c>
      <c r="AL31" s="241" t="s">
        <v>230</v>
      </c>
      <c r="AM31" s="241"/>
      <c r="AN31" s="241">
        <v>0</v>
      </c>
      <c r="AO31" s="241"/>
      <c r="AP31" s="241"/>
      <c r="AQ31" s="241"/>
      <c r="AR31" s="241"/>
      <c r="AS31" s="241"/>
      <c r="AT31" s="241"/>
      <c r="AU31" s="241"/>
      <c r="AV31" s="241"/>
      <c r="AW31" s="241"/>
      <c r="AX31" s="241"/>
      <c r="AY31" s="241"/>
      <c r="AZ31" s="241"/>
      <c r="BA31" s="241"/>
      <c r="BB31" s="241"/>
      <c r="BC31" s="241"/>
      <c r="BD31" s="241"/>
      <c r="BE31" s="241"/>
      <c r="BF31" s="241"/>
      <c r="BG31" s="241"/>
      <c r="BH31" s="241"/>
      <c r="BI31" s="241"/>
      <c r="BJ31" s="241"/>
      <c r="BK31" s="241"/>
      <c r="BL31" s="241"/>
      <c r="BM31" s="241"/>
      <c r="BN31" s="241"/>
      <c r="BO31" s="241"/>
      <c r="BP31" s="241"/>
      <c r="BQ31" s="241"/>
      <c r="BR31" s="241"/>
      <c r="BS31" s="241"/>
      <c r="BT31" s="241"/>
      <c r="BU31" s="241"/>
      <c r="BV31" s="241"/>
      <c r="BW31" s="241"/>
      <c r="BX31" s="241"/>
      <c r="BY31" s="241"/>
      <c r="BZ31" s="241"/>
      <c r="CA31" s="241"/>
      <c r="CB31" s="241"/>
      <c r="CC31" s="241"/>
      <c r="CD31" s="241">
        <v>0</v>
      </c>
      <c r="CE31" s="241"/>
      <c r="CF31" s="241"/>
      <c r="CG31" s="241">
        <v>-0.95</v>
      </c>
      <c r="CH31" s="241">
        <v>30</v>
      </c>
    </row>
    <row r="32" spans="1:86" x14ac:dyDescent="0.25">
      <c r="A32" s="159" t="s">
        <v>643</v>
      </c>
      <c r="B32" s="159">
        <v>0</v>
      </c>
      <c r="C32" s="159">
        <v>650</v>
      </c>
      <c r="D32" s="159">
        <v>500</v>
      </c>
      <c r="E32" s="159" t="s">
        <v>55</v>
      </c>
      <c r="F32" s="159" t="s">
        <v>50</v>
      </c>
      <c r="G32" s="264">
        <v>8960000</v>
      </c>
      <c r="H32" s="249">
        <v>0</v>
      </c>
      <c r="I32" s="249">
        <v>100</v>
      </c>
      <c r="J32" s="249">
        <v>0</v>
      </c>
      <c r="K32" s="249">
        <v>0</v>
      </c>
      <c r="L32" s="249">
        <v>0</v>
      </c>
      <c r="M32" s="249">
        <v>0</v>
      </c>
      <c r="N32" s="249">
        <v>0</v>
      </c>
      <c r="O32" s="249">
        <v>0</v>
      </c>
      <c r="P32" s="249">
        <v>0</v>
      </c>
      <c r="Q32" s="249">
        <v>0</v>
      </c>
      <c r="R32" s="249">
        <v>0</v>
      </c>
      <c r="S32" s="249">
        <v>0</v>
      </c>
      <c r="T32" s="249">
        <v>0</v>
      </c>
      <c r="U32" s="249">
        <v>0</v>
      </c>
      <c r="V32" s="249">
        <v>0</v>
      </c>
      <c r="W32" s="249">
        <v>0</v>
      </c>
      <c r="X32" s="249">
        <v>0</v>
      </c>
      <c r="Y32" s="249">
        <v>0</v>
      </c>
      <c r="Z32" s="249">
        <v>0</v>
      </c>
      <c r="AA32" s="249">
        <v>0</v>
      </c>
      <c r="AB32" s="249">
        <v>0</v>
      </c>
      <c r="AC32" s="249">
        <v>0</v>
      </c>
      <c r="AD32" s="249">
        <v>0</v>
      </c>
      <c r="AE32" s="249">
        <v>0</v>
      </c>
      <c r="AF32" s="249">
        <v>-151.45537184749173</v>
      </c>
      <c r="AG32" s="249">
        <v>-115.93813288350846</v>
      </c>
      <c r="AH32" s="249">
        <v>20</v>
      </c>
      <c r="AI32" s="249">
        <v>10</v>
      </c>
      <c r="AJ32" s="249">
        <v>1.5</v>
      </c>
      <c r="AK32" s="159" t="s">
        <v>228</v>
      </c>
      <c r="AL32" s="159" t="s">
        <v>230</v>
      </c>
      <c r="AM32" s="159"/>
      <c r="AN32" s="159">
        <v>0</v>
      </c>
      <c r="AO32" s="159"/>
      <c r="AP32" s="159"/>
      <c r="AQ32" s="159"/>
      <c r="AR32" s="159"/>
      <c r="AS32" s="159"/>
      <c r="AT32" s="159"/>
      <c r="AU32" s="159"/>
      <c r="AV32" s="159"/>
      <c r="AW32" s="159"/>
      <c r="AX32" s="159"/>
      <c r="AY32" s="159"/>
      <c r="AZ32" s="159"/>
      <c r="BA32" s="159"/>
      <c r="BB32" s="159"/>
      <c r="BC32" s="159"/>
      <c r="BD32" s="159"/>
      <c r="BE32" s="159"/>
      <c r="BF32" s="159"/>
      <c r="BG32" s="159"/>
      <c r="BH32" s="159"/>
      <c r="BI32" s="159"/>
      <c r="BJ32" s="159"/>
      <c r="BK32" s="159"/>
      <c r="BL32" s="159"/>
      <c r="BM32" s="159"/>
      <c r="BN32" s="159"/>
      <c r="BO32" s="159"/>
      <c r="BP32" s="159"/>
      <c r="BQ32" s="159"/>
      <c r="BR32" s="159"/>
      <c r="BS32" s="159"/>
      <c r="BT32" s="159"/>
      <c r="BU32" s="159"/>
      <c r="BV32" s="159"/>
      <c r="BW32" s="159"/>
      <c r="BX32" s="159"/>
      <c r="BY32" s="159"/>
      <c r="BZ32" s="159"/>
      <c r="CA32" s="159"/>
      <c r="CB32" s="159"/>
      <c r="CC32" s="159"/>
      <c r="CD32" s="159">
        <v>0</v>
      </c>
      <c r="CE32" s="159"/>
      <c r="CF32" s="159"/>
      <c r="CG32" s="159">
        <v>-1.88</v>
      </c>
      <c r="CH32" s="159">
        <v>31</v>
      </c>
    </row>
    <row r="33" spans="1:86" x14ac:dyDescent="0.25">
      <c r="A33" s="241" t="s">
        <v>644</v>
      </c>
      <c r="B33" s="241">
        <v>0</v>
      </c>
      <c r="C33" s="241">
        <v>650</v>
      </c>
      <c r="D33" s="241">
        <v>2000</v>
      </c>
      <c r="E33" s="241" t="s">
        <v>55</v>
      </c>
      <c r="F33" s="241" t="s">
        <v>50</v>
      </c>
      <c r="G33" s="265">
        <v>8960000</v>
      </c>
      <c r="H33" s="250">
        <v>0</v>
      </c>
      <c r="I33" s="250">
        <v>100</v>
      </c>
      <c r="J33" s="250">
        <v>0</v>
      </c>
      <c r="K33" s="250">
        <v>0</v>
      </c>
      <c r="L33" s="250">
        <v>0</v>
      </c>
      <c r="M33" s="250">
        <v>0</v>
      </c>
      <c r="N33" s="250">
        <v>0</v>
      </c>
      <c r="O33" s="250">
        <v>0</v>
      </c>
      <c r="P33" s="250">
        <v>0</v>
      </c>
      <c r="Q33" s="250">
        <v>0</v>
      </c>
      <c r="R33" s="250">
        <v>0</v>
      </c>
      <c r="S33" s="250">
        <v>0</v>
      </c>
      <c r="T33" s="250">
        <v>0</v>
      </c>
      <c r="U33" s="250">
        <v>0</v>
      </c>
      <c r="V33" s="250">
        <v>0</v>
      </c>
      <c r="W33" s="250">
        <v>0</v>
      </c>
      <c r="X33" s="250">
        <v>0</v>
      </c>
      <c r="Y33" s="250">
        <v>0</v>
      </c>
      <c r="Z33" s="250">
        <v>0</v>
      </c>
      <c r="AA33" s="250">
        <v>0</v>
      </c>
      <c r="AB33" s="250">
        <v>0</v>
      </c>
      <c r="AC33" s="250">
        <v>0</v>
      </c>
      <c r="AD33" s="250">
        <v>0</v>
      </c>
      <c r="AE33" s="250">
        <v>0</v>
      </c>
      <c r="AF33" s="250">
        <v>-151.45537184749173</v>
      </c>
      <c r="AG33" s="250">
        <v>-115.93813288350846</v>
      </c>
      <c r="AH33" s="250">
        <v>20</v>
      </c>
      <c r="AI33" s="250">
        <v>10</v>
      </c>
      <c r="AJ33" s="250">
        <v>1.5</v>
      </c>
      <c r="AK33" s="241" t="s">
        <v>228</v>
      </c>
      <c r="AL33" s="241" t="s">
        <v>230</v>
      </c>
      <c r="AM33" s="241"/>
      <c r="AN33" s="241">
        <v>0</v>
      </c>
      <c r="AO33" s="241"/>
      <c r="AP33" s="241"/>
      <c r="AQ33" s="241"/>
      <c r="AR33" s="241"/>
      <c r="AS33" s="241"/>
      <c r="AT33" s="241"/>
      <c r="AU33" s="241"/>
      <c r="AV33" s="241"/>
      <c r="AW33" s="241"/>
      <c r="AX33" s="241"/>
      <c r="AY33" s="241"/>
      <c r="AZ33" s="241"/>
      <c r="BA33" s="241"/>
      <c r="BB33" s="241"/>
      <c r="BC33" s="241"/>
      <c r="BD33" s="241"/>
      <c r="BE33" s="241"/>
      <c r="BF33" s="241"/>
      <c r="BG33" s="241"/>
      <c r="BH33" s="241"/>
      <c r="BI33" s="241"/>
      <c r="BJ33" s="241"/>
      <c r="BK33" s="241"/>
      <c r="BL33" s="241"/>
      <c r="BM33" s="241"/>
      <c r="BN33" s="241"/>
      <c r="BO33" s="241"/>
      <c r="BP33" s="241"/>
      <c r="BQ33" s="241"/>
      <c r="BR33" s="241"/>
      <c r="BS33" s="241"/>
      <c r="BT33" s="241"/>
      <c r="BU33" s="241"/>
      <c r="BV33" s="241"/>
      <c r="BW33" s="241"/>
      <c r="BX33" s="241"/>
      <c r="BY33" s="241"/>
      <c r="BZ33" s="241"/>
      <c r="CA33" s="241"/>
      <c r="CB33" s="241"/>
      <c r="CC33" s="241"/>
      <c r="CD33" s="241">
        <v>0</v>
      </c>
      <c r="CE33" s="241"/>
      <c r="CF33" s="241"/>
      <c r="CG33" s="241">
        <v>-0.96</v>
      </c>
      <c r="CH33" s="241">
        <v>32</v>
      </c>
    </row>
    <row r="34" spans="1:86" x14ac:dyDescent="0.25">
      <c r="A34" s="159" t="s">
        <v>645</v>
      </c>
      <c r="B34" s="159">
        <v>0</v>
      </c>
      <c r="C34" s="159">
        <v>750</v>
      </c>
      <c r="D34" s="159">
        <v>100</v>
      </c>
      <c r="E34" s="159" t="s">
        <v>55</v>
      </c>
      <c r="F34" s="159" t="s">
        <v>50</v>
      </c>
      <c r="G34" s="264">
        <v>8960000</v>
      </c>
      <c r="H34" s="249">
        <v>0</v>
      </c>
      <c r="I34" s="249">
        <v>100</v>
      </c>
      <c r="J34" s="249">
        <v>0</v>
      </c>
      <c r="K34" s="249">
        <v>0</v>
      </c>
      <c r="L34" s="249">
        <v>0</v>
      </c>
      <c r="M34" s="249">
        <v>0</v>
      </c>
      <c r="N34" s="249">
        <v>0</v>
      </c>
      <c r="O34" s="249">
        <v>0</v>
      </c>
      <c r="P34" s="249">
        <v>0</v>
      </c>
      <c r="Q34" s="249">
        <v>0</v>
      </c>
      <c r="R34" s="249">
        <v>0</v>
      </c>
      <c r="S34" s="249">
        <v>0</v>
      </c>
      <c r="T34" s="249">
        <v>0</v>
      </c>
      <c r="U34" s="249">
        <v>0</v>
      </c>
      <c r="V34" s="249">
        <v>0</v>
      </c>
      <c r="W34" s="249">
        <v>0</v>
      </c>
      <c r="X34" s="249">
        <v>0</v>
      </c>
      <c r="Y34" s="249">
        <v>0</v>
      </c>
      <c r="Z34" s="249">
        <v>0</v>
      </c>
      <c r="AA34" s="249">
        <v>0</v>
      </c>
      <c r="AB34" s="249">
        <v>0</v>
      </c>
      <c r="AC34" s="249">
        <v>0</v>
      </c>
      <c r="AD34" s="249">
        <v>0</v>
      </c>
      <c r="AE34" s="249">
        <v>0</v>
      </c>
      <c r="AF34" s="249">
        <v>-148.0250665296449</v>
      </c>
      <c r="AG34" s="249">
        <v>-113.97577374311049</v>
      </c>
      <c r="AH34" s="249">
        <v>20</v>
      </c>
      <c r="AI34" s="249">
        <v>10</v>
      </c>
      <c r="AJ34" s="249">
        <v>1.5</v>
      </c>
      <c r="AK34" s="159" t="s">
        <v>228</v>
      </c>
      <c r="AL34" s="159" t="s">
        <v>230</v>
      </c>
      <c r="AM34" s="159"/>
      <c r="AN34" s="159">
        <v>0</v>
      </c>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c r="CD34" s="159">
        <v>0</v>
      </c>
      <c r="CE34" s="159"/>
      <c r="CF34" s="159"/>
      <c r="CG34" s="159">
        <v>-1.65</v>
      </c>
      <c r="CH34" s="159">
        <v>33</v>
      </c>
    </row>
    <row r="35" spans="1:86" x14ac:dyDescent="0.25">
      <c r="A35" s="241" t="s">
        <v>646</v>
      </c>
      <c r="B35" s="241">
        <v>0</v>
      </c>
      <c r="C35" s="241">
        <v>750</v>
      </c>
      <c r="D35" s="241">
        <v>500</v>
      </c>
      <c r="E35" s="241" t="s">
        <v>55</v>
      </c>
      <c r="F35" s="241" t="s">
        <v>50</v>
      </c>
      <c r="G35" s="265">
        <v>8960000</v>
      </c>
      <c r="H35" s="250">
        <v>0</v>
      </c>
      <c r="I35" s="250">
        <v>100</v>
      </c>
      <c r="J35" s="250">
        <v>0</v>
      </c>
      <c r="K35" s="250">
        <v>0</v>
      </c>
      <c r="L35" s="250">
        <v>0</v>
      </c>
      <c r="M35" s="250">
        <v>0</v>
      </c>
      <c r="N35" s="250">
        <v>0</v>
      </c>
      <c r="O35" s="250">
        <v>0</v>
      </c>
      <c r="P35" s="250">
        <v>0</v>
      </c>
      <c r="Q35" s="250">
        <v>0</v>
      </c>
      <c r="R35" s="250">
        <v>0</v>
      </c>
      <c r="S35" s="250">
        <v>0</v>
      </c>
      <c r="T35" s="250">
        <v>0</v>
      </c>
      <c r="U35" s="250">
        <v>0</v>
      </c>
      <c r="V35" s="250">
        <v>0</v>
      </c>
      <c r="W35" s="250">
        <v>0</v>
      </c>
      <c r="X35" s="250">
        <v>0</v>
      </c>
      <c r="Y35" s="250">
        <v>0</v>
      </c>
      <c r="Z35" s="250">
        <v>0</v>
      </c>
      <c r="AA35" s="250">
        <v>0</v>
      </c>
      <c r="AB35" s="250">
        <v>0</v>
      </c>
      <c r="AC35" s="250">
        <v>0</v>
      </c>
      <c r="AD35" s="250">
        <v>0</v>
      </c>
      <c r="AE35" s="250">
        <v>0</v>
      </c>
      <c r="AF35" s="250">
        <v>-148.0250665296449</v>
      </c>
      <c r="AG35" s="250">
        <v>-113.97577374311049</v>
      </c>
      <c r="AH35" s="250">
        <v>20</v>
      </c>
      <c r="AI35" s="250">
        <v>10</v>
      </c>
      <c r="AJ35" s="250">
        <v>1.5</v>
      </c>
      <c r="AK35" s="241" t="s">
        <v>228</v>
      </c>
      <c r="AL35" s="241" t="s">
        <v>230</v>
      </c>
      <c r="AM35" s="241"/>
      <c r="AN35" s="241">
        <v>0</v>
      </c>
      <c r="AO35" s="241"/>
      <c r="AP35" s="241"/>
      <c r="AQ35" s="241"/>
      <c r="AR35" s="241"/>
      <c r="AS35" s="241"/>
      <c r="AT35" s="241"/>
      <c r="AU35" s="241"/>
      <c r="AV35" s="241"/>
      <c r="AW35" s="241"/>
      <c r="AX35" s="241"/>
      <c r="AY35" s="241"/>
      <c r="AZ35" s="241"/>
      <c r="BA35" s="241"/>
      <c r="BB35" s="241"/>
      <c r="BC35" s="241"/>
      <c r="BD35" s="241"/>
      <c r="BE35" s="241"/>
      <c r="BF35" s="241"/>
      <c r="BG35" s="241"/>
      <c r="BH35" s="241"/>
      <c r="BI35" s="241"/>
      <c r="BJ35" s="241"/>
      <c r="BK35" s="241"/>
      <c r="BL35" s="241"/>
      <c r="BM35" s="241"/>
      <c r="BN35" s="241"/>
      <c r="BO35" s="241"/>
      <c r="BP35" s="241"/>
      <c r="BQ35" s="241"/>
      <c r="BR35" s="241"/>
      <c r="BS35" s="241"/>
      <c r="BT35" s="241"/>
      <c r="BU35" s="241"/>
      <c r="BV35" s="241"/>
      <c r="BW35" s="241"/>
      <c r="BX35" s="241"/>
      <c r="BY35" s="241"/>
      <c r="BZ35" s="241"/>
      <c r="CA35" s="241"/>
      <c r="CB35" s="241"/>
      <c r="CC35" s="241"/>
      <c r="CD35" s="241">
        <v>0</v>
      </c>
      <c r="CE35" s="241"/>
      <c r="CF35" s="241"/>
      <c r="CG35" s="241">
        <v>-1.97</v>
      </c>
      <c r="CH35" s="241">
        <v>34</v>
      </c>
    </row>
    <row r="36" spans="1:86" x14ac:dyDescent="0.25">
      <c r="A36" s="159" t="s">
        <v>647</v>
      </c>
      <c r="B36" s="159">
        <v>0</v>
      </c>
      <c r="C36" s="159">
        <v>750</v>
      </c>
      <c r="D36" s="159">
        <v>2000</v>
      </c>
      <c r="E36" s="159" t="s">
        <v>55</v>
      </c>
      <c r="F36" s="159" t="s">
        <v>50</v>
      </c>
      <c r="G36" s="264">
        <v>8960000</v>
      </c>
      <c r="H36" s="249">
        <v>0</v>
      </c>
      <c r="I36" s="249">
        <v>100</v>
      </c>
      <c r="J36" s="249">
        <v>0</v>
      </c>
      <c r="K36" s="249">
        <v>0</v>
      </c>
      <c r="L36" s="249">
        <v>0</v>
      </c>
      <c r="M36" s="249">
        <v>0</v>
      </c>
      <c r="N36" s="249">
        <v>0</v>
      </c>
      <c r="O36" s="249">
        <v>0</v>
      </c>
      <c r="P36" s="249">
        <v>0</v>
      </c>
      <c r="Q36" s="249">
        <v>0</v>
      </c>
      <c r="R36" s="249">
        <v>0</v>
      </c>
      <c r="S36" s="249">
        <v>0</v>
      </c>
      <c r="T36" s="249">
        <v>0</v>
      </c>
      <c r="U36" s="249">
        <v>0</v>
      </c>
      <c r="V36" s="249">
        <v>0</v>
      </c>
      <c r="W36" s="249">
        <v>0</v>
      </c>
      <c r="X36" s="249">
        <v>0</v>
      </c>
      <c r="Y36" s="249">
        <v>0</v>
      </c>
      <c r="Z36" s="249">
        <v>0</v>
      </c>
      <c r="AA36" s="249">
        <v>0</v>
      </c>
      <c r="AB36" s="249">
        <v>0</v>
      </c>
      <c r="AC36" s="249">
        <v>0</v>
      </c>
      <c r="AD36" s="249">
        <v>0</v>
      </c>
      <c r="AE36" s="249">
        <v>0</v>
      </c>
      <c r="AF36" s="249">
        <v>-148.0250665296449</v>
      </c>
      <c r="AG36" s="249">
        <v>-113.97577374311049</v>
      </c>
      <c r="AH36" s="249">
        <v>20</v>
      </c>
      <c r="AI36" s="249">
        <v>10</v>
      </c>
      <c r="AJ36" s="249">
        <v>1.5</v>
      </c>
      <c r="AK36" s="159" t="s">
        <v>228</v>
      </c>
      <c r="AL36" s="159" t="s">
        <v>230</v>
      </c>
      <c r="AM36" s="159"/>
      <c r="AN36" s="159">
        <v>0</v>
      </c>
      <c r="AO36" s="159"/>
      <c r="AP36" s="159"/>
      <c r="AQ36" s="159"/>
      <c r="AR36" s="159"/>
      <c r="AS36" s="159"/>
      <c r="AT36" s="159"/>
      <c r="AU36" s="159"/>
      <c r="AV36" s="159"/>
      <c r="AW36" s="159"/>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159"/>
      <c r="BT36" s="159"/>
      <c r="BU36" s="159"/>
      <c r="BV36" s="159"/>
      <c r="BW36" s="159"/>
      <c r="BX36" s="159"/>
      <c r="BY36" s="159"/>
      <c r="BZ36" s="159"/>
      <c r="CA36" s="159"/>
      <c r="CB36" s="159"/>
      <c r="CC36" s="159"/>
      <c r="CD36" s="159">
        <v>0</v>
      </c>
      <c r="CE36" s="159"/>
      <c r="CF36" s="159"/>
      <c r="CG36" s="159">
        <v>-1.8</v>
      </c>
      <c r="CH36" s="159">
        <v>35</v>
      </c>
    </row>
    <row r="37" spans="1:86" x14ac:dyDescent="0.25">
      <c r="A37" s="241" t="s">
        <v>648</v>
      </c>
      <c r="B37" s="241">
        <v>0</v>
      </c>
      <c r="C37" s="241">
        <v>850</v>
      </c>
      <c r="D37" s="241">
        <v>100</v>
      </c>
      <c r="E37" s="241" t="s">
        <v>55</v>
      </c>
      <c r="F37" s="241" t="s">
        <v>50</v>
      </c>
      <c r="G37" s="265">
        <v>8960000</v>
      </c>
      <c r="H37" s="250">
        <v>0</v>
      </c>
      <c r="I37" s="250">
        <v>100</v>
      </c>
      <c r="J37" s="250">
        <v>0</v>
      </c>
      <c r="K37" s="250">
        <v>0</v>
      </c>
      <c r="L37" s="250">
        <v>0</v>
      </c>
      <c r="M37" s="250">
        <v>0</v>
      </c>
      <c r="N37" s="250">
        <v>0</v>
      </c>
      <c r="O37" s="250">
        <v>0</v>
      </c>
      <c r="P37" s="250">
        <v>0</v>
      </c>
      <c r="Q37" s="250">
        <v>0</v>
      </c>
      <c r="R37" s="250">
        <v>0</v>
      </c>
      <c r="S37" s="250">
        <v>0</v>
      </c>
      <c r="T37" s="250">
        <v>0</v>
      </c>
      <c r="U37" s="250">
        <v>0</v>
      </c>
      <c r="V37" s="250">
        <v>0</v>
      </c>
      <c r="W37" s="250">
        <v>0</v>
      </c>
      <c r="X37" s="250">
        <v>0</v>
      </c>
      <c r="Y37" s="250">
        <v>0</v>
      </c>
      <c r="Z37" s="250">
        <v>0</v>
      </c>
      <c r="AA37" s="250">
        <v>0</v>
      </c>
      <c r="AB37" s="250">
        <v>0</v>
      </c>
      <c r="AC37" s="250">
        <v>0</v>
      </c>
      <c r="AD37" s="250">
        <v>0</v>
      </c>
      <c r="AE37" s="250">
        <v>0</v>
      </c>
      <c r="AF37" s="250">
        <v>-144.59476121179804</v>
      </c>
      <c r="AG37" s="250">
        <v>-112.01341460271253</v>
      </c>
      <c r="AH37" s="250">
        <v>20</v>
      </c>
      <c r="AI37" s="250">
        <v>10</v>
      </c>
      <c r="AJ37" s="250">
        <v>2</v>
      </c>
      <c r="AK37" s="241" t="s">
        <v>228</v>
      </c>
      <c r="AL37" s="241" t="s">
        <v>230</v>
      </c>
      <c r="AM37" s="241"/>
      <c r="AN37" s="241">
        <v>0</v>
      </c>
      <c r="AO37" s="241"/>
      <c r="AP37" s="241"/>
      <c r="AQ37" s="241"/>
      <c r="AR37" s="241"/>
      <c r="AS37" s="241"/>
      <c r="AT37" s="241"/>
      <c r="AU37" s="241"/>
      <c r="AV37" s="241"/>
      <c r="AW37" s="241"/>
      <c r="AX37" s="241"/>
      <c r="AY37" s="241"/>
      <c r="AZ37" s="241"/>
      <c r="BA37" s="241"/>
      <c r="BB37" s="241"/>
      <c r="BC37" s="241"/>
      <c r="BD37" s="241"/>
      <c r="BE37" s="241"/>
      <c r="BF37" s="241"/>
      <c r="BG37" s="241"/>
      <c r="BH37" s="241"/>
      <c r="BI37" s="241"/>
      <c r="BJ37" s="241"/>
      <c r="BK37" s="241"/>
      <c r="BL37" s="241"/>
      <c r="BM37" s="241"/>
      <c r="BN37" s="241"/>
      <c r="BO37" s="241"/>
      <c r="BP37" s="241"/>
      <c r="BQ37" s="241"/>
      <c r="BR37" s="241"/>
      <c r="BS37" s="241"/>
      <c r="BT37" s="241"/>
      <c r="BU37" s="241"/>
      <c r="BV37" s="241"/>
      <c r="BW37" s="241"/>
      <c r="BX37" s="241"/>
      <c r="BY37" s="241"/>
      <c r="BZ37" s="241"/>
      <c r="CA37" s="241"/>
      <c r="CB37" s="241"/>
      <c r="CC37" s="241"/>
      <c r="CD37" s="241">
        <v>0</v>
      </c>
      <c r="CE37" s="241"/>
      <c r="CF37" s="241"/>
      <c r="CG37" s="241">
        <v>-2.2400000000000002</v>
      </c>
      <c r="CH37" s="241">
        <v>36</v>
      </c>
    </row>
    <row r="38" spans="1:86" x14ac:dyDescent="0.25">
      <c r="A38" s="159" t="s">
        <v>649</v>
      </c>
      <c r="B38" s="159">
        <v>0</v>
      </c>
      <c r="C38" s="159">
        <v>850</v>
      </c>
      <c r="D38" s="159">
        <v>500</v>
      </c>
      <c r="E38" s="159" t="s">
        <v>55</v>
      </c>
      <c r="F38" s="159" t="s">
        <v>50</v>
      </c>
      <c r="G38" s="264">
        <v>8960000</v>
      </c>
      <c r="H38" s="249">
        <v>0</v>
      </c>
      <c r="I38" s="249">
        <v>100</v>
      </c>
      <c r="J38" s="249">
        <v>0</v>
      </c>
      <c r="K38" s="249">
        <v>0</v>
      </c>
      <c r="L38" s="249">
        <v>0</v>
      </c>
      <c r="M38" s="249">
        <v>0</v>
      </c>
      <c r="N38" s="249">
        <v>0</v>
      </c>
      <c r="O38" s="249">
        <v>0</v>
      </c>
      <c r="P38" s="249">
        <v>0</v>
      </c>
      <c r="Q38" s="249">
        <v>0</v>
      </c>
      <c r="R38" s="249">
        <v>0</v>
      </c>
      <c r="S38" s="249">
        <v>0</v>
      </c>
      <c r="T38" s="249">
        <v>0</v>
      </c>
      <c r="U38" s="249">
        <v>0</v>
      </c>
      <c r="V38" s="249">
        <v>0</v>
      </c>
      <c r="W38" s="249">
        <v>0</v>
      </c>
      <c r="X38" s="249">
        <v>0</v>
      </c>
      <c r="Y38" s="249">
        <v>0</v>
      </c>
      <c r="Z38" s="249">
        <v>0</v>
      </c>
      <c r="AA38" s="249">
        <v>0</v>
      </c>
      <c r="AB38" s="249">
        <v>0</v>
      </c>
      <c r="AC38" s="249">
        <v>0</v>
      </c>
      <c r="AD38" s="249">
        <v>0</v>
      </c>
      <c r="AE38" s="249">
        <v>0</v>
      </c>
      <c r="AF38" s="249">
        <v>-144.59476121179804</v>
      </c>
      <c r="AG38" s="249">
        <v>-112.01341460271253</v>
      </c>
      <c r="AH38" s="249">
        <v>20</v>
      </c>
      <c r="AI38" s="249">
        <v>10</v>
      </c>
      <c r="AJ38" s="249">
        <v>2</v>
      </c>
      <c r="AK38" s="159" t="s">
        <v>228</v>
      </c>
      <c r="AL38" s="159" t="s">
        <v>230</v>
      </c>
      <c r="AM38" s="159"/>
      <c r="AN38" s="159">
        <v>0</v>
      </c>
      <c r="AO38" s="159"/>
      <c r="AP38" s="159"/>
      <c r="AQ38" s="159"/>
      <c r="AR38" s="159"/>
      <c r="AS38" s="159"/>
      <c r="AT38" s="159"/>
      <c r="AU38" s="159"/>
      <c r="AV38" s="159"/>
      <c r="AW38" s="159"/>
      <c r="AX38" s="159"/>
      <c r="AY38" s="159"/>
      <c r="AZ38" s="159"/>
      <c r="BA38" s="159"/>
      <c r="BB38" s="159"/>
      <c r="BC38" s="159"/>
      <c r="BD38" s="159"/>
      <c r="BE38" s="159"/>
      <c r="BF38" s="159"/>
      <c r="BG38" s="159"/>
      <c r="BH38" s="159"/>
      <c r="BI38" s="159"/>
      <c r="BJ38" s="159"/>
      <c r="BK38" s="159"/>
      <c r="BL38" s="159"/>
      <c r="BM38" s="159"/>
      <c r="BN38" s="159"/>
      <c r="BO38" s="159"/>
      <c r="BP38" s="159"/>
      <c r="BQ38" s="159"/>
      <c r="BR38" s="159"/>
      <c r="BS38" s="159"/>
      <c r="BT38" s="159"/>
      <c r="BU38" s="159"/>
      <c r="BV38" s="159"/>
      <c r="BW38" s="159"/>
      <c r="BX38" s="159"/>
      <c r="BY38" s="159"/>
      <c r="BZ38" s="159"/>
      <c r="CA38" s="159"/>
      <c r="CB38" s="159"/>
      <c r="CC38" s="159"/>
      <c r="CD38" s="159">
        <v>0</v>
      </c>
      <c r="CE38" s="159"/>
      <c r="CF38" s="159"/>
      <c r="CG38" s="159">
        <v>-5.77</v>
      </c>
      <c r="CH38" s="159">
        <v>37</v>
      </c>
    </row>
    <row r="39" spans="1:86" x14ac:dyDescent="0.25">
      <c r="A39" s="241" t="s">
        <v>650</v>
      </c>
      <c r="B39" s="241">
        <v>0</v>
      </c>
      <c r="C39" s="241">
        <v>850</v>
      </c>
      <c r="D39" s="241">
        <v>2000</v>
      </c>
      <c r="E39" s="241" t="s">
        <v>55</v>
      </c>
      <c r="F39" s="241" t="s">
        <v>50</v>
      </c>
      <c r="G39" s="265">
        <v>8960000</v>
      </c>
      <c r="H39" s="250">
        <v>0</v>
      </c>
      <c r="I39" s="250">
        <v>100</v>
      </c>
      <c r="J39" s="250">
        <v>0</v>
      </c>
      <c r="K39" s="250">
        <v>0</v>
      </c>
      <c r="L39" s="250">
        <v>0</v>
      </c>
      <c r="M39" s="250">
        <v>0</v>
      </c>
      <c r="N39" s="250">
        <v>0</v>
      </c>
      <c r="O39" s="250">
        <v>0</v>
      </c>
      <c r="P39" s="250">
        <v>0</v>
      </c>
      <c r="Q39" s="250">
        <v>0</v>
      </c>
      <c r="R39" s="250">
        <v>0</v>
      </c>
      <c r="S39" s="250">
        <v>0</v>
      </c>
      <c r="T39" s="250">
        <v>0</v>
      </c>
      <c r="U39" s="250">
        <v>0</v>
      </c>
      <c r="V39" s="250">
        <v>0</v>
      </c>
      <c r="W39" s="250">
        <v>0</v>
      </c>
      <c r="X39" s="250">
        <v>0</v>
      </c>
      <c r="Y39" s="250">
        <v>0</v>
      </c>
      <c r="Z39" s="250">
        <v>0</v>
      </c>
      <c r="AA39" s="250">
        <v>0</v>
      </c>
      <c r="AB39" s="250">
        <v>0</v>
      </c>
      <c r="AC39" s="250">
        <v>0</v>
      </c>
      <c r="AD39" s="250">
        <v>0</v>
      </c>
      <c r="AE39" s="250">
        <v>0</v>
      </c>
      <c r="AF39" s="250">
        <v>-144.59476121179804</v>
      </c>
      <c r="AG39" s="250">
        <v>-112.01341460271253</v>
      </c>
      <c r="AH39" s="250">
        <v>20</v>
      </c>
      <c r="AI39" s="250">
        <v>10</v>
      </c>
      <c r="AJ39" s="250">
        <v>2</v>
      </c>
      <c r="AK39" s="241" t="s">
        <v>228</v>
      </c>
      <c r="AL39" s="241" t="s">
        <v>230</v>
      </c>
      <c r="AM39" s="241"/>
      <c r="AN39" s="241">
        <v>0</v>
      </c>
      <c r="AO39" s="241"/>
      <c r="AP39" s="241"/>
      <c r="AQ39" s="241"/>
      <c r="AR39" s="241"/>
      <c r="AS39" s="241"/>
      <c r="AT39" s="241"/>
      <c r="AU39" s="241"/>
      <c r="AV39" s="241"/>
      <c r="AW39" s="241"/>
      <c r="AX39" s="241"/>
      <c r="AY39" s="241"/>
      <c r="AZ39" s="241"/>
      <c r="BA39" s="241"/>
      <c r="BB39" s="241"/>
      <c r="BC39" s="241"/>
      <c r="BD39" s="241"/>
      <c r="BE39" s="241"/>
      <c r="BF39" s="241"/>
      <c r="BG39" s="241"/>
      <c r="BH39" s="241"/>
      <c r="BI39" s="241"/>
      <c r="BJ39" s="241"/>
      <c r="BK39" s="241"/>
      <c r="BL39" s="241"/>
      <c r="BM39" s="241"/>
      <c r="BN39" s="241"/>
      <c r="BO39" s="241"/>
      <c r="BP39" s="241"/>
      <c r="BQ39" s="241"/>
      <c r="BR39" s="241"/>
      <c r="BS39" s="241"/>
      <c r="BT39" s="241"/>
      <c r="BU39" s="241"/>
      <c r="BV39" s="241"/>
      <c r="BW39" s="241"/>
      <c r="BX39" s="241"/>
      <c r="BY39" s="241"/>
      <c r="BZ39" s="241"/>
      <c r="CA39" s="241"/>
      <c r="CB39" s="241"/>
      <c r="CC39" s="241"/>
      <c r="CD39" s="241">
        <v>0</v>
      </c>
      <c r="CE39" s="241"/>
      <c r="CF39" s="241"/>
      <c r="CG39" s="241">
        <v>-9.1</v>
      </c>
      <c r="CH39" s="241">
        <v>38</v>
      </c>
    </row>
    <row r="40" spans="1:86" x14ac:dyDescent="0.25">
      <c r="A40" s="159" t="s">
        <v>651</v>
      </c>
      <c r="B40" s="159">
        <v>0</v>
      </c>
      <c r="C40" s="159">
        <v>550</v>
      </c>
      <c r="D40" s="159">
        <v>100</v>
      </c>
      <c r="E40" s="159" t="s">
        <v>58</v>
      </c>
      <c r="F40" s="159" t="s">
        <v>58</v>
      </c>
      <c r="G40" s="264">
        <v>7874000</v>
      </c>
      <c r="H40" s="249">
        <v>0</v>
      </c>
      <c r="I40" s="249">
        <v>0</v>
      </c>
      <c r="J40" s="249">
        <v>0</v>
      </c>
      <c r="K40" s="249">
        <v>100</v>
      </c>
      <c r="L40" s="249">
        <v>0</v>
      </c>
      <c r="M40" s="249">
        <v>0</v>
      </c>
      <c r="N40" s="249">
        <v>0</v>
      </c>
      <c r="O40" s="249">
        <v>0</v>
      </c>
      <c r="P40" s="249">
        <v>0</v>
      </c>
      <c r="Q40" s="249">
        <v>0</v>
      </c>
      <c r="R40" s="249">
        <v>0</v>
      </c>
      <c r="S40" s="249">
        <v>0</v>
      </c>
      <c r="T40" s="249">
        <v>0</v>
      </c>
      <c r="U40" s="249">
        <v>0</v>
      </c>
      <c r="V40" s="249">
        <v>0</v>
      </c>
      <c r="W40" s="249">
        <v>0</v>
      </c>
      <c r="X40" s="249">
        <v>0</v>
      </c>
      <c r="Y40" s="249">
        <v>0</v>
      </c>
      <c r="Z40" s="249">
        <v>0</v>
      </c>
      <c r="AA40" s="249">
        <v>0</v>
      </c>
      <c r="AB40" s="249">
        <v>0</v>
      </c>
      <c r="AC40" s="249">
        <v>0</v>
      </c>
      <c r="AD40" s="249">
        <v>0</v>
      </c>
      <c r="AE40" s="249">
        <v>0</v>
      </c>
      <c r="AF40" s="249">
        <v>-140.81908506289301</v>
      </c>
      <c r="AG40" s="249">
        <v>-140.81908506289301</v>
      </c>
      <c r="AH40" s="249">
        <v>20</v>
      </c>
      <c r="AI40" s="249">
        <v>10</v>
      </c>
      <c r="AJ40" s="249">
        <v>1.5</v>
      </c>
      <c r="AK40" s="159" t="s">
        <v>228</v>
      </c>
      <c r="AL40" s="159" t="s">
        <v>230</v>
      </c>
      <c r="AM40" s="159"/>
      <c r="AN40" s="159">
        <v>0</v>
      </c>
      <c r="AO40" s="159"/>
      <c r="AP40" s="159"/>
      <c r="AQ40" s="159"/>
      <c r="AR40" s="159"/>
      <c r="AS40" s="159"/>
      <c r="AT40" s="159"/>
      <c r="AU40" s="159"/>
      <c r="AV40" s="159"/>
      <c r="AW40" s="159"/>
      <c r="AX40" s="159"/>
      <c r="AY40" s="159"/>
      <c r="AZ40" s="159"/>
      <c r="BA40" s="159"/>
      <c r="BB40" s="159"/>
      <c r="BC40" s="159"/>
      <c r="BD40" s="159"/>
      <c r="BE40" s="159"/>
      <c r="BF40" s="159"/>
      <c r="BG40" s="159"/>
      <c r="BH40" s="159"/>
      <c r="BI40" s="159"/>
      <c r="BJ40" s="159"/>
      <c r="BK40" s="159"/>
      <c r="BL40" s="159"/>
      <c r="BM40" s="159"/>
      <c r="BN40" s="159"/>
      <c r="BO40" s="159"/>
      <c r="BP40" s="159"/>
      <c r="BQ40" s="159"/>
      <c r="BR40" s="159"/>
      <c r="BS40" s="159"/>
      <c r="BT40" s="159"/>
      <c r="BU40" s="159"/>
      <c r="BV40" s="159"/>
      <c r="BW40" s="159"/>
      <c r="BX40" s="159"/>
      <c r="BY40" s="159"/>
      <c r="BZ40" s="159"/>
      <c r="CA40" s="159"/>
      <c r="CB40" s="159"/>
      <c r="CC40" s="159"/>
      <c r="CD40" s="159">
        <v>0</v>
      </c>
      <c r="CE40" s="159"/>
      <c r="CF40" s="159"/>
      <c r="CG40" s="159">
        <v>-0.38</v>
      </c>
      <c r="CH40" s="159">
        <v>39</v>
      </c>
    </row>
    <row r="41" spans="1:86" x14ac:dyDescent="0.25">
      <c r="A41" s="241" t="s">
        <v>652</v>
      </c>
      <c r="B41" s="241">
        <v>0</v>
      </c>
      <c r="C41" s="241">
        <v>550</v>
      </c>
      <c r="D41" s="241">
        <v>500</v>
      </c>
      <c r="E41" s="241" t="s">
        <v>58</v>
      </c>
      <c r="F41" s="241" t="s">
        <v>58</v>
      </c>
      <c r="G41" s="265">
        <v>7874000</v>
      </c>
      <c r="H41" s="250">
        <v>0</v>
      </c>
      <c r="I41" s="250">
        <v>0</v>
      </c>
      <c r="J41" s="250">
        <v>0</v>
      </c>
      <c r="K41" s="250">
        <v>100</v>
      </c>
      <c r="L41" s="250">
        <v>0</v>
      </c>
      <c r="M41" s="250">
        <v>0</v>
      </c>
      <c r="N41" s="250">
        <v>0</v>
      </c>
      <c r="O41" s="250">
        <v>0</v>
      </c>
      <c r="P41" s="250">
        <v>0</v>
      </c>
      <c r="Q41" s="250">
        <v>0</v>
      </c>
      <c r="R41" s="250">
        <v>0</v>
      </c>
      <c r="S41" s="250">
        <v>0</v>
      </c>
      <c r="T41" s="250">
        <v>0</v>
      </c>
      <c r="U41" s="250">
        <v>0</v>
      </c>
      <c r="V41" s="250">
        <v>0</v>
      </c>
      <c r="W41" s="250">
        <v>0</v>
      </c>
      <c r="X41" s="250">
        <v>0</v>
      </c>
      <c r="Y41" s="250">
        <v>0</v>
      </c>
      <c r="Z41" s="250">
        <v>0</v>
      </c>
      <c r="AA41" s="250">
        <v>0</v>
      </c>
      <c r="AB41" s="250">
        <v>0</v>
      </c>
      <c r="AC41" s="250">
        <v>0</v>
      </c>
      <c r="AD41" s="250">
        <v>0</v>
      </c>
      <c r="AE41" s="250">
        <v>0</v>
      </c>
      <c r="AF41" s="250">
        <v>-140.81908506289301</v>
      </c>
      <c r="AG41" s="250">
        <v>-140.81908506289301</v>
      </c>
      <c r="AH41" s="250">
        <v>20</v>
      </c>
      <c r="AI41" s="250">
        <v>10</v>
      </c>
      <c r="AJ41" s="250">
        <v>1.5</v>
      </c>
      <c r="AK41" s="241" t="s">
        <v>228</v>
      </c>
      <c r="AL41" s="241" t="s">
        <v>230</v>
      </c>
      <c r="AM41" s="241"/>
      <c r="AN41" s="241">
        <v>0</v>
      </c>
      <c r="AO41" s="241"/>
      <c r="AP41" s="241"/>
      <c r="AQ41" s="241"/>
      <c r="AR41" s="241"/>
      <c r="AS41" s="241"/>
      <c r="AT41" s="241"/>
      <c r="AU41" s="241"/>
      <c r="AV41" s="241"/>
      <c r="AW41" s="241"/>
      <c r="AX41" s="241"/>
      <c r="AY41" s="241"/>
      <c r="AZ41" s="241"/>
      <c r="BA41" s="241"/>
      <c r="BB41" s="241"/>
      <c r="BC41" s="241"/>
      <c r="BD41" s="241"/>
      <c r="BE41" s="241"/>
      <c r="BF41" s="241"/>
      <c r="BG41" s="241"/>
      <c r="BH41" s="241"/>
      <c r="BI41" s="241"/>
      <c r="BJ41" s="241"/>
      <c r="BK41" s="241"/>
      <c r="BL41" s="241"/>
      <c r="BM41" s="241"/>
      <c r="BN41" s="241"/>
      <c r="BO41" s="241"/>
      <c r="BP41" s="241"/>
      <c r="BQ41" s="241"/>
      <c r="BR41" s="241"/>
      <c r="BS41" s="241"/>
      <c r="BT41" s="241"/>
      <c r="BU41" s="241"/>
      <c r="BV41" s="241"/>
      <c r="BW41" s="241"/>
      <c r="BX41" s="241"/>
      <c r="BY41" s="241"/>
      <c r="BZ41" s="241"/>
      <c r="CA41" s="241"/>
      <c r="CB41" s="241"/>
      <c r="CC41" s="241"/>
      <c r="CD41" s="241">
        <v>0</v>
      </c>
      <c r="CE41" s="241"/>
      <c r="CF41" s="241"/>
      <c r="CG41" s="241">
        <v>-0.37</v>
      </c>
      <c r="CH41" s="241">
        <v>40</v>
      </c>
    </row>
    <row r="42" spans="1:86" x14ac:dyDescent="0.25">
      <c r="A42" s="159" t="s">
        <v>653</v>
      </c>
      <c r="B42" s="159">
        <v>0</v>
      </c>
      <c r="C42" s="159">
        <v>550</v>
      </c>
      <c r="D42" s="159">
        <v>2000</v>
      </c>
      <c r="E42" s="159" t="s">
        <v>58</v>
      </c>
      <c r="F42" s="159" t="s">
        <v>58</v>
      </c>
      <c r="G42" s="264">
        <v>7874000</v>
      </c>
      <c r="H42" s="249">
        <v>0</v>
      </c>
      <c r="I42" s="249">
        <v>0</v>
      </c>
      <c r="J42" s="249">
        <v>0</v>
      </c>
      <c r="K42" s="249">
        <v>100</v>
      </c>
      <c r="L42" s="249">
        <v>0</v>
      </c>
      <c r="M42" s="249">
        <v>0</v>
      </c>
      <c r="N42" s="249">
        <v>0</v>
      </c>
      <c r="O42" s="249">
        <v>0</v>
      </c>
      <c r="P42" s="249">
        <v>0</v>
      </c>
      <c r="Q42" s="249">
        <v>0</v>
      </c>
      <c r="R42" s="249">
        <v>0</v>
      </c>
      <c r="S42" s="249">
        <v>0</v>
      </c>
      <c r="T42" s="249">
        <v>0</v>
      </c>
      <c r="U42" s="249">
        <v>0</v>
      </c>
      <c r="V42" s="249">
        <v>0</v>
      </c>
      <c r="W42" s="249">
        <v>0</v>
      </c>
      <c r="X42" s="249">
        <v>0</v>
      </c>
      <c r="Y42" s="249">
        <v>0</v>
      </c>
      <c r="Z42" s="249">
        <v>0</v>
      </c>
      <c r="AA42" s="249">
        <v>0</v>
      </c>
      <c r="AB42" s="249">
        <v>0</v>
      </c>
      <c r="AC42" s="249">
        <v>0</v>
      </c>
      <c r="AD42" s="249">
        <v>0</v>
      </c>
      <c r="AE42" s="249">
        <v>0</v>
      </c>
      <c r="AF42" s="249">
        <v>-140.81908506289301</v>
      </c>
      <c r="AG42" s="249">
        <v>-140.81908506289301</v>
      </c>
      <c r="AH42" s="249">
        <v>20</v>
      </c>
      <c r="AI42" s="249">
        <v>10</v>
      </c>
      <c r="AJ42" s="249">
        <v>1.5</v>
      </c>
      <c r="AK42" s="159" t="s">
        <v>228</v>
      </c>
      <c r="AL42" s="159" t="s">
        <v>230</v>
      </c>
      <c r="AM42" s="159"/>
      <c r="AN42" s="159">
        <v>0</v>
      </c>
      <c r="AO42" s="159"/>
      <c r="AP42" s="159"/>
      <c r="AQ42" s="159"/>
      <c r="AR42" s="159"/>
      <c r="AS42" s="159"/>
      <c r="AT42" s="159"/>
      <c r="AU42" s="159"/>
      <c r="AV42" s="159"/>
      <c r="AW42" s="159"/>
      <c r="AX42" s="159"/>
      <c r="AY42" s="159"/>
      <c r="AZ42" s="159"/>
      <c r="BA42" s="159"/>
      <c r="BB42" s="159"/>
      <c r="BC42" s="159"/>
      <c r="BD42" s="159"/>
      <c r="BE42" s="159"/>
      <c r="BF42" s="159"/>
      <c r="BG42" s="159"/>
      <c r="BH42" s="159"/>
      <c r="BI42" s="159"/>
      <c r="BJ42" s="159"/>
      <c r="BK42" s="159"/>
      <c r="BL42" s="159"/>
      <c r="BM42" s="159"/>
      <c r="BN42" s="159"/>
      <c r="BO42" s="159"/>
      <c r="BP42" s="159"/>
      <c r="BQ42" s="159"/>
      <c r="BR42" s="159"/>
      <c r="BS42" s="159"/>
      <c r="BT42" s="159"/>
      <c r="BU42" s="159"/>
      <c r="BV42" s="159"/>
      <c r="BW42" s="159"/>
      <c r="BX42" s="159"/>
      <c r="BY42" s="159"/>
      <c r="BZ42" s="159"/>
      <c r="CA42" s="159"/>
      <c r="CB42" s="159"/>
      <c r="CC42" s="159"/>
      <c r="CD42" s="159">
        <v>0</v>
      </c>
      <c r="CE42" s="159"/>
      <c r="CF42" s="159"/>
      <c r="CG42" s="159">
        <v>-0.38</v>
      </c>
      <c r="CH42" s="159">
        <v>41</v>
      </c>
    </row>
    <row r="43" spans="1:86" x14ac:dyDescent="0.25">
      <c r="A43" s="241" t="s">
        <v>654</v>
      </c>
      <c r="B43" s="241">
        <v>0</v>
      </c>
      <c r="C43" s="241">
        <v>650</v>
      </c>
      <c r="D43" s="241">
        <v>100</v>
      </c>
      <c r="E43" s="241" t="s">
        <v>58</v>
      </c>
      <c r="F43" s="241" t="s">
        <v>58</v>
      </c>
      <c r="G43" s="265">
        <v>7874000</v>
      </c>
      <c r="H43" s="250">
        <v>0</v>
      </c>
      <c r="I43" s="250">
        <v>0</v>
      </c>
      <c r="J43" s="250">
        <v>0</v>
      </c>
      <c r="K43" s="250">
        <v>100</v>
      </c>
      <c r="L43" s="250">
        <v>0</v>
      </c>
      <c r="M43" s="250">
        <v>0</v>
      </c>
      <c r="N43" s="250">
        <v>0</v>
      </c>
      <c r="O43" s="250">
        <v>0</v>
      </c>
      <c r="P43" s="250">
        <v>0</v>
      </c>
      <c r="Q43" s="250">
        <v>0</v>
      </c>
      <c r="R43" s="250">
        <v>0</v>
      </c>
      <c r="S43" s="250">
        <v>0</v>
      </c>
      <c r="T43" s="250">
        <v>0</v>
      </c>
      <c r="U43" s="250">
        <v>0</v>
      </c>
      <c r="V43" s="250">
        <v>0</v>
      </c>
      <c r="W43" s="250">
        <v>0</v>
      </c>
      <c r="X43" s="250">
        <v>0</v>
      </c>
      <c r="Y43" s="250">
        <v>0</v>
      </c>
      <c r="Z43" s="250">
        <v>0</v>
      </c>
      <c r="AA43" s="250">
        <v>0</v>
      </c>
      <c r="AB43" s="250">
        <v>0</v>
      </c>
      <c r="AC43" s="250">
        <v>0</v>
      </c>
      <c r="AD43" s="250">
        <v>0</v>
      </c>
      <c r="AE43" s="250">
        <v>0</v>
      </c>
      <c r="AF43" s="250">
        <v>-137.62640239466455</v>
      </c>
      <c r="AG43" s="250">
        <v>-137.62640239466455</v>
      </c>
      <c r="AH43" s="250">
        <v>20</v>
      </c>
      <c r="AI43" s="250">
        <v>10</v>
      </c>
      <c r="AJ43" s="250">
        <v>1.5</v>
      </c>
      <c r="AK43" s="241" t="s">
        <v>228</v>
      </c>
      <c r="AL43" s="241" t="s">
        <v>230</v>
      </c>
      <c r="AM43" s="241"/>
      <c r="AN43" s="241">
        <v>0</v>
      </c>
      <c r="AO43" s="241"/>
      <c r="AP43" s="241"/>
      <c r="AQ43" s="241"/>
      <c r="AR43" s="241"/>
      <c r="AS43" s="241"/>
      <c r="AT43" s="241"/>
      <c r="AU43" s="241"/>
      <c r="AV43" s="241"/>
      <c r="AW43" s="241"/>
      <c r="AX43" s="241"/>
      <c r="AY43" s="241"/>
      <c r="AZ43" s="241"/>
      <c r="BA43" s="241"/>
      <c r="BB43" s="241"/>
      <c r="BC43" s="241"/>
      <c r="BD43" s="241"/>
      <c r="BE43" s="241"/>
      <c r="BF43" s="241"/>
      <c r="BG43" s="241"/>
      <c r="BH43" s="241"/>
      <c r="BI43" s="241"/>
      <c r="BJ43" s="241"/>
      <c r="BK43" s="241"/>
      <c r="BL43" s="241"/>
      <c r="BM43" s="241"/>
      <c r="BN43" s="241"/>
      <c r="BO43" s="241"/>
      <c r="BP43" s="241"/>
      <c r="BQ43" s="241"/>
      <c r="BR43" s="241"/>
      <c r="BS43" s="241"/>
      <c r="BT43" s="241"/>
      <c r="BU43" s="241"/>
      <c r="BV43" s="241"/>
      <c r="BW43" s="241"/>
      <c r="BX43" s="241"/>
      <c r="BY43" s="241"/>
      <c r="BZ43" s="241"/>
      <c r="CA43" s="241"/>
      <c r="CB43" s="241"/>
      <c r="CC43" s="241"/>
      <c r="CD43" s="241">
        <v>0</v>
      </c>
      <c r="CE43" s="241"/>
      <c r="CF43" s="241"/>
      <c r="CG43" s="241">
        <v>-0.22</v>
      </c>
      <c r="CH43" s="241">
        <v>42</v>
      </c>
    </row>
    <row r="44" spans="1:86" x14ac:dyDescent="0.25">
      <c r="A44" s="159" t="s">
        <v>655</v>
      </c>
      <c r="B44" s="159">
        <v>0</v>
      </c>
      <c r="C44" s="159">
        <v>650</v>
      </c>
      <c r="D44" s="159">
        <v>500</v>
      </c>
      <c r="E44" s="159" t="s">
        <v>58</v>
      </c>
      <c r="F44" s="159" t="s">
        <v>58</v>
      </c>
      <c r="G44" s="264">
        <v>7874000</v>
      </c>
      <c r="H44" s="249">
        <v>0</v>
      </c>
      <c r="I44" s="249">
        <v>0</v>
      </c>
      <c r="J44" s="249">
        <v>0</v>
      </c>
      <c r="K44" s="249">
        <v>100</v>
      </c>
      <c r="L44" s="249">
        <v>0</v>
      </c>
      <c r="M44" s="249">
        <v>0</v>
      </c>
      <c r="N44" s="249">
        <v>0</v>
      </c>
      <c r="O44" s="249">
        <v>0</v>
      </c>
      <c r="P44" s="249">
        <v>0</v>
      </c>
      <c r="Q44" s="249">
        <v>0</v>
      </c>
      <c r="R44" s="249">
        <v>0</v>
      </c>
      <c r="S44" s="249">
        <v>0</v>
      </c>
      <c r="T44" s="249">
        <v>0</v>
      </c>
      <c r="U44" s="249">
        <v>0</v>
      </c>
      <c r="V44" s="249">
        <v>0</v>
      </c>
      <c r="W44" s="249">
        <v>0</v>
      </c>
      <c r="X44" s="249">
        <v>0</v>
      </c>
      <c r="Y44" s="249">
        <v>0</v>
      </c>
      <c r="Z44" s="249">
        <v>0</v>
      </c>
      <c r="AA44" s="249">
        <v>0</v>
      </c>
      <c r="AB44" s="249">
        <v>0</v>
      </c>
      <c r="AC44" s="249">
        <v>0</v>
      </c>
      <c r="AD44" s="249">
        <v>0</v>
      </c>
      <c r="AE44" s="249">
        <v>0</v>
      </c>
      <c r="AF44" s="249">
        <v>-137.62640239466455</v>
      </c>
      <c r="AG44" s="249">
        <v>-137.62640239466455</v>
      </c>
      <c r="AH44" s="249">
        <v>20</v>
      </c>
      <c r="AI44" s="249">
        <v>10</v>
      </c>
      <c r="AJ44" s="249">
        <v>1.5</v>
      </c>
      <c r="AK44" s="159" t="s">
        <v>228</v>
      </c>
      <c r="AL44" s="159" t="s">
        <v>230</v>
      </c>
      <c r="AM44" s="159"/>
      <c r="AN44" s="159">
        <v>0</v>
      </c>
      <c r="AO44" s="159"/>
      <c r="AP44" s="159"/>
      <c r="AQ44" s="159"/>
      <c r="AR44" s="159"/>
      <c r="AS44" s="159"/>
      <c r="AT44" s="159"/>
      <c r="AU44" s="159"/>
      <c r="AV44" s="159"/>
      <c r="AW44" s="159"/>
      <c r="AX44" s="159"/>
      <c r="AY44" s="159"/>
      <c r="AZ44" s="159"/>
      <c r="BA44" s="159"/>
      <c r="BB44" s="159"/>
      <c r="BC44" s="159"/>
      <c r="BD44" s="159"/>
      <c r="BE44" s="159"/>
      <c r="BF44" s="159"/>
      <c r="BG44" s="159"/>
      <c r="BH44" s="159"/>
      <c r="BI44" s="159"/>
      <c r="BJ44" s="159"/>
      <c r="BK44" s="159"/>
      <c r="BL44" s="159"/>
      <c r="BM44" s="159"/>
      <c r="BN44" s="159"/>
      <c r="BO44" s="159"/>
      <c r="BP44" s="159"/>
      <c r="BQ44" s="159"/>
      <c r="BR44" s="159"/>
      <c r="BS44" s="159"/>
      <c r="BT44" s="159"/>
      <c r="BU44" s="159"/>
      <c r="BV44" s="159"/>
      <c r="BW44" s="159"/>
      <c r="BX44" s="159"/>
      <c r="BY44" s="159"/>
      <c r="BZ44" s="159"/>
      <c r="CA44" s="159"/>
      <c r="CB44" s="159"/>
      <c r="CC44" s="159"/>
      <c r="CD44" s="159">
        <v>0</v>
      </c>
      <c r="CE44" s="159"/>
      <c r="CF44" s="159"/>
      <c r="CG44" s="159">
        <v>-0.19</v>
      </c>
      <c r="CH44" s="159">
        <v>43</v>
      </c>
    </row>
    <row r="45" spans="1:86" x14ac:dyDescent="0.25">
      <c r="A45" s="241" t="s">
        <v>656</v>
      </c>
      <c r="B45" s="241">
        <v>0</v>
      </c>
      <c r="C45" s="241">
        <v>650</v>
      </c>
      <c r="D45" s="241">
        <v>2000</v>
      </c>
      <c r="E45" s="241" t="s">
        <v>58</v>
      </c>
      <c r="F45" s="241" t="s">
        <v>58</v>
      </c>
      <c r="G45" s="265">
        <v>7874000</v>
      </c>
      <c r="H45" s="250">
        <v>0</v>
      </c>
      <c r="I45" s="250">
        <v>0</v>
      </c>
      <c r="J45" s="250">
        <v>0</v>
      </c>
      <c r="K45" s="250">
        <v>100</v>
      </c>
      <c r="L45" s="250">
        <v>0</v>
      </c>
      <c r="M45" s="250">
        <v>0</v>
      </c>
      <c r="N45" s="250">
        <v>0</v>
      </c>
      <c r="O45" s="250">
        <v>0</v>
      </c>
      <c r="P45" s="250">
        <v>0</v>
      </c>
      <c r="Q45" s="250">
        <v>0</v>
      </c>
      <c r="R45" s="250">
        <v>0</v>
      </c>
      <c r="S45" s="250">
        <v>0</v>
      </c>
      <c r="T45" s="250">
        <v>0</v>
      </c>
      <c r="U45" s="250">
        <v>0</v>
      </c>
      <c r="V45" s="250">
        <v>0</v>
      </c>
      <c r="W45" s="250">
        <v>0</v>
      </c>
      <c r="X45" s="250">
        <v>0</v>
      </c>
      <c r="Y45" s="250">
        <v>0</v>
      </c>
      <c r="Z45" s="250">
        <v>0</v>
      </c>
      <c r="AA45" s="250">
        <v>0</v>
      </c>
      <c r="AB45" s="250">
        <v>0</v>
      </c>
      <c r="AC45" s="250">
        <v>0</v>
      </c>
      <c r="AD45" s="250">
        <v>0</v>
      </c>
      <c r="AE45" s="250">
        <v>0</v>
      </c>
      <c r="AF45" s="250">
        <v>-137.62640239466455</v>
      </c>
      <c r="AG45" s="250">
        <v>-137.62640239466455</v>
      </c>
      <c r="AH45" s="250">
        <v>20</v>
      </c>
      <c r="AI45" s="250">
        <v>10</v>
      </c>
      <c r="AJ45" s="250">
        <v>1.5</v>
      </c>
      <c r="AK45" s="241" t="s">
        <v>228</v>
      </c>
      <c r="AL45" s="241" t="s">
        <v>230</v>
      </c>
      <c r="AM45" s="241"/>
      <c r="AN45" s="241">
        <v>0</v>
      </c>
      <c r="AO45" s="241"/>
      <c r="AP45" s="241"/>
      <c r="AQ45" s="241"/>
      <c r="AR45" s="241"/>
      <c r="AS45" s="241"/>
      <c r="AT45" s="241"/>
      <c r="AU45" s="241"/>
      <c r="AV45" s="241"/>
      <c r="AW45" s="241"/>
      <c r="AX45" s="241"/>
      <c r="AY45" s="241"/>
      <c r="AZ45" s="241"/>
      <c r="BA45" s="241"/>
      <c r="BB45" s="241"/>
      <c r="BC45" s="241"/>
      <c r="BD45" s="241"/>
      <c r="BE45" s="241"/>
      <c r="BF45" s="241"/>
      <c r="BG45" s="241"/>
      <c r="BH45" s="241"/>
      <c r="BI45" s="241"/>
      <c r="BJ45" s="241"/>
      <c r="BK45" s="241"/>
      <c r="BL45" s="241"/>
      <c r="BM45" s="241"/>
      <c r="BN45" s="241"/>
      <c r="BO45" s="241"/>
      <c r="BP45" s="241"/>
      <c r="BQ45" s="241"/>
      <c r="BR45" s="241"/>
      <c r="BS45" s="241"/>
      <c r="BT45" s="241"/>
      <c r="BU45" s="241"/>
      <c r="BV45" s="241"/>
      <c r="BW45" s="241"/>
      <c r="BX45" s="241"/>
      <c r="BY45" s="241"/>
      <c r="BZ45" s="241"/>
      <c r="CA45" s="241"/>
      <c r="CB45" s="241"/>
      <c r="CC45" s="241"/>
      <c r="CD45" s="241">
        <v>0</v>
      </c>
      <c r="CE45" s="241"/>
      <c r="CF45" s="241"/>
      <c r="CG45" s="241">
        <v>-0.25</v>
      </c>
      <c r="CH45" s="241">
        <v>44</v>
      </c>
    </row>
    <row r="46" spans="1:86" x14ac:dyDescent="0.25">
      <c r="A46" s="159" t="s">
        <v>657</v>
      </c>
      <c r="B46" s="159">
        <v>0</v>
      </c>
      <c r="C46" s="159">
        <v>750</v>
      </c>
      <c r="D46" s="159">
        <v>100</v>
      </c>
      <c r="E46" s="159" t="s">
        <v>58</v>
      </c>
      <c r="F46" s="159" t="s">
        <v>58</v>
      </c>
      <c r="G46" s="264">
        <v>7874000</v>
      </c>
      <c r="H46" s="249">
        <v>0</v>
      </c>
      <c r="I46" s="249">
        <v>0</v>
      </c>
      <c r="J46" s="249">
        <v>0</v>
      </c>
      <c r="K46" s="249">
        <v>100</v>
      </c>
      <c r="L46" s="249">
        <v>0</v>
      </c>
      <c r="M46" s="249">
        <v>0</v>
      </c>
      <c r="N46" s="249">
        <v>0</v>
      </c>
      <c r="O46" s="249">
        <v>0</v>
      </c>
      <c r="P46" s="249">
        <v>0</v>
      </c>
      <c r="Q46" s="249">
        <v>0</v>
      </c>
      <c r="R46" s="249">
        <v>0</v>
      </c>
      <c r="S46" s="249">
        <v>0</v>
      </c>
      <c r="T46" s="249">
        <v>0</v>
      </c>
      <c r="U46" s="249">
        <v>0</v>
      </c>
      <c r="V46" s="249">
        <v>0</v>
      </c>
      <c r="W46" s="249">
        <v>0</v>
      </c>
      <c r="X46" s="249">
        <v>0</v>
      </c>
      <c r="Y46" s="249">
        <v>0</v>
      </c>
      <c r="Z46" s="249">
        <v>0</v>
      </c>
      <c r="AA46" s="249">
        <v>0</v>
      </c>
      <c r="AB46" s="249">
        <v>0</v>
      </c>
      <c r="AC46" s="249">
        <v>0</v>
      </c>
      <c r="AD46" s="249">
        <v>0</v>
      </c>
      <c r="AE46" s="249">
        <v>0</v>
      </c>
      <c r="AF46" s="249">
        <v>-134.4337197264361</v>
      </c>
      <c r="AG46" s="249">
        <v>-134.4337197264361</v>
      </c>
      <c r="AH46" s="249">
        <v>20</v>
      </c>
      <c r="AI46" s="249">
        <v>10</v>
      </c>
      <c r="AJ46" s="249">
        <v>1.5</v>
      </c>
      <c r="AK46" s="159" t="s">
        <v>228</v>
      </c>
      <c r="AL46" s="159" t="s">
        <v>230</v>
      </c>
      <c r="AM46" s="159"/>
      <c r="AN46" s="159">
        <v>0</v>
      </c>
      <c r="AO46" s="159"/>
      <c r="AP46" s="159"/>
      <c r="AQ46" s="159"/>
      <c r="AR46" s="159"/>
      <c r="AS46" s="159"/>
      <c r="AT46" s="159"/>
      <c r="AU46" s="159"/>
      <c r="AV46" s="159"/>
      <c r="AW46" s="159"/>
      <c r="AX46" s="159"/>
      <c r="AY46" s="159"/>
      <c r="AZ46" s="159"/>
      <c r="BA46" s="159"/>
      <c r="BB46" s="159"/>
      <c r="BC46" s="159"/>
      <c r="BD46" s="159"/>
      <c r="BE46" s="159"/>
      <c r="BF46" s="159"/>
      <c r="BG46" s="159"/>
      <c r="BH46" s="159"/>
      <c r="BI46" s="159"/>
      <c r="BJ46" s="159"/>
      <c r="BK46" s="159"/>
      <c r="BL46" s="159"/>
      <c r="BM46" s="159"/>
      <c r="BN46" s="159"/>
      <c r="BO46" s="159"/>
      <c r="BP46" s="159"/>
      <c r="BQ46" s="159"/>
      <c r="BR46" s="159"/>
      <c r="BS46" s="159"/>
      <c r="BT46" s="159"/>
      <c r="BU46" s="159"/>
      <c r="BV46" s="159"/>
      <c r="BW46" s="159"/>
      <c r="BX46" s="159"/>
      <c r="BY46" s="159"/>
      <c r="BZ46" s="159"/>
      <c r="CA46" s="159"/>
      <c r="CB46" s="159"/>
      <c r="CC46" s="159"/>
      <c r="CD46" s="159">
        <v>0</v>
      </c>
      <c r="CE46" s="159"/>
      <c r="CF46" s="159"/>
      <c r="CG46" s="159">
        <v>-0.19</v>
      </c>
      <c r="CH46" s="159">
        <v>45</v>
      </c>
    </row>
    <row r="47" spans="1:86" x14ac:dyDescent="0.25">
      <c r="A47" s="241" t="s">
        <v>658</v>
      </c>
      <c r="B47" s="241">
        <v>0</v>
      </c>
      <c r="C47" s="241">
        <v>750</v>
      </c>
      <c r="D47" s="241">
        <v>500</v>
      </c>
      <c r="E47" s="241" t="s">
        <v>58</v>
      </c>
      <c r="F47" s="241" t="s">
        <v>58</v>
      </c>
      <c r="G47" s="265">
        <v>7874000</v>
      </c>
      <c r="H47" s="250">
        <v>0</v>
      </c>
      <c r="I47" s="250">
        <v>0</v>
      </c>
      <c r="J47" s="250">
        <v>0</v>
      </c>
      <c r="K47" s="250">
        <v>100</v>
      </c>
      <c r="L47" s="250">
        <v>0</v>
      </c>
      <c r="M47" s="250">
        <v>0</v>
      </c>
      <c r="N47" s="250">
        <v>0</v>
      </c>
      <c r="O47" s="250">
        <v>0</v>
      </c>
      <c r="P47" s="250">
        <v>0</v>
      </c>
      <c r="Q47" s="250">
        <v>0</v>
      </c>
      <c r="R47" s="250">
        <v>0</v>
      </c>
      <c r="S47" s="250">
        <v>0</v>
      </c>
      <c r="T47" s="250">
        <v>0</v>
      </c>
      <c r="U47" s="250">
        <v>0</v>
      </c>
      <c r="V47" s="250">
        <v>0</v>
      </c>
      <c r="W47" s="250">
        <v>0</v>
      </c>
      <c r="X47" s="250">
        <v>0</v>
      </c>
      <c r="Y47" s="250">
        <v>0</v>
      </c>
      <c r="Z47" s="250">
        <v>0</v>
      </c>
      <c r="AA47" s="250">
        <v>0</v>
      </c>
      <c r="AB47" s="250">
        <v>0</v>
      </c>
      <c r="AC47" s="250">
        <v>0</v>
      </c>
      <c r="AD47" s="250">
        <v>0</v>
      </c>
      <c r="AE47" s="250">
        <v>0</v>
      </c>
      <c r="AF47" s="250">
        <v>-134.4337197264361</v>
      </c>
      <c r="AG47" s="250">
        <v>-134.4337197264361</v>
      </c>
      <c r="AH47" s="250">
        <v>20</v>
      </c>
      <c r="AI47" s="250">
        <v>10</v>
      </c>
      <c r="AJ47" s="250">
        <v>1.5</v>
      </c>
      <c r="AK47" s="241" t="s">
        <v>228</v>
      </c>
      <c r="AL47" s="241" t="s">
        <v>230</v>
      </c>
      <c r="AM47" s="241"/>
      <c r="AN47" s="241">
        <v>0</v>
      </c>
      <c r="AO47" s="241"/>
      <c r="AP47" s="241"/>
      <c r="AQ47" s="241"/>
      <c r="AR47" s="241"/>
      <c r="AS47" s="241"/>
      <c r="AT47" s="241"/>
      <c r="AU47" s="241"/>
      <c r="AV47" s="241"/>
      <c r="AW47" s="241"/>
      <c r="AX47" s="241"/>
      <c r="AY47" s="241"/>
      <c r="AZ47" s="241"/>
      <c r="BA47" s="241"/>
      <c r="BB47" s="241"/>
      <c r="BC47" s="241"/>
      <c r="BD47" s="241"/>
      <c r="BE47" s="241"/>
      <c r="BF47" s="241"/>
      <c r="BG47" s="241"/>
      <c r="BH47" s="241"/>
      <c r="BI47" s="241"/>
      <c r="BJ47" s="241"/>
      <c r="BK47" s="241"/>
      <c r="BL47" s="241"/>
      <c r="BM47" s="241"/>
      <c r="BN47" s="241"/>
      <c r="BO47" s="241"/>
      <c r="BP47" s="241"/>
      <c r="BQ47" s="241"/>
      <c r="BR47" s="241"/>
      <c r="BS47" s="241"/>
      <c r="BT47" s="241"/>
      <c r="BU47" s="241"/>
      <c r="BV47" s="241"/>
      <c r="BW47" s="241"/>
      <c r="BX47" s="241"/>
      <c r="BY47" s="241"/>
      <c r="BZ47" s="241"/>
      <c r="CA47" s="241"/>
      <c r="CB47" s="241"/>
      <c r="CC47" s="241"/>
      <c r="CD47" s="241">
        <v>0</v>
      </c>
      <c r="CE47" s="241"/>
      <c r="CF47" s="241"/>
      <c r="CG47" s="241">
        <v>-7.0000000000000007E-2</v>
      </c>
      <c r="CH47" s="241">
        <v>46</v>
      </c>
    </row>
    <row r="48" spans="1:86" x14ac:dyDescent="0.25">
      <c r="A48" s="159" t="s">
        <v>659</v>
      </c>
      <c r="B48" s="159">
        <v>0</v>
      </c>
      <c r="C48" s="159">
        <v>750</v>
      </c>
      <c r="D48" s="159">
        <v>2000</v>
      </c>
      <c r="E48" s="159" t="s">
        <v>58</v>
      </c>
      <c r="F48" s="159" t="s">
        <v>58</v>
      </c>
      <c r="G48" s="264">
        <v>7874000</v>
      </c>
      <c r="H48" s="249">
        <v>0</v>
      </c>
      <c r="I48" s="249">
        <v>0</v>
      </c>
      <c r="J48" s="249">
        <v>0</v>
      </c>
      <c r="K48" s="249">
        <v>100</v>
      </c>
      <c r="L48" s="249">
        <v>0</v>
      </c>
      <c r="M48" s="249">
        <v>0</v>
      </c>
      <c r="N48" s="249">
        <v>0</v>
      </c>
      <c r="O48" s="249">
        <v>0</v>
      </c>
      <c r="P48" s="249">
        <v>0</v>
      </c>
      <c r="Q48" s="249">
        <v>0</v>
      </c>
      <c r="R48" s="249">
        <v>0</v>
      </c>
      <c r="S48" s="249">
        <v>0</v>
      </c>
      <c r="T48" s="249">
        <v>0</v>
      </c>
      <c r="U48" s="249">
        <v>0</v>
      </c>
      <c r="V48" s="249">
        <v>0</v>
      </c>
      <c r="W48" s="249">
        <v>0</v>
      </c>
      <c r="X48" s="249">
        <v>0</v>
      </c>
      <c r="Y48" s="249">
        <v>0</v>
      </c>
      <c r="Z48" s="249">
        <v>0</v>
      </c>
      <c r="AA48" s="249">
        <v>0</v>
      </c>
      <c r="AB48" s="249">
        <v>0</v>
      </c>
      <c r="AC48" s="249">
        <v>0</v>
      </c>
      <c r="AD48" s="249">
        <v>0</v>
      </c>
      <c r="AE48" s="249">
        <v>0</v>
      </c>
      <c r="AF48" s="249">
        <v>-134.4337197264361</v>
      </c>
      <c r="AG48" s="249">
        <v>-134.4337197264361</v>
      </c>
      <c r="AH48" s="249">
        <v>20</v>
      </c>
      <c r="AI48" s="249">
        <v>10</v>
      </c>
      <c r="AJ48" s="249">
        <v>1.5</v>
      </c>
      <c r="AK48" s="159" t="s">
        <v>228</v>
      </c>
      <c r="AL48" s="159" t="s">
        <v>230</v>
      </c>
      <c r="AM48" s="159"/>
      <c r="AN48" s="159">
        <v>0</v>
      </c>
      <c r="AO48" s="159"/>
      <c r="AP48" s="159"/>
      <c r="AQ48" s="159"/>
      <c r="AR48" s="159"/>
      <c r="AS48" s="159"/>
      <c r="AT48" s="159"/>
      <c r="AU48" s="159"/>
      <c r="AV48" s="159"/>
      <c r="AW48" s="159"/>
      <c r="AX48" s="159"/>
      <c r="AY48" s="159"/>
      <c r="AZ48" s="159"/>
      <c r="BA48" s="159"/>
      <c r="BB48" s="159"/>
      <c r="BC48" s="159"/>
      <c r="BD48" s="159"/>
      <c r="BE48" s="159"/>
      <c r="BF48" s="159"/>
      <c r="BG48" s="159"/>
      <c r="BH48" s="159"/>
      <c r="BI48" s="159"/>
      <c r="BJ48" s="159"/>
      <c r="BK48" s="159"/>
      <c r="BL48" s="159"/>
      <c r="BM48" s="159"/>
      <c r="BN48" s="159"/>
      <c r="BO48" s="159"/>
      <c r="BP48" s="159"/>
      <c r="BQ48" s="159"/>
      <c r="BR48" s="159"/>
      <c r="BS48" s="159"/>
      <c r="BT48" s="159"/>
      <c r="BU48" s="159"/>
      <c r="BV48" s="159"/>
      <c r="BW48" s="159"/>
      <c r="BX48" s="159"/>
      <c r="BY48" s="159"/>
      <c r="BZ48" s="159"/>
      <c r="CA48" s="159"/>
      <c r="CB48" s="159"/>
      <c r="CC48" s="159"/>
      <c r="CD48" s="159">
        <v>0</v>
      </c>
      <c r="CE48" s="159"/>
      <c r="CF48" s="159"/>
      <c r="CG48" s="159">
        <v>-0.02</v>
      </c>
      <c r="CH48" s="159">
        <v>47</v>
      </c>
    </row>
    <row r="49" spans="1:86" x14ac:dyDescent="0.25">
      <c r="A49" s="241" t="s">
        <v>660</v>
      </c>
      <c r="B49" s="241">
        <v>0</v>
      </c>
      <c r="C49" s="241">
        <v>850</v>
      </c>
      <c r="D49" s="241">
        <v>100</v>
      </c>
      <c r="E49" s="241" t="s">
        <v>58</v>
      </c>
      <c r="F49" s="241" t="s">
        <v>58</v>
      </c>
      <c r="G49" s="265">
        <v>7874000</v>
      </c>
      <c r="H49" s="250">
        <v>0</v>
      </c>
      <c r="I49" s="250">
        <v>0</v>
      </c>
      <c r="J49" s="250">
        <v>0</v>
      </c>
      <c r="K49" s="250">
        <v>100</v>
      </c>
      <c r="L49" s="250">
        <v>0</v>
      </c>
      <c r="M49" s="250">
        <v>0</v>
      </c>
      <c r="N49" s="250">
        <v>0</v>
      </c>
      <c r="O49" s="250">
        <v>0</v>
      </c>
      <c r="P49" s="250">
        <v>0</v>
      </c>
      <c r="Q49" s="250">
        <v>0</v>
      </c>
      <c r="R49" s="250">
        <v>0</v>
      </c>
      <c r="S49" s="250">
        <v>0</v>
      </c>
      <c r="T49" s="250">
        <v>0</v>
      </c>
      <c r="U49" s="250">
        <v>0</v>
      </c>
      <c r="V49" s="250">
        <v>0</v>
      </c>
      <c r="W49" s="250">
        <v>0</v>
      </c>
      <c r="X49" s="250">
        <v>0</v>
      </c>
      <c r="Y49" s="250">
        <v>0</v>
      </c>
      <c r="Z49" s="250">
        <v>0</v>
      </c>
      <c r="AA49" s="250">
        <v>0</v>
      </c>
      <c r="AB49" s="250">
        <v>0</v>
      </c>
      <c r="AC49" s="250">
        <v>0</v>
      </c>
      <c r="AD49" s="250">
        <v>0</v>
      </c>
      <c r="AE49" s="250">
        <v>0</v>
      </c>
      <c r="AF49" s="250">
        <v>-131.24103705820767</v>
      </c>
      <c r="AG49" s="250">
        <v>-131.24103705820767</v>
      </c>
      <c r="AH49" s="250">
        <v>20</v>
      </c>
      <c r="AI49" s="250">
        <v>10</v>
      </c>
      <c r="AJ49" s="250">
        <v>2</v>
      </c>
      <c r="AK49" s="241" t="s">
        <v>228</v>
      </c>
      <c r="AL49" s="241" t="s">
        <v>230</v>
      </c>
      <c r="AM49" s="241"/>
      <c r="AN49" s="241">
        <v>0</v>
      </c>
      <c r="AO49" s="241"/>
      <c r="AP49" s="241"/>
      <c r="AQ49" s="241"/>
      <c r="AR49" s="241"/>
      <c r="AS49" s="241"/>
      <c r="AT49" s="241"/>
      <c r="AU49" s="241"/>
      <c r="AV49" s="241"/>
      <c r="AW49" s="241"/>
      <c r="AX49" s="241"/>
      <c r="AY49" s="241"/>
      <c r="AZ49" s="241"/>
      <c r="BA49" s="241"/>
      <c r="BB49" s="241"/>
      <c r="BC49" s="241"/>
      <c r="BD49" s="241"/>
      <c r="BE49" s="241"/>
      <c r="BF49" s="241"/>
      <c r="BG49" s="241"/>
      <c r="BH49" s="241"/>
      <c r="BI49" s="241"/>
      <c r="BJ49" s="241"/>
      <c r="BK49" s="241"/>
      <c r="BL49" s="241"/>
      <c r="BM49" s="241"/>
      <c r="BN49" s="241"/>
      <c r="BO49" s="241"/>
      <c r="BP49" s="241"/>
      <c r="BQ49" s="241"/>
      <c r="BR49" s="241"/>
      <c r="BS49" s="241"/>
      <c r="BT49" s="241"/>
      <c r="BU49" s="241"/>
      <c r="BV49" s="241"/>
      <c r="BW49" s="241"/>
      <c r="BX49" s="241"/>
      <c r="BY49" s="241"/>
      <c r="BZ49" s="241"/>
      <c r="CA49" s="241"/>
      <c r="CB49" s="241"/>
      <c r="CC49" s="241"/>
      <c r="CD49" s="241">
        <v>0</v>
      </c>
      <c r="CE49" s="241"/>
      <c r="CF49" s="241"/>
      <c r="CG49" s="241">
        <v>-0.08</v>
      </c>
      <c r="CH49" s="241">
        <v>48</v>
      </c>
    </row>
    <row r="50" spans="1:86" x14ac:dyDescent="0.25">
      <c r="A50" s="159" t="s">
        <v>661</v>
      </c>
      <c r="B50" s="159">
        <v>0</v>
      </c>
      <c r="C50" s="159">
        <v>850</v>
      </c>
      <c r="D50" s="159">
        <v>500</v>
      </c>
      <c r="E50" s="159" t="s">
        <v>58</v>
      </c>
      <c r="F50" s="159" t="s">
        <v>58</v>
      </c>
      <c r="G50" s="264">
        <v>7874000</v>
      </c>
      <c r="H50" s="249">
        <v>0</v>
      </c>
      <c r="I50" s="249">
        <v>0</v>
      </c>
      <c r="J50" s="249">
        <v>0</v>
      </c>
      <c r="K50" s="249">
        <v>100</v>
      </c>
      <c r="L50" s="249">
        <v>0</v>
      </c>
      <c r="M50" s="249">
        <v>0</v>
      </c>
      <c r="N50" s="249">
        <v>0</v>
      </c>
      <c r="O50" s="249">
        <v>0</v>
      </c>
      <c r="P50" s="249">
        <v>0</v>
      </c>
      <c r="Q50" s="249">
        <v>0</v>
      </c>
      <c r="R50" s="249">
        <v>0</v>
      </c>
      <c r="S50" s="249">
        <v>0</v>
      </c>
      <c r="T50" s="249">
        <v>0</v>
      </c>
      <c r="U50" s="249">
        <v>0</v>
      </c>
      <c r="V50" s="249">
        <v>0</v>
      </c>
      <c r="W50" s="249">
        <v>0</v>
      </c>
      <c r="X50" s="249">
        <v>0</v>
      </c>
      <c r="Y50" s="249">
        <v>0</v>
      </c>
      <c r="Z50" s="249">
        <v>0</v>
      </c>
      <c r="AA50" s="249">
        <v>0</v>
      </c>
      <c r="AB50" s="249">
        <v>0</v>
      </c>
      <c r="AC50" s="249">
        <v>0</v>
      </c>
      <c r="AD50" s="249">
        <v>0</v>
      </c>
      <c r="AE50" s="249">
        <v>0</v>
      </c>
      <c r="AF50" s="249">
        <v>-131.24103705820767</v>
      </c>
      <c r="AG50" s="249">
        <v>-131.24103705820767</v>
      </c>
      <c r="AH50" s="249">
        <v>20</v>
      </c>
      <c r="AI50" s="249">
        <v>10</v>
      </c>
      <c r="AJ50" s="249">
        <v>2</v>
      </c>
      <c r="AK50" s="159" t="s">
        <v>228</v>
      </c>
      <c r="AL50" s="159" t="s">
        <v>230</v>
      </c>
      <c r="AM50" s="159"/>
      <c r="AN50" s="159">
        <v>0</v>
      </c>
      <c r="AO50" s="159"/>
      <c r="AP50" s="159"/>
      <c r="AQ50" s="159"/>
      <c r="AR50" s="159"/>
      <c r="AS50" s="159"/>
      <c r="AT50" s="159"/>
      <c r="AU50" s="159"/>
      <c r="AV50" s="159"/>
      <c r="AW50" s="159"/>
      <c r="AX50" s="159"/>
      <c r="AY50" s="159"/>
      <c r="AZ50" s="159"/>
      <c r="BA50" s="159"/>
      <c r="BB50" s="159"/>
      <c r="BC50" s="159"/>
      <c r="BD50" s="159"/>
      <c r="BE50" s="159"/>
      <c r="BF50" s="159"/>
      <c r="BG50" s="159"/>
      <c r="BH50" s="159"/>
      <c r="BI50" s="159"/>
      <c r="BJ50" s="159"/>
      <c r="BK50" s="159"/>
      <c r="BL50" s="159"/>
      <c r="BM50" s="159"/>
      <c r="BN50" s="159"/>
      <c r="BO50" s="159"/>
      <c r="BP50" s="159"/>
      <c r="BQ50" s="159"/>
      <c r="BR50" s="159"/>
      <c r="BS50" s="159"/>
      <c r="BT50" s="159"/>
      <c r="BU50" s="159"/>
      <c r="BV50" s="159"/>
      <c r="BW50" s="159"/>
      <c r="BX50" s="159"/>
      <c r="BY50" s="159"/>
      <c r="BZ50" s="159"/>
      <c r="CA50" s="159"/>
      <c r="CB50" s="159"/>
      <c r="CC50" s="159"/>
      <c r="CD50" s="159">
        <v>0</v>
      </c>
      <c r="CE50" s="159"/>
      <c r="CF50" s="159"/>
      <c r="CG50" s="159">
        <v>0.09</v>
      </c>
      <c r="CH50" s="159">
        <v>49</v>
      </c>
    </row>
    <row r="51" spans="1:86" ht="16.5" thickBot="1" x14ac:dyDescent="0.3">
      <c r="A51" s="242" t="s">
        <v>662</v>
      </c>
      <c r="B51" s="242">
        <v>0</v>
      </c>
      <c r="C51" s="242">
        <v>850</v>
      </c>
      <c r="D51" s="242">
        <v>2000</v>
      </c>
      <c r="E51" s="242" t="s">
        <v>58</v>
      </c>
      <c r="F51" s="242" t="s">
        <v>58</v>
      </c>
      <c r="G51" s="266">
        <v>7874000</v>
      </c>
      <c r="H51" s="251">
        <v>0</v>
      </c>
      <c r="I51" s="251">
        <v>0</v>
      </c>
      <c r="J51" s="251">
        <v>0</v>
      </c>
      <c r="K51" s="251">
        <v>100</v>
      </c>
      <c r="L51" s="251">
        <v>0</v>
      </c>
      <c r="M51" s="251">
        <v>0</v>
      </c>
      <c r="N51" s="251">
        <v>0</v>
      </c>
      <c r="O51" s="251">
        <v>0</v>
      </c>
      <c r="P51" s="251">
        <v>0</v>
      </c>
      <c r="Q51" s="251">
        <v>0</v>
      </c>
      <c r="R51" s="251">
        <v>0</v>
      </c>
      <c r="S51" s="251">
        <v>0</v>
      </c>
      <c r="T51" s="251">
        <v>0</v>
      </c>
      <c r="U51" s="251">
        <v>0</v>
      </c>
      <c r="V51" s="251">
        <v>0</v>
      </c>
      <c r="W51" s="251">
        <v>0</v>
      </c>
      <c r="X51" s="251">
        <v>0</v>
      </c>
      <c r="Y51" s="251">
        <v>0</v>
      </c>
      <c r="Z51" s="251">
        <v>0</v>
      </c>
      <c r="AA51" s="251">
        <v>0</v>
      </c>
      <c r="AB51" s="251">
        <v>0</v>
      </c>
      <c r="AC51" s="251">
        <v>0</v>
      </c>
      <c r="AD51" s="251">
        <v>0</v>
      </c>
      <c r="AE51" s="251">
        <v>0</v>
      </c>
      <c r="AF51" s="251">
        <v>-131.24103705820767</v>
      </c>
      <c r="AG51" s="251">
        <v>-131.24103705820767</v>
      </c>
      <c r="AH51" s="251">
        <v>20</v>
      </c>
      <c r="AI51" s="251">
        <v>10</v>
      </c>
      <c r="AJ51" s="251">
        <v>1.5</v>
      </c>
      <c r="AK51" s="242" t="s">
        <v>228</v>
      </c>
      <c r="AL51" s="242" t="s">
        <v>230</v>
      </c>
      <c r="AM51" s="242"/>
      <c r="AN51" s="242">
        <v>0</v>
      </c>
      <c r="AO51" s="242"/>
      <c r="AP51" s="242"/>
      <c r="AQ51" s="242"/>
      <c r="AR51" s="242"/>
      <c r="AS51" s="242"/>
      <c r="AT51" s="242"/>
      <c r="AU51" s="242"/>
      <c r="AV51" s="242"/>
      <c r="AW51" s="242"/>
      <c r="AX51" s="242"/>
      <c r="AY51" s="242"/>
      <c r="AZ51" s="242"/>
      <c r="BA51" s="242"/>
      <c r="BB51" s="242"/>
      <c r="BC51" s="242"/>
      <c r="BD51" s="242"/>
      <c r="BE51" s="242"/>
      <c r="BF51" s="242"/>
      <c r="BG51" s="242"/>
      <c r="BH51" s="242"/>
      <c r="BI51" s="242"/>
      <c r="BJ51" s="242"/>
      <c r="BK51" s="242"/>
      <c r="BL51" s="242"/>
      <c r="BM51" s="242"/>
      <c r="BN51" s="242"/>
      <c r="BO51" s="242"/>
      <c r="BP51" s="242"/>
      <c r="BQ51" s="242"/>
      <c r="BR51" s="242"/>
      <c r="BS51" s="242"/>
      <c r="BT51" s="242"/>
      <c r="BU51" s="242"/>
      <c r="BV51" s="242"/>
      <c r="BW51" s="242"/>
      <c r="BX51" s="242"/>
      <c r="BY51" s="242"/>
      <c r="BZ51" s="242"/>
      <c r="CA51" s="242"/>
      <c r="CB51" s="242"/>
      <c r="CC51" s="242"/>
      <c r="CD51" s="242">
        <v>0</v>
      </c>
      <c r="CE51" s="242"/>
      <c r="CF51" s="242"/>
      <c r="CG51" s="242">
        <v>0.32</v>
      </c>
      <c r="CH51" s="242">
        <v>50</v>
      </c>
    </row>
    <row r="52" spans="1:86" x14ac:dyDescent="0.25">
      <c r="A52" s="159" t="s">
        <v>663</v>
      </c>
      <c r="B52" s="159">
        <v>0</v>
      </c>
      <c r="C52" s="159">
        <v>700</v>
      </c>
      <c r="D52" s="159">
        <v>500</v>
      </c>
      <c r="E52" s="159" t="s">
        <v>227</v>
      </c>
      <c r="F52" s="159" t="s">
        <v>264</v>
      </c>
      <c r="G52" s="264">
        <v>7980000</v>
      </c>
      <c r="H52" s="249">
        <v>9.4756849601929485</v>
      </c>
      <c r="I52" s="249">
        <v>17.935126397617601</v>
      </c>
      <c r="J52" s="249">
        <v>1.1416966049583539</v>
      </c>
      <c r="K52" s="249">
        <v>69.094292469684888</v>
      </c>
      <c r="L52" s="249">
        <v>0</v>
      </c>
      <c r="M52" s="249">
        <v>0</v>
      </c>
      <c r="N52" s="249">
        <v>1.5183689943039427</v>
      </c>
      <c r="O52" s="249">
        <v>0</v>
      </c>
      <c r="P52" s="249">
        <v>0</v>
      </c>
      <c r="Q52" s="249">
        <v>0.59394227516595655</v>
      </c>
      <c r="R52" s="249">
        <v>0.18522163207784317</v>
      </c>
      <c r="S52" s="249">
        <v>0</v>
      </c>
      <c r="T52" s="249">
        <v>0</v>
      </c>
      <c r="U52" s="249">
        <v>0</v>
      </c>
      <c r="V52" s="249">
        <v>5.5666665998467701E-2</v>
      </c>
      <c r="W52" s="249">
        <v>0</v>
      </c>
      <c r="X52" s="249">
        <v>0</v>
      </c>
      <c r="Y52" s="249">
        <v>0</v>
      </c>
      <c r="Z52" s="249">
        <v>0</v>
      </c>
      <c r="AA52" s="249">
        <v>0</v>
      </c>
      <c r="AB52" s="249">
        <v>0</v>
      </c>
      <c r="AC52" s="249">
        <v>0</v>
      </c>
      <c r="AD52" s="249">
        <v>0</v>
      </c>
      <c r="AE52" s="249">
        <v>0</v>
      </c>
      <c r="AF52" s="249">
        <v>-137.28961215781271</v>
      </c>
      <c r="AG52" s="249">
        <v>-136.54295506071665</v>
      </c>
      <c r="AH52" s="249">
        <v>14</v>
      </c>
      <c r="AI52" s="249">
        <v>11</v>
      </c>
      <c r="AJ52" s="249">
        <v>1.5</v>
      </c>
      <c r="AK52" s="159" t="s">
        <v>245</v>
      </c>
      <c r="AL52" s="159" t="s">
        <v>247</v>
      </c>
      <c r="AM52" s="159"/>
      <c r="AN52" s="159">
        <v>0</v>
      </c>
      <c r="AO52" s="159">
        <v>78</v>
      </c>
      <c r="AP52" s="159">
        <v>54</v>
      </c>
      <c r="AQ52" s="159">
        <v>10.3</v>
      </c>
      <c r="AR52" s="159">
        <v>10</v>
      </c>
      <c r="AS52" s="159">
        <v>8.6999999999999993</v>
      </c>
      <c r="AT52" s="159">
        <v>4</v>
      </c>
      <c r="AU52" s="159">
        <v>2.8</v>
      </c>
      <c r="AV52" s="159">
        <v>0.8</v>
      </c>
      <c r="AW52" s="159">
        <v>0.8</v>
      </c>
      <c r="AX52" s="159"/>
      <c r="AY52" s="159">
        <v>0.7</v>
      </c>
      <c r="AZ52" s="159"/>
      <c r="BA52" s="159"/>
      <c r="BB52" s="159"/>
      <c r="BC52" s="159"/>
      <c r="BD52" s="159"/>
      <c r="BE52" s="159"/>
      <c r="BF52" s="159"/>
      <c r="BG52" s="159"/>
      <c r="BH52" s="159"/>
      <c r="BI52" s="159"/>
      <c r="BJ52" s="159"/>
      <c r="BK52" s="159"/>
      <c r="BL52" s="159"/>
      <c r="BM52" s="159"/>
      <c r="BN52" s="159"/>
      <c r="BO52" s="159"/>
      <c r="BP52" s="159"/>
      <c r="BQ52" s="159"/>
      <c r="BR52" s="159"/>
      <c r="BS52" s="159"/>
      <c r="BT52" s="159"/>
      <c r="BU52" s="159"/>
      <c r="BV52" s="159"/>
      <c r="BW52" s="159"/>
      <c r="BX52" s="159"/>
      <c r="BY52" s="159"/>
      <c r="BZ52" s="159"/>
      <c r="CA52" s="159"/>
      <c r="CB52" s="159"/>
      <c r="CC52" s="159"/>
      <c r="CD52" s="159">
        <v>0</v>
      </c>
      <c r="CE52" s="159"/>
      <c r="CF52" s="159">
        <v>-3</v>
      </c>
      <c r="CG52" s="159">
        <v>-0.21</v>
      </c>
      <c r="CH52" s="159">
        <v>51</v>
      </c>
    </row>
    <row r="53" spans="1:86" x14ac:dyDescent="0.25">
      <c r="A53" s="241" t="s">
        <v>664</v>
      </c>
      <c r="B53" s="241">
        <v>0</v>
      </c>
      <c r="C53" s="241">
        <v>700</v>
      </c>
      <c r="D53" s="241">
        <v>500</v>
      </c>
      <c r="E53" s="241" t="s">
        <v>268</v>
      </c>
      <c r="F53" s="241" t="s">
        <v>264</v>
      </c>
      <c r="G53" s="265">
        <v>7980000</v>
      </c>
      <c r="H53" s="250">
        <v>9.4756849601929485</v>
      </c>
      <c r="I53" s="250">
        <v>17.935126397617601</v>
      </c>
      <c r="J53" s="250">
        <v>1.1416966049583539</v>
      </c>
      <c r="K53" s="250">
        <v>69.094292469684888</v>
      </c>
      <c r="L53" s="250">
        <v>0</v>
      </c>
      <c r="M53" s="250">
        <v>0</v>
      </c>
      <c r="N53" s="250">
        <v>1.5183689943039427</v>
      </c>
      <c r="O53" s="250">
        <v>0</v>
      </c>
      <c r="P53" s="250">
        <v>0</v>
      </c>
      <c r="Q53" s="250">
        <v>0.59394227516595655</v>
      </c>
      <c r="R53" s="250">
        <v>0.18522163207784317</v>
      </c>
      <c r="S53" s="250">
        <v>0</v>
      </c>
      <c r="T53" s="250">
        <v>0</v>
      </c>
      <c r="U53" s="250">
        <v>0</v>
      </c>
      <c r="V53" s="250">
        <v>5.5666665998467701E-2</v>
      </c>
      <c r="W53" s="250">
        <v>0</v>
      </c>
      <c r="X53" s="250">
        <v>0</v>
      </c>
      <c r="Y53" s="250">
        <v>0</v>
      </c>
      <c r="Z53" s="250">
        <v>0</v>
      </c>
      <c r="AA53" s="250">
        <v>0</v>
      </c>
      <c r="AB53" s="250">
        <v>0</v>
      </c>
      <c r="AC53" s="250">
        <v>0</v>
      </c>
      <c r="AD53" s="250">
        <v>0</v>
      </c>
      <c r="AE53" s="250">
        <v>0</v>
      </c>
      <c r="AF53" s="250">
        <v>-137.28961215781271</v>
      </c>
      <c r="AG53" s="250" t="s">
        <v>857</v>
      </c>
      <c r="AH53" s="250">
        <v>14</v>
      </c>
      <c r="AI53" s="250">
        <v>11</v>
      </c>
      <c r="AJ53" s="250">
        <v>1.5</v>
      </c>
      <c r="AK53" s="241" t="s">
        <v>245</v>
      </c>
      <c r="AL53" s="241" t="s">
        <v>247</v>
      </c>
      <c r="AM53" s="241"/>
      <c r="AN53" s="241">
        <v>0</v>
      </c>
      <c r="AO53" s="241">
        <v>78</v>
      </c>
      <c r="AP53" s="241">
        <v>54</v>
      </c>
      <c r="AQ53" s="241">
        <v>10.3</v>
      </c>
      <c r="AR53" s="241">
        <v>10</v>
      </c>
      <c r="AS53" s="241">
        <v>8.6999999999999993</v>
      </c>
      <c r="AT53" s="241">
        <v>4</v>
      </c>
      <c r="AU53" s="241">
        <v>2.8</v>
      </c>
      <c r="AV53" s="241">
        <v>0.8</v>
      </c>
      <c r="AW53" s="241">
        <v>0.8</v>
      </c>
      <c r="AX53" s="241"/>
      <c r="AY53" s="241">
        <v>0.7</v>
      </c>
      <c r="AZ53" s="241"/>
      <c r="BA53" s="241"/>
      <c r="BB53" s="241"/>
      <c r="BC53" s="241"/>
      <c r="BD53" s="241"/>
      <c r="BE53" s="241"/>
      <c r="BF53" s="241"/>
      <c r="BG53" s="241"/>
      <c r="BH53" s="241"/>
      <c r="BI53" s="241"/>
      <c r="BJ53" s="241"/>
      <c r="BK53" s="241"/>
      <c r="BL53" s="241"/>
      <c r="BM53" s="241"/>
      <c r="BN53" s="241"/>
      <c r="BO53" s="241"/>
      <c r="BP53" s="241"/>
      <c r="BQ53" s="241"/>
      <c r="BR53" s="241"/>
      <c r="BS53" s="241"/>
      <c r="BT53" s="241"/>
      <c r="BU53" s="241"/>
      <c r="BV53" s="241"/>
      <c r="BW53" s="241"/>
      <c r="BX53" s="241"/>
      <c r="BY53" s="241"/>
      <c r="BZ53" s="241"/>
      <c r="CA53" s="241"/>
      <c r="CB53" s="241"/>
      <c r="CC53" s="241"/>
      <c r="CD53" s="241">
        <v>0</v>
      </c>
      <c r="CE53" s="241"/>
      <c r="CF53" s="241">
        <v>-6.3</v>
      </c>
      <c r="CG53" s="241">
        <v>-1.5</v>
      </c>
      <c r="CH53" s="241">
        <v>52</v>
      </c>
    </row>
    <row r="54" spans="1:86" x14ac:dyDescent="0.25">
      <c r="A54" s="159" t="s">
        <v>665</v>
      </c>
      <c r="B54" s="159">
        <v>0</v>
      </c>
      <c r="C54" s="159">
        <v>700</v>
      </c>
      <c r="D54" s="159">
        <v>500</v>
      </c>
      <c r="E54" s="159" t="s">
        <v>269</v>
      </c>
      <c r="F54" s="159" t="s">
        <v>264</v>
      </c>
      <c r="G54" s="264">
        <v>7980000</v>
      </c>
      <c r="H54" s="249">
        <v>9.4756849601929485</v>
      </c>
      <c r="I54" s="249">
        <v>17.935126397617601</v>
      </c>
      <c r="J54" s="249">
        <v>1.1416966049583539</v>
      </c>
      <c r="K54" s="249">
        <v>69.094292469684888</v>
      </c>
      <c r="L54" s="249">
        <v>0</v>
      </c>
      <c r="M54" s="249">
        <v>0</v>
      </c>
      <c r="N54" s="249">
        <v>1.5183689943039427</v>
      </c>
      <c r="O54" s="249">
        <v>0</v>
      </c>
      <c r="P54" s="249">
        <v>0</v>
      </c>
      <c r="Q54" s="249">
        <v>0.59394227516595655</v>
      </c>
      <c r="R54" s="249">
        <v>0.18522163207784317</v>
      </c>
      <c r="S54" s="249">
        <v>0</v>
      </c>
      <c r="T54" s="249">
        <v>0</v>
      </c>
      <c r="U54" s="249">
        <v>0</v>
      </c>
      <c r="V54" s="249">
        <v>5.5666665998467701E-2</v>
      </c>
      <c r="W54" s="249">
        <v>0</v>
      </c>
      <c r="X54" s="249">
        <v>0</v>
      </c>
      <c r="Y54" s="249">
        <v>0</v>
      </c>
      <c r="Z54" s="249">
        <v>0</v>
      </c>
      <c r="AA54" s="249">
        <v>0</v>
      </c>
      <c r="AB54" s="249">
        <v>0</v>
      </c>
      <c r="AC54" s="249">
        <v>0</v>
      </c>
      <c r="AD54" s="249">
        <v>0</v>
      </c>
      <c r="AE54" s="249">
        <v>0</v>
      </c>
      <c r="AF54" s="249">
        <v>-137.28961215781271</v>
      </c>
      <c r="AG54" s="249">
        <v>-63.529671587210359</v>
      </c>
      <c r="AH54" s="249">
        <v>14</v>
      </c>
      <c r="AI54" s="249">
        <v>11</v>
      </c>
      <c r="AJ54" s="249">
        <v>1.5</v>
      </c>
      <c r="AK54" s="159" t="s">
        <v>245</v>
      </c>
      <c r="AL54" s="159" t="s">
        <v>247</v>
      </c>
      <c r="AM54" s="159"/>
      <c r="AN54" s="159">
        <v>0</v>
      </c>
      <c r="AO54" s="159">
        <v>78</v>
      </c>
      <c r="AP54" s="159">
        <v>54</v>
      </c>
      <c r="AQ54" s="159">
        <v>10.3</v>
      </c>
      <c r="AR54" s="159">
        <v>10</v>
      </c>
      <c r="AS54" s="159">
        <v>8.6999999999999993</v>
      </c>
      <c r="AT54" s="159">
        <v>4</v>
      </c>
      <c r="AU54" s="159">
        <v>2.8</v>
      </c>
      <c r="AV54" s="159">
        <v>0.8</v>
      </c>
      <c r="AW54" s="159">
        <v>0.8</v>
      </c>
      <c r="AX54" s="159"/>
      <c r="AY54" s="159">
        <v>0.7</v>
      </c>
      <c r="AZ54" s="159"/>
      <c r="BA54" s="159"/>
      <c r="BB54" s="159"/>
      <c r="BC54" s="159"/>
      <c r="BD54" s="159"/>
      <c r="BE54" s="159"/>
      <c r="BF54" s="159"/>
      <c r="BG54" s="159"/>
      <c r="BH54" s="159"/>
      <c r="BI54" s="159"/>
      <c r="BJ54" s="159"/>
      <c r="BK54" s="159"/>
      <c r="BL54" s="159"/>
      <c r="BM54" s="159"/>
      <c r="BN54" s="159"/>
      <c r="BO54" s="159"/>
      <c r="BP54" s="159"/>
      <c r="BQ54" s="159"/>
      <c r="BR54" s="159"/>
      <c r="BS54" s="159"/>
      <c r="BT54" s="159"/>
      <c r="BU54" s="159"/>
      <c r="BV54" s="159"/>
      <c r="BW54" s="159"/>
      <c r="BX54" s="159"/>
      <c r="BY54" s="159"/>
      <c r="BZ54" s="159"/>
      <c r="CA54" s="159"/>
      <c r="CB54" s="159"/>
      <c r="CC54" s="159"/>
      <c r="CD54" s="159">
        <v>0</v>
      </c>
      <c r="CE54" s="159"/>
      <c r="CF54" s="159">
        <v>-7.7</v>
      </c>
      <c r="CG54" s="159">
        <v>-1.7</v>
      </c>
      <c r="CH54" s="159">
        <v>53</v>
      </c>
    </row>
    <row r="55" spans="1:86" x14ac:dyDescent="0.25">
      <c r="A55" s="241" t="s">
        <v>666</v>
      </c>
      <c r="B55" s="241">
        <v>0</v>
      </c>
      <c r="C55" s="241">
        <v>700</v>
      </c>
      <c r="D55" s="241">
        <v>500</v>
      </c>
      <c r="E55" s="241" t="s">
        <v>269</v>
      </c>
      <c r="F55" s="241" t="s">
        <v>227</v>
      </c>
      <c r="G55" s="265">
        <v>7980000</v>
      </c>
      <c r="H55" s="250">
        <v>9.4667153159315394</v>
      </c>
      <c r="I55" s="250">
        <v>17.954057195408527</v>
      </c>
      <c r="J55" s="250">
        <v>1.2531307793648654</v>
      </c>
      <c r="K55" s="250">
        <v>68.80936995962611</v>
      </c>
      <c r="L55" s="250">
        <v>0</v>
      </c>
      <c r="M55" s="250">
        <v>0</v>
      </c>
      <c r="N55" s="250">
        <v>1.6821019657457552</v>
      </c>
      <c r="O55" s="250">
        <v>0</v>
      </c>
      <c r="P55" s="250">
        <v>0</v>
      </c>
      <c r="Q55" s="250">
        <v>0.69366405528111286</v>
      </c>
      <c r="R55" s="250">
        <v>8.3437711343222629E-2</v>
      </c>
      <c r="S55" s="250">
        <v>0</v>
      </c>
      <c r="T55" s="250">
        <v>0</v>
      </c>
      <c r="U55" s="250">
        <v>0</v>
      </c>
      <c r="V55" s="250">
        <v>5.7523017298868662E-2</v>
      </c>
      <c r="W55" s="250">
        <v>0</v>
      </c>
      <c r="X55" s="250">
        <v>0</v>
      </c>
      <c r="Y55" s="250">
        <v>0</v>
      </c>
      <c r="Z55" s="250">
        <v>0</v>
      </c>
      <c r="AA55" s="250">
        <v>0</v>
      </c>
      <c r="AB55" s="250">
        <v>0</v>
      </c>
      <c r="AC55" s="250">
        <v>0</v>
      </c>
      <c r="AD55" s="250">
        <v>0</v>
      </c>
      <c r="AE55" s="250">
        <v>0</v>
      </c>
      <c r="AF55" s="250">
        <v>-137.41261437808242</v>
      </c>
      <c r="AG55" s="250">
        <v>-63.529671587210359</v>
      </c>
      <c r="AH55" s="250">
        <v>14</v>
      </c>
      <c r="AI55" s="250">
        <v>11</v>
      </c>
      <c r="AJ55" s="250">
        <v>1.5</v>
      </c>
      <c r="AK55" s="241" t="s">
        <v>245</v>
      </c>
      <c r="AL55" s="241" t="s">
        <v>247</v>
      </c>
      <c r="AM55" s="241"/>
      <c r="AN55" s="241">
        <v>0</v>
      </c>
      <c r="AO55" s="241">
        <v>78</v>
      </c>
      <c r="AP55" s="241">
        <v>54</v>
      </c>
      <c r="AQ55" s="241">
        <v>10.3</v>
      </c>
      <c r="AR55" s="241">
        <v>10</v>
      </c>
      <c r="AS55" s="241">
        <v>8.6999999999999993</v>
      </c>
      <c r="AT55" s="241">
        <v>4</v>
      </c>
      <c r="AU55" s="241">
        <v>2.8</v>
      </c>
      <c r="AV55" s="241">
        <v>0.8</v>
      </c>
      <c r="AW55" s="241">
        <v>0.8</v>
      </c>
      <c r="AX55" s="241"/>
      <c r="AY55" s="241">
        <v>0.7</v>
      </c>
      <c r="AZ55" s="241"/>
      <c r="BA55" s="241"/>
      <c r="BB55" s="241"/>
      <c r="BC55" s="241"/>
      <c r="BD55" s="241"/>
      <c r="BE55" s="241"/>
      <c r="BF55" s="241"/>
      <c r="BG55" s="241"/>
      <c r="BH55" s="241"/>
      <c r="BI55" s="241"/>
      <c r="BJ55" s="241"/>
      <c r="BK55" s="241"/>
      <c r="BL55" s="241"/>
      <c r="BM55" s="241"/>
      <c r="BN55" s="241"/>
      <c r="BO55" s="241"/>
      <c r="BP55" s="241"/>
      <c r="BQ55" s="241"/>
      <c r="BR55" s="241"/>
      <c r="BS55" s="241"/>
      <c r="BT55" s="241"/>
      <c r="BU55" s="241"/>
      <c r="BV55" s="241"/>
      <c r="BW55" s="241"/>
      <c r="BX55" s="241"/>
      <c r="BY55" s="241"/>
      <c r="BZ55" s="241"/>
      <c r="CA55" s="241"/>
      <c r="CB55" s="241"/>
      <c r="CC55" s="241"/>
      <c r="CD55" s="241">
        <v>0</v>
      </c>
      <c r="CE55" s="241"/>
      <c r="CF55" s="241">
        <v>-5.8</v>
      </c>
      <c r="CG55" s="241">
        <v>-2</v>
      </c>
      <c r="CH55" s="241">
        <v>54</v>
      </c>
    </row>
    <row r="56" spans="1:86" x14ac:dyDescent="0.25">
      <c r="A56" s="159" t="s">
        <v>667</v>
      </c>
      <c r="B56" s="159">
        <v>0</v>
      </c>
      <c r="C56" s="159">
        <v>700</v>
      </c>
      <c r="D56" s="159">
        <v>500</v>
      </c>
      <c r="E56" s="159" t="s">
        <v>227</v>
      </c>
      <c r="F56" s="159" t="s">
        <v>227</v>
      </c>
      <c r="G56" s="264">
        <v>7980000</v>
      </c>
      <c r="H56" s="249">
        <v>9.4667153159315394</v>
      </c>
      <c r="I56" s="249">
        <v>17.954057195408527</v>
      </c>
      <c r="J56" s="249">
        <v>1.2531307793648654</v>
      </c>
      <c r="K56" s="249">
        <v>68.80936995962611</v>
      </c>
      <c r="L56" s="249">
        <v>0</v>
      </c>
      <c r="M56" s="249">
        <v>0</v>
      </c>
      <c r="N56" s="249">
        <v>1.6821019657457552</v>
      </c>
      <c r="O56" s="249">
        <v>0</v>
      </c>
      <c r="P56" s="249">
        <v>0</v>
      </c>
      <c r="Q56" s="249">
        <v>0.69366405528111286</v>
      </c>
      <c r="R56" s="249">
        <v>8.3437711343222629E-2</v>
      </c>
      <c r="S56" s="249">
        <v>0</v>
      </c>
      <c r="T56" s="249">
        <v>0</v>
      </c>
      <c r="U56" s="249">
        <v>0</v>
      </c>
      <c r="V56" s="249">
        <v>5.7523017298868662E-2</v>
      </c>
      <c r="W56" s="249">
        <v>0</v>
      </c>
      <c r="X56" s="249">
        <v>0</v>
      </c>
      <c r="Y56" s="249">
        <v>0</v>
      </c>
      <c r="Z56" s="249">
        <v>0</v>
      </c>
      <c r="AA56" s="249">
        <v>0</v>
      </c>
      <c r="AB56" s="249">
        <v>0</v>
      </c>
      <c r="AC56" s="249">
        <v>0</v>
      </c>
      <c r="AD56" s="249">
        <v>0</v>
      </c>
      <c r="AE56" s="249">
        <v>0</v>
      </c>
      <c r="AF56" s="249">
        <v>-137.41261437808242</v>
      </c>
      <c r="AG56" s="249">
        <v>-137.41261437808242</v>
      </c>
      <c r="AH56" s="249">
        <v>14</v>
      </c>
      <c r="AI56" s="249">
        <v>11</v>
      </c>
      <c r="AJ56" s="249">
        <v>1.5</v>
      </c>
      <c r="AK56" s="159" t="s">
        <v>245</v>
      </c>
      <c r="AL56" s="159" t="s">
        <v>247</v>
      </c>
      <c r="AM56" s="159"/>
      <c r="AN56" s="159">
        <v>0</v>
      </c>
      <c r="AO56" s="159">
        <v>78</v>
      </c>
      <c r="AP56" s="159">
        <v>54</v>
      </c>
      <c r="AQ56" s="159">
        <v>10.3</v>
      </c>
      <c r="AR56" s="159">
        <v>10</v>
      </c>
      <c r="AS56" s="159">
        <v>8.6999999999999993</v>
      </c>
      <c r="AT56" s="159">
        <v>4</v>
      </c>
      <c r="AU56" s="159">
        <v>2.8</v>
      </c>
      <c r="AV56" s="159">
        <v>0.8</v>
      </c>
      <c r="AW56" s="159">
        <v>0.8</v>
      </c>
      <c r="AX56" s="159"/>
      <c r="AY56" s="159">
        <v>0.7</v>
      </c>
      <c r="AZ56" s="159"/>
      <c r="BA56" s="159"/>
      <c r="BB56" s="159"/>
      <c r="BC56" s="159"/>
      <c r="BD56" s="159"/>
      <c r="BE56" s="159"/>
      <c r="BF56" s="159"/>
      <c r="BG56" s="159"/>
      <c r="BH56" s="159"/>
      <c r="BI56" s="159"/>
      <c r="BJ56" s="159"/>
      <c r="BK56" s="159"/>
      <c r="BL56" s="159"/>
      <c r="BM56" s="159"/>
      <c r="BN56" s="159"/>
      <c r="BO56" s="159"/>
      <c r="BP56" s="159"/>
      <c r="BQ56" s="159"/>
      <c r="BR56" s="159"/>
      <c r="BS56" s="159"/>
      <c r="BT56" s="159"/>
      <c r="BU56" s="159"/>
      <c r="BV56" s="159"/>
      <c r="BW56" s="159"/>
      <c r="BX56" s="159"/>
      <c r="BY56" s="159"/>
      <c r="BZ56" s="159"/>
      <c r="CA56" s="159"/>
      <c r="CB56" s="159"/>
      <c r="CC56" s="159"/>
      <c r="CD56" s="159">
        <v>0</v>
      </c>
      <c r="CE56" s="159"/>
      <c r="CF56" s="159">
        <v>-6</v>
      </c>
      <c r="CG56" s="159">
        <v>-0.11899999999999999</v>
      </c>
      <c r="CH56" s="159">
        <v>55</v>
      </c>
    </row>
    <row r="57" spans="1:86" ht="16.5" thickBot="1" x14ac:dyDescent="0.3">
      <c r="A57" s="242" t="s">
        <v>668</v>
      </c>
      <c r="B57" s="242">
        <v>0</v>
      </c>
      <c r="C57" s="242">
        <v>700</v>
      </c>
      <c r="D57" s="242">
        <v>500</v>
      </c>
      <c r="E57" s="242" t="s">
        <v>268</v>
      </c>
      <c r="F57" s="242" t="s">
        <v>227</v>
      </c>
      <c r="G57" s="266">
        <v>7980000</v>
      </c>
      <c r="H57" s="251">
        <v>9.4667153159315394</v>
      </c>
      <c r="I57" s="251">
        <v>17.954057195408527</v>
      </c>
      <c r="J57" s="251">
        <v>1.2531307793648654</v>
      </c>
      <c r="K57" s="251">
        <v>68.80936995962611</v>
      </c>
      <c r="L57" s="251">
        <v>0</v>
      </c>
      <c r="M57" s="251">
        <v>0</v>
      </c>
      <c r="N57" s="251">
        <v>1.6821019657457552</v>
      </c>
      <c r="O57" s="251">
        <v>0</v>
      </c>
      <c r="P57" s="251">
        <v>0</v>
      </c>
      <c r="Q57" s="251">
        <v>0.69366405528111286</v>
      </c>
      <c r="R57" s="251">
        <v>8.3437711343222629E-2</v>
      </c>
      <c r="S57" s="251">
        <v>0</v>
      </c>
      <c r="T57" s="251">
        <v>0</v>
      </c>
      <c r="U57" s="251">
        <v>0</v>
      </c>
      <c r="V57" s="251">
        <v>5.7523017298868662E-2</v>
      </c>
      <c r="W57" s="251">
        <v>0</v>
      </c>
      <c r="X57" s="251">
        <v>0</v>
      </c>
      <c r="Y57" s="251">
        <v>0</v>
      </c>
      <c r="Z57" s="251">
        <v>0</v>
      </c>
      <c r="AA57" s="251">
        <v>0</v>
      </c>
      <c r="AB57" s="251">
        <v>0</v>
      </c>
      <c r="AC57" s="251">
        <v>0</v>
      </c>
      <c r="AD57" s="251">
        <v>0</v>
      </c>
      <c r="AE57" s="251">
        <v>0</v>
      </c>
      <c r="AF57" s="251">
        <v>-137.41261437808242</v>
      </c>
      <c r="AG57" s="251" t="s">
        <v>857</v>
      </c>
      <c r="AH57" s="251">
        <v>14</v>
      </c>
      <c r="AI57" s="251">
        <v>11</v>
      </c>
      <c r="AJ57" s="251">
        <v>1.5</v>
      </c>
      <c r="AK57" s="242" t="s">
        <v>245</v>
      </c>
      <c r="AL57" s="242" t="s">
        <v>247</v>
      </c>
      <c r="AM57" s="242"/>
      <c r="AN57" s="242">
        <v>0</v>
      </c>
      <c r="AO57" s="242">
        <v>78</v>
      </c>
      <c r="AP57" s="242">
        <v>54</v>
      </c>
      <c r="AQ57" s="242">
        <v>10.3</v>
      </c>
      <c r="AR57" s="242">
        <v>10</v>
      </c>
      <c r="AS57" s="242">
        <v>8.6999999999999993</v>
      </c>
      <c r="AT57" s="242">
        <v>4</v>
      </c>
      <c r="AU57" s="242">
        <v>2.8</v>
      </c>
      <c r="AV57" s="242">
        <v>0.8</v>
      </c>
      <c r="AW57" s="242">
        <v>0.8</v>
      </c>
      <c r="AX57" s="242"/>
      <c r="AY57" s="242">
        <v>0.7</v>
      </c>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v>0</v>
      </c>
      <c r="CE57" s="242"/>
      <c r="CF57" s="242">
        <v>-5.8</v>
      </c>
      <c r="CG57" s="242">
        <v>-1.5</v>
      </c>
      <c r="CH57" s="242">
        <v>56</v>
      </c>
    </row>
    <row r="58" spans="1:86" x14ac:dyDescent="0.25">
      <c r="A58" s="159" t="s">
        <v>669</v>
      </c>
      <c r="B58" s="159">
        <v>0</v>
      </c>
      <c r="C58" s="159">
        <v>600</v>
      </c>
      <c r="D58" s="159">
        <v>100</v>
      </c>
      <c r="E58" s="159" t="s">
        <v>48</v>
      </c>
      <c r="F58" s="159" t="s">
        <v>275</v>
      </c>
      <c r="G58" s="264">
        <v>9220000</v>
      </c>
      <c r="H58" s="249">
        <v>68.825839891971</v>
      </c>
      <c r="I58" s="249">
        <v>1.7926280517425051</v>
      </c>
      <c r="J58" s="249">
        <v>18.456820707811541</v>
      </c>
      <c r="K58" s="249">
        <v>1.6690538709151344</v>
      </c>
      <c r="L58" s="249">
        <v>1.0143270804201334</v>
      </c>
      <c r="M58" s="249">
        <v>3.1636402067066096</v>
      </c>
      <c r="N58" s="249">
        <v>3.3933985690065618</v>
      </c>
      <c r="O58" s="249">
        <v>1.1516760401607398</v>
      </c>
      <c r="P58" s="249">
        <v>0.25963835022800719</v>
      </c>
      <c r="Q58" s="249">
        <v>0.22123331835910828</v>
      </c>
      <c r="R58" s="249">
        <v>5.1743912678662372E-2</v>
      </c>
      <c r="S58" s="249">
        <v>0</v>
      </c>
      <c r="T58" s="249">
        <v>0</v>
      </c>
      <c r="U58" s="249">
        <v>0</v>
      </c>
      <c r="V58" s="249">
        <v>0</v>
      </c>
      <c r="W58" s="249">
        <v>0</v>
      </c>
      <c r="X58" s="249">
        <v>0</v>
      </c>
      <c r="Y58" s="249">
        <v>0</v>
      </c>
      <c r="Z58" s="249">
        <v>0</v>
      </c>
      <c r="AA58" s="249">
        <v>0</v>
      </c>
      <c r="AB58" s="249">
        <v>0</v>
      </c>
      <c r="AC58" s="249">
        <v>0</v>
      </c>
      <c r="AD58" s="249">
        <v>0</v>
      </c>
      <c r="AE58" s="249">
        <v>0</v>
      </c>
      <c r="AF58" s="249">
        <v>-126.67062094491158</v>
      </c>
      <c r="AG58" s="249">
        <v>-125.32307267842094</v>
      </c>
      <c r="AH58" s="249"/>
      <c r="AI58" s="249"/>
      <c r="AJ58" s="249"/>
      <c r="AK58" s="159" t="s">
        <v>245</v>
      </c>
      <c r="AL58" s="159" t="s">
        <v>247</v>
      </c>
      <c r="AM58" s="159">
        <v>3.19</v>
      </c>
      <c r="AN58" s="159">
        <v>0</v>
      </c>
      <c r="AO58" s="159"/>
      <c r="AP58" s="159"/>
      <c r="AQ58" s="159"/>
      <c r="AR58" s="159"/>
      <c r="AS58" s="159"/>
      <c r="AT58" s="159"/>
      <c r="AU58" s="159"/>
      <c r="AV58" s="159"/>
      <c r="AW58" s="159"/>
      <c r="AX58" s="159"/>
      <c r="AY58" s="159"/>
      <c r="AZ58" s="159"/>
      <c r="BA58" s="159"/>
      <c r="BB58" s="159"/>
      <c r="BC58" s="159"/>
      <c r="BD58" s="159"/>
      <c r="BE58" s="159"/>
      <c r="BF58" s="159"/>
      <c r="BG58" s="159"/>
      <c r="BH58" s="159"/>
      <c r="BI58" s="159"/>
      <c r="BJ58" s="159"/>
      <c r="BK58" s="159"/>
      <c r="BL58" s="159"/>
      <c r="BM58" s="159"/>
      <c r="BN58" s="159"/>
      <c r="BO58" s="159"/>
      <c r="BP58" s="159"/>
      <c r="BQ58" s="159"/>
      <c r="BR58" s="159"/>
      <c r="BS58" s="159"/>
      <c r="BT58" s="159"/>
      <c r="BU58" s="159"/>
      <c r="BV58" s="159"/>
      <c r="BW58" s="159"/>
      <c r="BX58" s="159"/>
      <c r="BY58" s="159"/>
      <c r="BZ58" s="159"/>
      <c r="CA58" s="159"/>
      <c r="CB58" s="159"/>
      <c r="CC58" s="159"/>
      <c r="CD58" s="159">
        <v>0</v>
      </c>
      <c r="CE58" s="159"/>
      <c r="CF58" s="159"/>
      <c r="CG58" s="159">
        <v>-12.37</v>
      </c>
      <c r="CH58" s="159">
        <v>57</v>
      </c>
    </row>
    <row r="59" spans="1:86" x14ac:dyDescent="0.25">
      <c r="A59" s="241" t="s">
        <v>670</v>
      </c>
      <c r="B59" s="241">
        <v>0</v>
      </c>
      <c r="C59" s="241">
        <v>600</v>
      </c>
      <c r="D59" s="241">
        <v>300</v>
      </c>
      <c r="E59" s="241" t="s">
        <v>48</v>
      </c>
      <c r="F59" s="241" t="s">
        <v>275</v>
      </c>
      <c r="G59" s="265">
        <v>9220000</v>
      </c>
      <c r="H59" s="250">
        <v>68.825839891971</v>
      </c>
      <c r="I59" s="250">
        <v>1.7926280517425051</v>
      </c>
      <c r="J59" s="250">
        <v>18.456820707811541</v>
      </c>
      <c r="K59" s="250">
        <v>1.6690538709151344</v>
      </c>
      <c r="L59" s="250">
        <v>1.0143270804201334</v>
      </c>
      <c r="M59" s="250">
        <v>3.1636402067066096</v>
      </c>
      <c r="N59" s="250">
        <v>3.3933985690065618</v>
      </c>
      <c r="O59" s="250">
        <v>1.1516760401607398</v>
      </c>
      <c r="P59" s="250">
        <v>0.25963835022800719</v>
      </c>
      <c r="Q59" s="250">
        <v>0.22123331835910828</v>
      </c>
      <c r="R59" s="250">
        <v>5.1743912678662372E-2</v>
      </c>
      <c r="S59" s="250">
        <v>0</v>
      </c>
      <c r="T59" s="250">
        <v>0</v>
      </c>
      <c r="U59" s="250">
        <v>0</v>
      </c>
      <c r="V59" s="250">
        <v>0</v>
      </c>
      <c r="W59" s="250">
        <v>0</v>
      </c>
      <c r="X59" s="250">
        <v>0</v>
      </c>
      <c r="Y59" s="250">
        <v>0</v>
      </c>
      <c r="Z59" s="250">
        <v>0</v>
      </c>
      <c r="AA59" s="250">
        <v>0</v>
      </c>
      <c r="AB59" s="250">
        <v>0</v>
      </c>
      <c r="AC59" s="250">
        <v>0</v>
      </c>
      <c r="AD59" s="250">
        <v>0</v>
      </c>
      <c r="AE59" s="250">
        <v>0</v>
      </c>
      <c r="AF59" s="250">
        <v>-126.67062094491158</v>
      </c>
      <c r="AG59" s="250">
        <v>-125.32307267842094</v>
      </c>
      <c r="AH59" s="250"/>
      <c r="AI59" s="250"/>
      <c r="AJ59" s="250"/>
      <c r="AK59" s="241" t="s">
        <v>245</v>
      </c>
      <c r="AL59" s="241" t="s">
        <v>247</v>
      </c>
      <c r="AM59" s="241">
        <v>3.19</v>
      </c>
      <c r="AN59" s="241">
        <v>0</v>
      </c>
      <c r="AO59" s="241"/>
      <c r="AP59" s="241"/>
      <c r="AQ59" s="241"/>
      <c r="AR59" s="241"/>
      <c r="AS59" s="241"/>
      <c r="AT59" s="241"/>
      <c r="AU59" s="241"/>
      <c r="AV59" s="241"/>
      <c r="AW59" s="241"/>
      <c r="AX59" s="241"/>
      <c r="AY59" s="241"/>
      <c r="AZ59" s="241"/>
      <c r="BA59" s="241"/>
      <c r="BB59" s="241"/>
      <c r="BC59" s="241"/>
      <c r="BD59" s="241"/>
      <c r="BE59" s="241"/>
      <c r="BF59" s="241"/>
      <c r="BG59" s="241"/>
      <c r="BH59" s="241"/>
      <c r="BI59" s="241"/>
      <c r="BJ59" s="241"/>
      <c r="BK59" s="241"/>
      <c r="BL59" s="241"/>
      <c r="BM59" s="241"/>
      <c r="BN59" s="241"/>
      <c r="BO59" s="241"/>
      <c r="BP59" s="241"/>
      <c r="BQ59" s="241"/>
      <c r="BR59" s="241"/>
      <c r="BS59" s="241"/>
      <c r="BT59" s="241"/>
      <c r="BU59" s="241"/>
      <c r="BV59" s="241"/>
      <c r="BW59" s="241"/>
      <c r="BX59" s="241"/>
      <c r="BY59" s="241"/>
      <c r="BZ59" s="241"/>
      <c r="CA59" s="241"/>
      <c r="CB59" s="241"/>
      <c r="CC59" s="241"/>
      <c r="CD59" s="241">
        <v>0</v>
      </c>
      <c r="CE59" s="241"/>
      <c r="CF59" s="241"/>
      <c r="CG59" s="241">
        <v>-24.48</v>
      </c>
      <c r="CH59" s="241">
        <v>58</v>
      </c>
    </row>
    <row r="60" spans="1:86" x14ac:dyDescent="0.25">
      <c r="A60" s="159" t="s">
        <v>671</v>
      </c>
      <c r="B60" s="159">
        <v>0</v>
      </c>
      <c r="C60" s="159">
        <v>700</v>
      </c>
      <c r="D60" s="159">
        <v>100</v>
      </c>
      <c r="E60" s="159" t="s">
        <v>48</v>
      </c>
      <c r="F60" s="159" t="s">
        <v>275</v>
      </c>
      <c r="G60" s="264">
        <v>9220000</v>
      </c>
      <c r="H60" s="249">
        <v>68.825839891971</v>
      </c>
      <c r="I60" s="249">
        <v>1.7926280517425051</v>
      </c>
      <c r="J60" s="249">
        <v>18.456820707811541</v>
      </c>
      <c r="K60" s="249">
        <v>1.6690538709151344</v>
      </c>
      <c r="L60" s="249">
        <v>1.0143270804201334</v>
      </c>
      <c r="M60" s="249">
        <v>3.1636402067066096</v>
      </c>
      <c r="N60" s="249">
        <v>3.3933985690065618</v>
      </c>
      <c r="O60" s="249">
        <v>1.1516760401607398</v>
      </c>
      <c r="P60" s="249">
        <v>0.25963835022800719</v>
      </c>
      <c r="Q60" s="249">
        <v>0.22123331835910828</v>
      </c>
      <c r="R60" s="249">
        <v>5.1743912678662372E-2</v>
      </c>
      <c r="S60" s="249">
        <v>0</v>
      </c>
      <c r="T60" s="249">
        <v>0</v>
      </c>
      <c r="U60" s="249">
        <v>0</v>
      </c>
      <c r="V60" s="249">
        <v>0</v>
      </c>
      <c r="W60" s="249">
        <v>0</v>
      </c>
      <c r="X60" s="249">
        <v>0</v>
      </c>
      <c r="Y60" s="249">
        <v>0</v>
      </c>
      <c r="Z60" s="249">
        <v>0</v>
      </c>
      <c r="AA60" s="249">
        <v>0</v>
      </c>
      <c r="AB60" s="249">
        <v>0</v>
      </c>
      <c r="AC60" s="249">
        <v>0</v>
      </c>
      <c r="AD60" s="249">
        <v>0</v>
      </c>
      <c r="AE60" s="249">
        <v>0</v>
      </c>
      <c r="AF60" s="249">
        <v>-123.42862137745254</v>
      </c>
      <c r="AG60" s="249">
        <v>-121.74823772574202</v>
      </c>
      <c r="AH60" s="249"/>
      <c r="AI60" s="249"/>
      <c r="AJ60" s="249"/>
      <c r="AK60" s="159" t="s">
        <v>245</v>
      </c>
      <c r="AL60" s="159" t="s">
        <v>247</v>
      </c>
      <c r="AM60" s="159">
        <v>3.19</v>
      </c>
      <c r="AN60" s="159">
        <v>0</v>
      </c>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c r="BO60" s="159"/>
      <c r="BP60" s="159"/>
      <c r="BQ60" s="159"/>
      <c r="BR60" s="159"/>
      <c r="BS60" s="159"/>
      <c r="BT60" s="159"/>
      <c r="BU60" s="159"/>
      <c r="BV60" s="159"/>
      <c r="BW60" s="159"/>
      <c r="BX60" s="159"/>
      <c r="BY60" s="159"/>
      <c r="BZ60" s="159"/>
      <c r="CA60" s="159"/>
      <c r="CB60" s="159"/>
      <c r="CC60" s="159"/>
      <c r="CD60" s="159">
        <v>0</v>
      </c>
      <c r="CE60" s="159"/>
      <c r="CF60" s="159"/>
      <c r="CG60" s="159">
        <v>-58.04</v>
      </c>
      <c r="CH60" s="159">
        <v>59</v>
      </c>
    </row>
    <row r="61" spans="1:86" x14ac:dyDescent="0.25">
      <c r="A61" s="241" t="s">
        <v>672</v>
      </c>
      <c r="B61" s="241">
        <v>0</v>
      </c>
      <c r="C61" s="241">
        <v>700</v>
      </c>
      <c r="D61" s="241">
        <v>200</v>
      </c>
      <c r="E61" s="241" t="s">
        <v>48</v>
      </c>
      <c r="F61" s="241" t="s">
        <v>275</v>
      </c>
      <c r="G61" s="265">
        <v>9220000</v>
      </c>
      <c r="H61" s="250">
        <v>68.825839891971</v>
      </c>
      <c r="I61" s="250">
        <v>1.7926280517425051</v>
      </c>
      <c r="J61" s="250">
        <v>18.456820707811541</v>
      </c>
      <c r="K61" s="250">
        <v>1.6690538709151344</v>
      </c>
      <c r="L61" s="250">
        <v>1.0143270804201334</v>
      </c>
      <c r="M61" s="250">
        <v>3.1636402067066096</v>
      </c>
      <c r="N61" s="250">
        <v>3.3933985690065618</v>
      </c>
      <c r="O61" s="250">
        <v>1.1516760401607398</v>
      </c>
      <c r="P61" s="250">
        <v>0.25963835022800719</v>
      </c>
      <c r="Q61" s="250">
        <v>0.22123331835910828</v>
      </c>
      <c r="R61" s="250">
        <v>5.1743912678662372E-2</v>
      </c>
      <c r="S61" s="250">
        <v>0</v>
      </c>
      <c r="T61" s="250">
        <v>0</v>
      </c>
      <c r="U61" s="250">
        <v>0</v>
      </c>
      <c r="V61" s="250">
        <v>0</v>
      </c>
      <c r="W61" s="250">
        <v>0</v>
      </c>
      <c r="X61" s="250">
        <v>0</v>
      </c>
      <c r="Y61" s="250">
        <v>0</v>
      </c>
      <c r="Z61" s="250">
        <v>0</v>
      </c>
      <c r="AA61" s="250">
        <v>0</v>
      </c>
      <c r="AB61" s="250">
        <v>0</v>
      </c>
      <c r="AC61" s="250">
        <v>0</v>
      </c>
      <c r="AD61" s="250">
        <v>0</v>
      </c>
      <c r="AE61" s="250">
        <v>0</v>
      </c>
      <c r="AF61" s="250">
        <v>-123.42862137745254</v>
      </c>
      <c r="AG61" s="250">
        <v>-121.74823772574202</v>
      </c>
      <c r="AH61" s="250"/>
      <c r="AI61" s="250"/>
      <c r="AJ61" s="250"/>
      <c r="AK61" s="241" t="s">
        <v>245</v>
      </c>
      <c r="AL61" s="241" t="s">
        <v>247</v>
      </c>
      <c r="AM61" s="241">
        <v>3.19</v>
      </c>
      <c r="AN61" s="241">
        <v>0</v>
      </c>
      <c r="AO61" s="241"/>
      <c r="AP61" s="241"/>
      <c r="AQ61" s="241"/>
      <c r="AR61" s="241"/>
      <c r="AS61" s="241"/>
      <c r="AT61" s="241"/>
      <c r="AU61" s="241"/>
      <c r="AV61" s="241"/>
      <c r="AW61" s="241"/>
      <c r="AX61" s="241"/>
      <c r="AY61" s="241"/>
      <c r="AZ61" s="241"/>
      <c r="BA61" s="241"/>
      <c r="BB61" s="241"/>
      <c r="BC61" s="241"/>
      <c r="BD61" s="241"/>
      <c r="BE61" s="241"/>
      <c r="BF61" s="241"/>
      <c r="BG61" s="241"/>
      <c r="BH61" s="241"/>
      <c r="BI61" s="241"/>
      <c r="BJ61" s="241"/>
      <c r="BK61" s="241"/>
      <c r="BL61" s="241"/>
      <c r="BM61" s="241"/>
      <c r="BN61" s="241"/>
      <c r="BO61" s="241"/>
      <c r="BP61" s="241"/>
      <c r="BQ61" s="241"/>
      <c r="BR61" s="241"/>
      <c r="BS61" s="241"/>
      <c r="BT61" s="241"/>
      <c r="BU61" s="241"/>
      <c r="BV61" s="241"/>
      <c r="BW61" s="241"/>
      <c r="BX61" s="241"/>
      <c r="BY61" s="241"/>
      <c r="BZ61" s="241"/>
      <c r="CA61" s="241"/>
      <c r="CB61" s="241"/>
      <c r="CC61" s="241"/>
      <c r="CD61" s="241">
        <v>0</v>
      </c>
      <c r="CE61" s="241"/>
      <c r="CF61" s="241"/>
      <c r="CG61" s="241">
        <v>-124.09</v>
      </c>
      <c r="CH61" s="241">
        <v>60</v>
      </c>
    </row>
    <row r="62" spans="1:86" x14ac:dyDescent="0.25">
      <c r="A62" s="159" t="s">
        <v>673</v>
      </c>
      <c r="B62" s="159">
        <v>0</v>
      </c>
      <c r="C62" s="159">
        <v>700</v>
      </c>
      <c r="D62" s="159">
        <v>100</v>
      </c>
      <c r="E62" s="159" t="s">
        <v>48</v>
      </c>
      <c r="F62" s="159" t="s">
        <v>275</v>
      </c>
      <c r="G62" s="264">
        <v>9220000</v>
      </c>
      <c r="H62" s="249">
        <v>68.825839891971</v>
      </c>
      <c r="I62" s="249">
        <v>1.7926280517425051</v>
      </c>
      <c r="J62" s="249">
        <v>18.456820707811541</v>
      </c>
      <c r="K62" s="249">
        <v>1.6690538709151344</v>
      </c>
      <c r="L62" s="249">
        <v>1.0143270804201334</v>
      </c>
      <c r="M62" s="249">
        <v>3.1636402067066096</v>
      </c>
      <c r="N62" s="249">
        <v>3.3933985690065618</v>
      </c>
      <c r="O62" s="249">
        <v>1.1516760401607398</v>
      </c>
      <c r="P62" s="249">
        <v>0.25963835022800719</v>
      </c>
      <c r="Q62" s="249">
        <v>0.22123331835910828</v>
      </c>
      <c r="R62" s="249">
        <v>5.1743912678662372E-2</v>
      </c>
      <c r="S62" s="249">
        <v>0</v>
      </c>
      <c r="T62" s="249">
        <v>0</v>
      </c>
      <c r="U62" s="249">
        <v>0</v>
      </c>
      <c r="V62" s="249">
        <v>0</v>
      </c>
      <c r="W62" s="249">
        <v>0</v>
      </c>
      <c r="X62" s="249">
        <v>0</v>
      </c>
      <c r="Y62" s="249">
        <v>0</v>
      </c>
      <c r="Z62" s="249">
        <v>0</v>
      </c>
      <c r="AA62" s="249">
        <v>0</v>
      </c>
      <c r="AB62" s="249">
        <v>0</v>
      </c>
      <c r="AC62" s="249">
        <v>0</v>
      </c>
      <c r="AD62" s="249">
        <v>0</v>
      </c>
      <c r="AE62" s="249">
        <v>0</v>
      </c>
      <c r="AF62" s="249">
        <v>-123.42862137745254</v>
      </c>
      <c r="AG62" s="249">
        <v>-121.74823772574202</v>
      </c>
      <c r="AH62" s="249"/>
      <c r="AI62" s="249"/>
      <c r="AJ62" s="249"/>
      <c r="AK62" s="159" t="s">
        <v>245</v>
      </c>
      <c r="AL62" s="159" t="s">
        <v>247</v>
      </c>
      <c r="AM62" s="159">
        <v>1.91</v>
      </c>
      <c r="AN62" s="159">
        <v>0</v>
      </c>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c r="BM62" s="159"/>
      <c r="BN62" s="159"/>
      <c r="BO62" s="159"/>
      <c r="BP62" s="159"/>
      <c r="BQ62" s="159"/>
      <c r="BR62" s="159"/>
      <c r="BS62" s="159"/>
      <c r="BT62" s="159"/>
      <c r="BU62" s="159"/>
      <c r="BV62" s="159"/>
      <c r="BW62" s="159"/>
      <c r="BX62" s="159"/>
      <c r="BY62" s="159"/>
      <c r="BZ62" s="159"/>
      <c r="CA62" s="159"/>
      <c r="CB62" s="159"/>
      <c r="CC62" s="159"/>
      <c r="CD62" s="159">
        <v>0</v>
      </c>
      <c r="CE62" s="159"/>
      <c r="CF62" s="159"/>
      <c r="CG62" s="159">
        <v>-19.670000000000002</v>
      </c>
      <c r="CH62" s="159">
        <v>61</v>
      </c>
    </row>
    <row r="63" spans="1:86" x14ac:dyDescent="0.25">
      <c r="A63" s="241" t="s">
        <v>674</v>
      </c>
      <c r="B63" s="241">
        <v>0</v>
      </c>
      <c r="C63" s="241">
        <v>700</v>
      </c>
      <c r="D63" s="241">
        <v>200</v>
      </c>
      <c r="E63" s="241" t="s">
        <v>48</v>
      </c>
      <c r="F63" s="241" t="s">
        <v>275</v>
      </c>
      <c r="G63" s="265">
        <v>9220000</v>
      </c>
      <c r="H63" s="250">
        <v>68.825839891971</v>
      </c>
      <c r="I63" s="250">
        <v>1.7926280517425051</v>
      </c>
      <c r="J63" s="250">
        <v>18.456820707811541</v>
      </c>
      <c r="K63" s="250">
        <v>1.6690538709151344</v>
      </c>
      <c r="L63" s="250">
        <v>1.0143270804201334</v>
      </c>
      <c r="M63" s="250">
        <v>3.1636402067066096</v>
      </c>
      <c r="N63" s="250">
        <v>3.3933985690065618</v>
      </c>
      <c r="O63" s="250">
        <v>1.1516760401607398</v>
      </c>
      <c r="P63" s="250">
        <v>0.25963835022800719</v>
      </c>
      <c r="Q63" s="250">
        <v>0.22123331835910828</v>
      </c>
      <c r="R63" s="250">
        <v>5.1743912678662372E-2</v>
      </c>
      <c r="S63" s="250">
        <v>0</v>
      </c>
      <c r="T63" s="250">
        <v>0</v>
      </c>
      <c r="U63" s="250">
        <v>0</v>
      </c>
      <c r="V63" s="250">
        <v>0</v>
      </c>
      <c r="W63" s="250">
        <v>0</v>
      </c>
      <c r="X63" s="250">
        <v>0</v>
      </c>
      <c r="Y63" s="250">
        <v>0</v>
      </c>
      <c r="Z63" s="250">
        <v>0</v>
      </c>
      <c r="AA63" s="250">
        <v>0</v>
      </c>
      <c r="AB63" s="250">
        <v>0</v>
      </c>
      <c r="AC63" s="250">
        <v>0</v>
      </c>
      <c r="AD63" s="250">
        <v>0</v>
      </c>
      <c r="AE63" s="250">
        <v>0</v>
      </c>
      <c r="AF63" s="250">
        <v>-123.42862137745254</v>
      </c>
      <c r="AG63" s="250">
        <v>-121.74823772574202</v>
      </c>
      <c r="AH63" s="250"/>
      <c r="AI63" s="250"/>
      <c r="AJ63" s="250"/>
      <c r="AK63" s="241" t="s">
        <v>245</v>
      </c>
      <c r="AL63" s="241" t="s">
        <v>247</v>
      </c>
      <c r="AM63" s="241">
        <v>1.91</v>
      </c>
      <c r="AN63" s="241">
        <v>0</v>
      </c>
      <c r="AO63" s="241"/>
      <c r="AP63" s="241"/>
      <c r="AQ63" s="241"/>
      <c r="AR63" s="241"/>
      <c r="AS63" s="241"/>
      <c r="AT63" s="241"/>
      <c r="AU63" s="241"/>
      <c r="AV63" s="241"/>
      <c r="AW63" s="241"/>
      <c r="AX63" s="241"/>
      <c r="AY63" s="241"/>
      <c r="AZ63" s="241"/>
      <c r="BA63" s="241"/>
      <c r="BB63" s="241"/>
      <c r="BC63" s="241"/>
      <c r="BD63" s="241"/>
      <c r="BE63" s="241"/>
      <c r="BF63" s="241"/>
      <c r="BG63" s="241"/>
      <c r="BH63" s="241"/>
      <c r="BI63" s="241"/>
      <c r="BJ63" s="241"/>
      <c r="BK63" s="241"/>
      <c r="BL63" s="241"/>
      <c r="BM63" s="241"/>
      <c r="BN63" s="241"/>
      <c r="BO63" s="241"/>
      <c r="BP63" s="241"/>
      <c r="BQ63" s="241"/>
      <c r="BR63" s="241"/>
      <c r="BS63" s="241"/>
      <c r="BT63" s="241"/>
      <c r="BU63" s="241"/>
      <c r="BV63" s="241"/>
      <c r="BW63" s="241"/>
      <c r="BX63" s="241"/>
      <c r="BY63" s="241"/>
      <c r="BZ63" s="241"/>
      <c r="CA63" s="241"/>
      <c r="CB63" s="241"/>
      <c r="CC63" s="241"/>
      <c r="CD63" s="241">
        <v>0</v>
      </c>
      <c r="CE63" s="241"/>
      <c r="CF63" s="241"/>
      <c r="CG63" s="241">
        <v>-34.19</v>
      </c>
      <c r="CH63" s="241">
        <v>62</v>
      </c>
    </row>
    <row r="64" spans="1:86" x14ac:dyDescent="0.25">
      <c r="A64" s="159" t="s">
        <v>675</v>
      </c>
      <c r="B64" s="159">
        <v>0</v>
      </c>
      <c r="C64" s="159">
        <v>600</v>
      </c>
      <c r="D64" s="159">
        <v>100</v>
      </c>
      <c r="E64" s="159" t="s">
        <v>48</v>
      </c>
      <c r="F64" s="159" t="s">
        <v>239</v>
      </c>
      <c r="G64" s="264">
        <v>8860000</v>
      </c>
      <c r="H64" s="249">
        <v>73.616065298412209</v>
      </c>
      <c r="I64" s="249">
        <v>8.1916815023149212</v>
      </c>
      <c r="J64" s="249">
        <v>10.146309488962684</v>
      </c>
      <c r="K64" s="249">
        <v>3.268710357746841</v>
      </c>
      <c r="L64" s="249">
        <v>0.16553996507087509</v>
      </c>
      <c r="M64" s="249">
        <v>0.20652466030902325</v>
      </c>
      <c r="N64" s="249">
        <v>0.88609379191923843</v>
      </c>
      <c r="O64" s="249">
        <v>0.38342933644214711</v>
      </c>
      <c r="P64" s="249">
        <v>0.22881655334885451</v>
      </c>
      <c r="Q64" s="249">
        <v>2.1663400199378318</v>
      </c>
      <c r="R64" s="249">
        <v>0.40534548649494556</v>
      </c>
      <c r="S64" s="249">
        <v>0.33514353904042166</v>
      </c>
      <c r="T64" s="249">
        <v>0</v>
      </c>
      <c r="U64" s="249">
        <v>0</v>
      </c>
      <c r="V64" s="249">
        <v>0</v>
      </c>
      <c r="W64" s="249">
        <v>0</v>
      </c>
      <c r="X64" s="249">
        <v>0</v>
      </c>
      <c r="Y64" s="249">
        <v>0</v>
      </c>
      <c r="Z64" s="249">
        <v>0</v>
      </c>
      <c r="AA64" s="249">
        <v>0</v>
      </c>
      <c r="AB64" s="249">
        <v>0</v>
      </c>
      <c r="AC64" s="249">
        <v>0</v>
      </c>
      <c r="AD64" s="249">
        <v>0</v>
      </c>
      <c r="AE64" s="249">
        <v>0</v>
      </c>
      <c r="AF64" s="249">
        <v>-128.49755875494913</v>
      </c>
      <c r="AG64" s="249">
        <v>-125.32307267842094</v>
      </c>
      <c r="AH64" s="249"/>
      <c r="AI64" s="249"/>
      <c r="AJ64" s="249"/>
      <c r="AK64" s="159" t="s">
        <v>245</v>
      </c>
      <c r="AL64" s="159" t="s">
        <v>247</v>
      </c>
      <c r="AM64" s="159">
        <v>3.19</v>
      </c>
      <c r="AN64" s="159">
        <v>0</v>
      </c>
      <c r="AO64" s="159"/>
      <c r="AP64" s="159"/>
      <c r="AQ64" s="159"/>
      <c r="AR64" s="159"/>
      <c r="AS64" s="159"/>
      <c r="AT64" s="159"/>
      <c r="AU64" s="159"/>
      <c r="AV64" s="159"/>
      <c r="AW64" s="159"/>
      <c r="AX64" s="159"/>
      <c r="AY64" s="159"/>
      <c r="AZ64" s="159"/>
      <c r="BA64" s="159"/>
      <c r="BB64" s="159"/>
      <c r="BC64" s="159"/>
      <c r="BD64" s="159"/>
      <c r="BE64" s="159"/>
      <c r="BF64" s="159"/>
      <c r="BG64" s="159"/>
      <c r="BH64" s="159"/>
      <c r="BI64" s="159"/>
      <c r="BJ64" s="159"/>
      <c r="BK64" s="159"/>
      <c r="BL64" s="159"/>
      <c r="BM64" s="159"/>
      <c r="BN64" s="159"/>
      <c r="BO64" s="159"/>
      <c r="BP64" s="159"/>
      <c r="BQ64" s="159"/>
      <c r="BR64" s="159"/>
      <c r="BS64" s="159"/>
      <c r="BT64" s="159"/>
      <c r="BU64" s="159"/>
      <c r="BV64" s="159"/>
      <c r="BW64" s="159"/>
      <c r="BX64" s="159"/>
      <c r="BY64" s="159"/>
      <c r="BZ64" s="159"/>
      <c r="CA64" s="159"/>
      <c r="CB64" s="159"/>
      <c r="CC64" s="159"/>
      <c r="CD64" s="159">
        <v>0</v>
      </c>
      <c r="CE64" s="159"/>
      <c r="CF64" s="159"/>
      <c r="CG64" s="159">
        <v>-12.17</v>
      </c>
      <c r="CH64" s="159">
        <v>63</v>
      </c>
    </row>
    <row r="65" spans="1:86" x14ac:dyDescent="0.25">
      <c r="A65" s="241" t="s">
        <v>676</v>
      </c>
      <c r="B65" s="241">
        <v>0</v>
      </c>
      <c r="C65" s="241">
        <v>600</v>
      </c>
      <c r="D65" s="241">
        <v>300</v>
      </c>
      <c r="E65" s="241" t="s">
        <v>48</v>
      </c>
      <c r="F65" s="241" t="s">
        <v>239</v>
      </c>
      <c r="G65" s="265">
        <v>8860000</v>
      </c>
      <c r="H65" s="250">
        <v>73.616065298412209</v>
      </c>
      <c r="I65" s="250">
        <v>8.1916815023149212</v>
      </c>
      <c r="J65" s="250">
        <v>10.146309488962684</v>
      </c>
      <c r="K65" s="250">
        <v>3.268710357746841</v>
      </c>
      <c r="L65" s="250">
        <v>0.16553996507087509</v>
      </c>
      <c r="M65" s="250">
        <v>0.20652466030902325</v>
      </c>
      <c r="N65" s="250">
        <v>0.88609379191923843</v>
      </c>
      <c r="O65" s="250">
        <v>0.38342933644214711</v>
      </c>
      <c r="P65" s="250">
        <v>0.22881655334885451</v>
      </c>
      <c r="Q65" s="250">
        <v>2.1663400199378318</v>
      </c>
      <c r="R65" s="250">
        <v>0.40534548649494556</v>
      </c>
      <c r="S65" s="250">
        <v>0.33514353904042166</v>
      </c>
      <c r="T65" s="250">
        <v>0</v>
      </c>
      <c r="U65" s="250">
        <v>0</v>
      </c>
      <c r="V65" s="250">
        <v>0</v>
      </c>
      <c r="W65" s="250">
        <v>0</v>
      </c>
      <c r="X65" s="250">
        <v>0</v>
      </c>
      <c r="Y65" s="250">
        <v>0</v>
      </c>
      <c r="Z65" s="250">
        <v>0</v>
      </c>
      <c r="AA65" s="250">
        <v>0</v>
      </c>
      <c r="AB65" s="250">
        <v>0</v>
      </c>
      <c r="AC65" s="250">
        <v>0</v>
      </c>
      <c r="AD65" s="250">
        <v>0</v>
      </c>
      <c r="AE65" s="250">
        <v>0</v>
      </c>
      <c r="AF65" s="250">
        <v>-128.49755875494913</v>
      </c>
      <c r="AG65" s="250">
        <v>-125.32307267842094</v>
      </c>
      <c r="AH65" s="250"/>
      <c r="AI65" s="250"/>
      <c r="AJ65" s="250"/>
      <c r="AK65" s="241" t="s">
        <v>245</v>
      </c>
      <c r="AL65" s="241" t="s">
        <v>247</v>
      </c>
      <c r="AM65" s="241">
        <v>3.19</v>
      </c>
      <c r="AN65" s="241">
        <v>0</v>
      </c>
      <c r="AO65" s="241"/>
      <c r="AP65" s="241"/>
      <c r="AQ65" s="241"/>
      <c r="AR65" s="241"/>
      <c r="AS65" s="241"/>
      <c r="AT65" s="241"/>
      <c r="AU65" s="241"/>
      <c r="AV65" s="241"/>
      <c r="AW65" s="241"/>
      <c r="AX65" s="241"/>
      <c r="AY65" s="241"/>
      <c r="AZ65" s="241"/>
      <c r="BA65" s="241"/>
      <c r="BB65" s="241"/>
      <c r="BC65" s="241"/>
      <c r="BD65" s="241"/>
      <c r="BE65" s="241"/>
      <c r="BF65" s="241"/>
      <c r="BG65" s="241"/>
      <c r="BH65" s="241"/>
      <c r="BI65" s="241"/>
      <c r="BJ65" s="241"/>
      <c r="BK65" s="241"/>
      <c r="BL65" s="241"/>
      <c r="BM65" s="241"/>
      <c r="BN65" s="241"/>
      <c r="BO65" s="241"/>
      <c r="BP65" s="241"/>
      <c r="BQ65" s="241"/>
      <c r="BR65" s="241"/>
      <c r="BS65" s="241"/>
      <c r="BT65" s="241"/>
      <c r="BU65" s="241"/>
      <c r="BV65" s="241"/>
      <c r="BW65" s="241"/>
      <c r="BX65" s="241"/>
      <c r="BY65" s="241"/>
      <c r="BZ65" s="241"/>
      <c r="CA65" s="241"/>
      <c r="CB65" s="241"/>
      <c r="CC65" s="241"/>
      <c r="CD65" s="241">
        <v>0</v>
      </c>
      <c r="CE65" s="241"/>
      <c r="CF65" s="241"/>
      <c r="CG65" s="241">
        <v>-23.19</v>
      </c>
      <c r="CH65" s="241">
        <v>64</v>
      </c>
    </row>
    <row r="66" spans="1:86" x14ac:dyDescent="0.25">
      <c r="A66" s="159" t="s">
        <v>677</v>
      </c>
      <c r="B66" s="159">
        <v>0</v>
      </c>
      <c r="C66" s="159">
        <v>700</v>
      </c>
      <c r="D66" s="159">
        <v>100</v>
      </c>
      <c r="E66" s="159" t="s">
        <v>48</v>
      </c>
      <c r="F66" s="159" t="s">
        <v>239</v>
      </c>
      <c r="G66" s="264">
        <v>8860000</v>
      </c>
      <c r="H66" s="249">
        <v>73.616065298412209</v>
      </c>
      <c r="I66" s="249">
        <v>8.1916815023149212</v>
      </c>
      <c r="J66" s="249">
        <v>10.146309488962684</v>
      </c>
      <c r="K66" s="249">
        <v>3.268710357746841</v>
      </c>
      <c r="L66" s="249">
        <v>0.16553996507087509</v>
      </c>
      <c r="M66" s="249">
        <v>0.20652466030902325</v>
      </c>
      <c r="N66" s="249">
        <v>0.88609379191923843</v>
      </c>
      <c r="O66" s="249">
        <v>0.38342933644214711</v>
      </c>
      <c r="P66" s="249">
        <v>0.22881655334885451</v>
      </c>
      <c r="Q66" s="249">
        <v>2.1663400199378318</v>
      </c>
      <c r="R66" s="249">
        <v>0.40534548649494556</v>
      </c>
      <c r="S66" s="249">
        <v>0.33514353904042166</v>
      </c>
      <c r="T66" s="249">
        <v>0</v>
      </c>
      <c r="U66" s="249">
        <v>0</v>
      </c>
      <c r="V66" s="249">
        <v>0</v>
      </c>
      <c r="W66" s="249">
        <v>0</v>
      </c>
      <c r="X66" s="249">
        <v>0</v>
      </c>
      <c r="Y66" s="249">
        <v>0</v>
      </c>
      <c r="Z66" s="249">
        <v>0</v>
      </c>
      <c r="AA66" s="249">
        <v>0</v>
      </c>
      <c r="AB66" s="249">
        <v>0</v>
      </c>
      <c r="AC66" s="249">
        <v>0</v>
      </c>
      <c r="AD66" s="249">
        <v>0</v>
      </c>
      <c r="AE66" s="249">
        <v>0</v>
      </c>
      <c r="AF66" s="249">
        <v>-125.16730201123855</v>
      </c>
      <c r="AG66" s="249">
        <v>-121.74823772574202</v>
      </c>
      <c r="AH66" s="249"/>
      <c r="AI66" s="249"/>
      <c r="AJ66" s="249"/>
      <c r="AK66" s="159" t="s">
        <v>245</v>
      </c>
      <c r="AL66" s="159" t="s">
        <v>247</v>
      </c>
      <c r="AM66" s="159">
        <v>3.19</v>
      </c>
      <c r="AN66" s="159">
        <v>0</v>
      </c>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c r="BN66" s="159"/>
      <c r="BO66" s="159"/>
      <c r="BP66" s="159"/>
      <c r="BQ66" s="159"/>
      <c r="BR66" s="159"/>
      <c r="BS66" s="159"/>
      <c r="BT66" s="159"/>
      <c r="BU66" s="159"/>
      <c r="BV66" s="159"/>
      <c r="BW66" s="159"/>
      <c r="BX66" s="159"/>
      <c r="BY66" s="159"/>
      <c r="BZ66" s="159"/>
      <c r="CA66" s="159"/>
      <c r="CB66" s="159"/>
      <c r="CC66" s="159"/>
      <c r="CD66" s="159">
        <v>0</v>
      </c>
      <c r="CE66" s="159"/>
      <c r="CF66" s="159"/>
      <c r="CG66" s="159">
        <v>-78.52</v>
      </c>
      <c r="CH66" s="159">
        <v>65</v>
      </c>
    </row>
    <row r="67" spans="1:86" x14ac:dyDescent="0.25">
      <c r="A67" s="241" t="s">
        <v>678</v>
      </c>
      <c r="B67" s="241">
        <v>0</v>
      </c>
      <c r="C67" s="241">
        <v>700</v>
      </c>
      <c r="D67" s="241">
        <v>200</v>
      </c>
      <c r="E67" s="241" t="s">
        <v>48</v>
      </c>
      <c r="F67" s="241" t="s">
        <v>239</v>
      </c>
      <c r="G67" s="265">
        <v>8860000</v>
      </c>
      <c r="H67" s="250">
        <v>73.616065298412209</v>
      </c>
      <c r="I67" s="250">
        <v>8.1916815023149212</v>
      </c>
      <c r="J67" s="250">
        <v>10.146309488962684</v>
      </c>
      <c r="K67" s="250">
        <v>3.268710357746841</v>
      </c>
      <c r="L67" s="250">
        <v>0.16553996507087509</v>
      </c>
      <c r="M67" s="250">
        <v>0.20652466030902325</v>
      </c>
      <c r="N67" s="250">
        <v>0.88609379191923843</v>
      </c>
      <c r="O67" s="250">
        <v>0.38342933644214711</v>
      </c>
      <c r="P67" s="250">
        <v>0.22881655334885451</v>
      </c>
      <c r="Q67" s="250">
        <v>2.1663400199378318</v>
      </c>
      <c r="R67" s="250">
        <v>0.40534548649494556</v>
      </c>
      <c r="S67" s="250">
        <v>0.33514353904042166</v>
      </c>
      <c r="T67" s="250">
        <v>0</v>
      </c>
      <c r="U67" s="250">
        <v>0</v>
      </c>
      <c r="V67" s="250">
        <v>0</v>
      </c>
      <c r="W67" s="250">
        <v>0</v>
      </c>
      <c r="X67" s="250">
        <v>0</v>
      </c>
      <c r="Y67" s="250">
        <v>0</v>
      </c>
      <c r="Z67" s="250">
        <v>0</v>
      </c>
      <c r="AA67" s="250">
        <v>0</v>
      </c>
      <c r="AB67" s="250">
        <v>0</v>
      </c>
      <c r="AC67" s="250">
        <v>0</v>
      </c>
      <c r="AD67" s="250">
        <v>0</v>
      </c>
      <c r="AE67" s="250">
        <v>0</v>
      </c>
      <c r="AF67" s="250">
        <v>-125.16730201123855</v>
      </c>
      <c r="AG67" s="250">
        <v>-121.74823772574202</v>
      </c>
      <c r="AH67" s="250"/>
      <c r="AI67" s="250"/>
      <c r="AJ67" s="250"/>
      <c r="AK67" s="241" t="s">
        <v>245</v>
      </c>
      <c r="AL67" s="241" t="s">
        <v>247</v>
      </c>
      <c r="AM67" s="241">
        <v>3.19</v>
      </c>
      <c r="AN67" s="241">
        <v>0</v>
      </c>
      <c r="AO67" s="241"/>
      <c r="AP67" s="241"/>
      <c r="AQ67" s="241"/>
      <c r="AR67" s="241"/>
      <c r="AS67" s="241"/>
      <c r="AT67" s="241"/>
      <c r="AU67" s="241"/>
      <c r="AV67" s="241"/>
      <c r="AW67" s="241"/>
      <c r="AX67" s="241"/>
      <c r="AY67" s="241"/>
      <c r="AZ67" s="241"/>
      <c r="BA67" s="241"/>
      <c r="BB67" s="241"/>
      <c r="BC67" s="241"/>
      <c r="BD67" s="241"/>
      <c r="BE67" s="241"/>
      <c r="BF67" s="241"/>
      <c r="BG67" s="241"/>
      <c r="BH67" s="241"/>
      <c r="BI67" s="241"/>
      <c r="BJ67" s="241"/>
      <c r="BK67" s="241"/>
      <c r="BL67" s="241"/>
      <c r="BM67" s="241"/>
      <c r="BN67" s="241"/>
      <c r="BO67" s="241"/>
      <c r="BP67" s="241"/>
      <c r="BQ67" s="241"/>
      <c r="BR67" s="241"/>
      <c r="BS67" s="241"/>
      <c r="BT67" s="241"/>
      <c r="BU67" s="241"/>
      <c r="BV67" s="241"/>
      <c r="BW67" s="241"/>
      <c r="BX67" s="241"/>
      <c r="BY67" s="241"/>
      <c r="BZ67" s="241"/>
      <c r="CA67" s="241"/>
      <c r="CB67" s="241"/>
      <c r="CC67" s="241"/>
      <c r="CD67" s="241">
        <v>0</v>
      </c>
      <c r="CE67" s="241"/>
      <c r="CF67" s="241"/>
      <c r="CG67" s="241">
        <v>-102.07</v>
      </c>
      <c r="CH67" s="241">
        <v>66</v>
      </c>
    </row>
    <row r="68" spans="1:86" x14ac:dyDescent="0.25">
      <c r="A68" s="159" t="s">
        <v>679</v>
      </c>
      <c r="B68" s="159">
        <v>0</v>
      </c>
      <c r="C68" s="159">
        <v>700</v>
      </c>
      <c r="D68" s="159">
        <v>100</v>
      </c>
      <c r="E68" s="159" t="s">
        <v>48</v>
      </c>
      <c r="F68" s="159" t="s">
        <v>239</v>
      </c>
      <c r="G68" s="264">
        <v>8860000</v>
      </c>
      <c r="H68" s="249">
        <v>73.616065298412209</v>
      </c>
      <c r="I68" s="249">
        <v>8.1916815023149212</v>
      </c>
      <c r="J68" s="249">
        <v>10.146309488962684</v>
      </c>
      <c r="K68" s="249">
        <v>3.268710357746841</v>
      </c>
      <c r="L68" s="249">
        <v>0.16553996507087509</v>
      </c>
      <c r="M68" s="249">
        <v>0.20652466030902325</v>
      </c>
      <c r="N68" s="249">
        <v>0.88609379191923843</v>
      </c>
      <c r="O68" s="249">
        <v>0.38342933644214711</v>
      </c>
      <c r="P68" s="249">
        <v>0.22881655334885451</v>
      </c>
      <c r="Q68" s="249">
        <v>2.1663400199378318</v>
      </c>
      <c r="R68" s="249">
        <v>0.40534548649494556</v>
      </c>
      <c r="S68" s="249">
        <v>0.33514353904042166</v>
      </c>
      <c r="T68" s="249">
        <v>0</v>
      </c>
      <c r="U68" s="249">
        <v>0</v>
      </c>
      <c r="V68" s="249">
        <v>0</v>
      </c>
      <c r="W68" s="249">
        <v>0</v>
      </c>
      <c r="X68" s="249">
        <v>0</v>
      </c>
      <c r="Y68" s="249">
        <v>0</v>
      </c>
      <c r="Z68" s="249">
        <v>0</v>
      </c>
      <c r="AA68" s="249">
        <v>0</v>
      </c>
      <c r="AB68" s="249">
        <v>0</v>
      </c>
      <c r="AC68" s="249">
        <v>0</v>
      </c>
      <c r="AD68" s="249">
        <v>0</v>
      </c>
      <c r="AE68" s="249">
        <v>0</v>
      </c>
      <c r="AF68" s="249">
        <v>-125.16730201123855</v>
      </c>
      <c r="AG68" s="249">
        <v>-121.74823772574202</v>
      </c>
      <c r="AH68" s="249"/>
      <c r="AI68" s="249"/>
      <c r="AJ68" s="249"/>
      <c r="AK68" s="159" t="s">
        <v>245</v>
      </c>
      <c r="AL68" s="159" t="s">
        <v>247</v>
      </c>
      <c r="AM68" s="159">
        <v>1.91</v>
      </c>
      <c r="AN68" s="159">
        <v>0</v>
      </c>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v>0</v>
      </c>
      <c r="CE68" s="159"/>
      <c r="CF68" s="159"/>
      <c r="CG68" s="159">
        <v>-20.94</v>
      </c>
      <c r="CH68" s="159">
        <v>67</v>
      </c>
    </row>
    <row r="69" spans="1:86" x14ac:dyDescent="0.25">
      <c r="A69" s="241" t="s">
        <v>680</v>
      </c>
      <c r="B69" s="241">
        <v>0</v>
      </c>
      <c r="C69" s="241">
        <v>700</v>
      </c>
      <c r="D69" s="241">
        <v>200</v>
      </c>
      <c r="E69" s="241" t="s">
        <v>48</v>
      </c>
      <c r="F69" s="241" t="s">
        <v>239</v>
      </c>
      <c r="G69" s="265">
        <v>8860000</v>
      </c>
      <c r="H69" s="250">
        <v>73.616065298412209</v>
      </c>
      <c r="I69" s="250">
        <v>8.1916815023149212</v>
      </c>
      <c r="J69" s="250">
        <v>10.146309488962684</v>
      </c>
      <c r="K69" s="250">
        <v>3.268710357746841</v>
      </c>
      <c r="L69" s="250">
        <v>0.16553996507087509</v>
      </c>
      <c r="M69" s="250">
        <v>0.20652466030902325</v>
      </c>
      <c r="N69" s="250">
        <v>0.88609379191923843</v>
      </c>
      <c r="O69" s="250">
        <v>0.38342933644214711</v>
      </c>
      <c r="P69" s="250">
        <v>0.22881655334885451</v>
      </c>
      <c r="Q69" s="250">
        <v>2.1663400199378318</v>
      </c>
      <c r="R69" s="250">
        <v>0.40534548649494556</v>
      </c>
      <c r="S69" s="250">
        <v>0.33514353904042166</v>
      </c>
      <c r="T69" s="250">
        <v>0</v>
      </c>
      <c r="U69" s="250">
        <v>0</v>
      </c>
      <c r="V69" s="250">
        <v>0</v>
      </c>
      <c r="W69" s="250">
        <v>0</v>
      </c>
      <c r="X69" s="250">
        <v>0</v>
      </c>
      <c r="Y69" s="250">
        <v>0</v>
      </c>
      <c r="Z69" s="250">
        <v>0</v>
      </c>
      <c r="AA69" s="250">
        <v>0</v>
      </c>
      <c r="AB69" s="250">
        <v>0</v>
      </c>
      <c r="AC69" s="250">
        <v>0</v>
      </c>
      <c r="AD69" s="250">
        <v>0</v>
      </c>
      <c r="AE69" s="250">
        <v>0</v>
      </c>
      <c r="AF69" s="250">
        <v>-125.16730201123855</v>
      </c>
      <c r="AG69" s="250">
        <v>-121.74823772574202</v>
      </c>
      <c r="AH69" s="250"/>
      <c r="AI69" s="250"/>
      <c r="AJ69" s="250"/>
      <c r="AK69" s="241" t="s">
        <v>245</v>
      </c>
      <c r="AL69" s="241" t="s">
        <v>247</v>
      </c>
      <c r="AM69" s="241">
        <v>1.91</v>
      </c>
      <c r="AN69" s="241">
        <v>0</v>
      </c>
      <c r="AO69" s="241"/>
      <c r="AP69" s="241"/>
      <c r="AQ69" s="241"/>
      <c r="AR69" s="241"/>
      <c r="AS69" s="241"/>
      <c r="AT69" s="241"/>
      <c r="AU69" s="241"/>
      <c r="AV69" s="241"/>
      <c r="AW69" s="241"/>
      <c r="AX69" s="241"/>
      <c r="AY69" s="241"/>
      <c r="AZ69" s="241"/>
      <c r="BA69" s="241"/>
      <c r="BB69" s="241"/>
      <c r="BC69" s="241"/>
      <c r="BD69" s="241"/>
      <c r="BE69" s="241"/>
      <c r="BF69" s="241"/>
      <c r="BG69" s="241"/>
      <c r="BH69" s="241"/>
      <c r="BI69" s="241"/>
      <c r="BJ69" s="241"/>
      <c r="BK69" s="241"/>
      <c r="BL69" s="241"/>
      <c r="BM69" s="241"/>
      <c r="BN69" s="241"/>
      <c r="BO69" s="241"/>
      <c r="BP69" s="241"/>
      <c r="BQ69" s="241"/>
      <c r="BR69" s="241"/>
      <c r="BS69" s="241"/>
      <c r="BT69" s="241"/>
      <c r="BU69" s="241"/>
      <c r="BV69" s="241"/>
      <c r="BW69" s="241"/>
      <c r="BX69" s="241"/>
      <c r="BY69" s="241"/>
      <c r="BZ69" s="241"/>
      <c r="CA69" s="241"/>
      <c r="CB69" s="241"/>
      <c r="CC69" s="241"/>
      <c r="CD69" s="241">
        <v>0</v>
      </c>
      <c r="CE69" s="241"/>
      <c r="CF69" s="241"/>
      <c r="CG69" s="241">
        <v>-34.44</v>
      </c>
      <c r="CH69" s="241">
        <v>68</v>
      </c>
    </row>
    <row r="70" spans="1:86" x14ac:dyDescent="0.25">
      <c r="A70" s="159" t="s">
        <v>681</v>
      </c>
      <c r="B70" s="159">
        <v>0</v>
      </c>
      <c r="C70" s="159">
        <v>600</v>
      </c>
      <c r="D70" s="159">
        <v>100</v>
      </c>
      <c r="E70" s="159" t="s">
        <v>48</v>
      </c>
      <c r="F70" s="159" t="s">
        <v>281</v>
      </c>
      <c r="G70" s="264">
        <v>9050000</v>
      </c>
      <c r="H70" s="249">
        <v>67.384324899033473</v>
      </c>
      <c r="I70" s="249">
        <v>9.3604403037260937</v>
      </c>
      <c r="J70" s="249">
        <v>15.851099930757506</v>
      </c>
      <c r="K70" s="249">
        <v>2.1787954153704425</v>
      </c>
      <c r="L70" s="249">
        <v>0</v>
      </c>
      <c r="M70" s="249">
        <v>2.5811497528516725</v>
      </c>
      <c r="N70" s="249">
        <v>0.88595357807382036</v>
      </c>
      <c r="O70" s="249">
        <v>1.1275548920352041</v>
      </c>
      <c r="P70" s="249">
        <v>0</v>
      </c>
      <c r="Q70" s="249">
        <v>0</v>
      </c>
      <c r="R70" s="249">
        <v>0.15198050451511974</v>
      </c>
      <c r="S70" s="249">
        <v>0.47870072363666094</v>
      </c>
      <c r="T70" s="249">
        <v>0</v>
      </c>
      <c r="U70" s="249">
        <v>0</v>
      </c>
      <c r="V70" s="249">
        <v>0</v>
      </c>
      <c r="W70" s="249">
        <v>0</v>
      </c>
      <c r="X70" s="249">
        <v>0</v>
      </c>
      <c r="Y70" s="249">
        <v>0</v>
      </c>
      <c r="Z70" s="249">
        <v>0</v>
      </c>
      <c r="AA70" s="249">
        <v>0</v>
      </c>
      <c r="AB70" s="249">
        <v>0</v>
      </c>
      <c r="AC70" s="249">
        <v>0</v>
      </c>
      <c r="AD70" s="249">
        <v>0</v>
      </c>
      <c r="AE70" s="249">
        <v>0</v>
      </c>
      <c r="AF70" s="249">
        <v>-127.74016666079825</v>
      </c>
      <c r="AG70" s="249">
        <v>-125.32307267842094</v>
      </c>
      <c r="AH70" s="249"/>
      <c r="AI70" s="249"/>
      <c r="AJ70" s="249"/>
      <c r="AK70" s="159" t="s">
        <v>245</v>
      </c>
      <c r="AL70" s="159" t="s">
        <v>247</v>
      </c>
      <c r="AM70" s="159">
        <v>3.19</v>
      </c>
      <c r="AN70" s="159">
        <v>0</v>
      </c>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c r="BL70" s="159"/>
      <c r="BM70" s="159"/>
      <c r="BN70" s="159"/>
      <c r="BO70" s="159"/>
      <c r="BP70" s="159"/>
      <c r="BQ70" s="159"/>
      <c r="BR70" s="159"/>
      <c r="BS70" s="159"/>
      <c r="BT70" s="159"/>
      <c r="BU70" s="159"/>
      <c r="BV70" s="159"/>
      <c r="BW70" s="159"/>
      <c r="BX70" s="159"/>
      <c r="BY70" s="159"/>
      <c r="BZ70" s="159"/>
      <c r="CA70" s="159"/>
      <c r="CB70" s="159"/>
      <c r="CC70" s="159"/>
      <c r="CD70" s="159">
        <v>0</v>
      </c>
      <c r="CE70" s="159"/>
      <c r="CF70" s="159"/>
      <c r="CG70" s="159">
        <v>-19</v>
      </c>
      <c r="CH70" s="159">
        <v>69</v>
      </c>
    </row>
    <row r="71" spans="1:86" x14ac:dyDescent="0.25">
      <c r="A71" s="241" t="s">
        <v>682</v>
      </c>
      <c r="B71" s="241">
        <v>0</v>
      </c>
      <c r="C71" s="241">
        <v>600</v>
      </c>
      <c r="D71" s="241">
        <v>300</v>
      </c>
      <c r="E71" s="241" t="s">
        <v>48</v>
      </c>
      <c r="F71" s="241" t="s">
        <v>281</v>
      </c>
      <c r="G71" s="265">
        <v>9050000</v>
      </c>
      <c r="H71" s="250">
        <v>67.384324899033473</v>
      </c>
      <c r="I71" s="250">
        <v>9.3604403037260937</v>
      </c>
      <c r="J71" s="250">
        <v>15.851099930757506</v>
      </c>
      <c r="K71" s="250">
        <v>2.1787954153704425</v>
      </c>
      <c r="L71" s="250">
        <v>0</v>
      </c>
      <c r="M71" s="250">
        <v>2.5811497528516725</v>
      </c>
      <c r="N71" s="250">
        <v>0.88595357807382036</v>
      </c>
      <c r="O71" s="250">
        <v>1.1275548920352041</v>
      </c>
      <c r="P71" s="250">
        <v>0</v>
      </c>
      <c r="Q71" s="250">
        <v>0</v>
      </c>
      <c r="R71" s="250">
        <v>0.15198050451511974</v>
      </c>
      <c r="S71" s="250">
        <v>0.47870072363666094</v>
      </c>
      <c r="T71" s="250">
        <v>0</v>
      </c>
      <c r="U71" s="250">
        <v>0</v>
      </c>
      <c r="V71" s="250">
        <v>0</v>
      </c>
      <c r="W71" s="250">
        <v>0</v>
      </c>
      <c r="X71" s="250">
        <v>0</v>
      </c>
      <c r="Y71" s="250">
        <v>0</v>
      </c>
      <c r="Z71" s="250">
        <v>0</v>
      </c>
      <c r="AA71" s="250">
        <v>0</v>
      </c>
      <c r="AB71" s="250">
        <v>0</v>
      </c>
      <c r="AC71" s="250">
        <v>0</v>
      </c>
      <c r="AD71" s="250">
        <v>0</v>
      </c>
      <c r="AE71" s="250">
        <v>0</v>
      </c>
      <c r="AF71" s="250">
        <v>-127.74016666079825</v>
      </c>
      <c r="AG71" s="250">
        <v>-125.32307267842094</v>
      </c>
      <c r="AH71" s="250"/>
      <c r="AI71" s="250"/>
      <c r="AJ71" s="250"/>
      <c r="AK71" s="241" t="s">
        <v>245</v>
      </c>
      <c r="AL71" s="241" t="s">
        <v>247</v>
      </c>
      <c r="AM71" s="241">
        <v>3.19</v>
      </c>
      <c r="AN71" s="241">
        <v>0</v>
      </c>
      <c r="AO71" s="241"/>
      <c r="AP71" s="241"/>
      <c r="AQ71" s="241"/>
      <c r="AR71" s="241"/>
      <c r="AS71" s="241"/>
      <c r="AT71" s="241"/>
      <c r="AU71" s="241"/>
      <c r="AV71" s="241"/>
      <c r="AW71" s="241"/>
      <c r="AX71" s="241"/>
      <c r="AY71" s="241"/>
      <c r="AZ71" s="241"/>
      <c r="BA71" s="241"/>
      <c r="BB71" s="241"/>
      <c r="BC71" s="241"/>
      <c r="BD71" s="241"/>
      <c r="BE71" s="241"/>
      <c r="BF71" s="241"/>
      <c r="BG71" s="241"/>
      <c r="BH71" s="241"/>
      <c r="BI71" s="241"/>
      <c r="BJ71" s="241"/>
      <c r="BK71" s="241"/>
      <c r="BL71" s="241"/>
      <c r="BM71" s="241"/>
      <c r="BN71" s="241"/>
      <c r="BO71" s="241"/>
      <c r="BP71" s="241"/>
      <c r="BQ71" s="241"/>
      <c r="BR71" s="241"/>
      <c r="BS71" s="241"/>
      <c r="BT71" s="241"/>
      <c r="BU71" s="241"/>
      <c r="BV71" s="241"/>
      <c r="BW71" s="241"/>
      <c r="BX71" s="241"/>
      <c r="BY71" s="241"/>
      <c r="BZ71" s="241"/>
      <c r="CA71" s="241"/>
      <c r="CB71" s="241"/>
      <c r="CC71" s="241"/>
      <c r="CD71" s="241">
        <v>0</v>
      </c>
      <c r="CE71" s="241"/>
      <c r="CF71" s="241"/>
      <c r="CG71" s="241">
        <v>-45</v>
      </c>
      <c r="CH71" s="241">
        <v>70</v>
      </c>
    </row>
    <row r="72" spans="1:86" x14ac:dyDescent="0.25">
      <c r="A72" s="159" t="s">
        <v>683</v>
      </c>
      <c r="B72" s="159">
        <v>0</v>
      </c>
      <c r="C72" s="159">
        <v>600</v>
      </c>
      <c r="D72" s="159">
        <v>100</v>
      </c>
      <c r="E72" s="159" t="s">
        <v>48</v>
      </c>
      <c r="F72" s="159" t="s">
        <v>284</v>
      </c>
      <c r="G72" s="264">
        <v>8360000</v>
      </c>
      <c r="H72" s="249">
        <v>49.477094392010336</v>
      </c>
      <c r="I72" s="249">
        <v>21.477889570022832</v>
      </c>
      <c r="J72" s="249">
        <v>3.491611893417633</v>
      </c>
      <c r="K72" s="249">
        <v>0.69990615966770886</v>
      </c>
      <c r="L72" s="249">
        <v>0</v>
      </c>
      <c r="M72" s="249">
        <v>18.952150986614409</v>
      </c>
      <c r="N72" s="249">
        <v>0.6098563474560541</v>
      </c>
      <c r="O72" s="249">
        <v>1.2418646304386807</v>
      </c>
      <c r="P72" s="249">
        <v>2.7997081871097231</v>
      </c>
      <c r="Q72" s="249">
        <v>0.79519420266371454</v>
      </c>
      <c r="R72" s="249">
        <v>0.27898008100945554</v>
      </c>
      <c r="S72" s="249">
        <v>0.17574354958948657</v>
      </c>
      <c r="T72" s="249">
        <v>0</v>
      </c>
      <c r="U72" s="249">
        <v>0</v>
      </c>
      <c r="V72" s="249">
        <v>0</v>
      </c>
      <c r="W72" s="249">
        <v>0</v>
      </c>
      <c r="X72" s="249">
        <v>0</v>
      </c>
      <c r="Y72" s="249">
        <v>0</v>
      </c>
      <c r="Z72" s="249">
        <v>0</v>
      </c>
      <c r="AA72" s="249">
        <v>0</v>
      </c>
      <c r="AB72" s="249">
        <v>0</v>
      </c>
      <c r="AC72" s="249">
        <v>0</v>
      </c>
      <c r="AD72" s="249">
        <v>0</v>
      </c>
      <c r="AE72" s="249">
        <v>0</v>
      </c>
      <c r="AF72" s="249">
        <v>-133.86606970902423</v>
      </c>
      <c r="AG72" s="249">
        <v>-125.32307267842094</v>
      </c>
      <c r="AH72" s="249"/>
      <c r="AI72" s="249"/>
      <c r="AJ72" s="249"/>
      <c r="AK72" s="159" t="s">
        <v>245</v>
      </c>
      <c r="AL72" s="159" t="s">
        <v>247</v>
      </c>
      <c r="AM72" s="159">
        <v>3.19</v>
      </c>
      <c r="AN72" s="159">
        <v>0</v>
      </c>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159"/>
      <c r="BL72" s="159"/>
      <c r="BM72" s="159"/>
      <c r="BN72" s="159"/>
      <c r="BO72" s="159"/>
      <c r="BP72" s="159"/>
      <c r="BQ72" s="159"/>
      <c r="BR72" s="159"/>
      <c r="BS72" s="159"/>
      <c r="BT72" s="159"/>
      <c r="BU72" s="159"/>
      <c r="BV72" s="159"/>
      <c r="BW72" s="159"/>
      <c r="BX72" s="159"/>
      <c r="BY72" s="159"/>
      <c r="BZ72" s="159"/>
      <c r="CA72" s="159"/>
      <c r="CB72" s="159"/>
      <c r="CC72" s="159"/>
      <c r="CD72" s="159">
        <v>0</v>
      </c>
      <c r="CE72" s="159"/>
      <c r="CF72" s="159"/>
      <c r="CG72" s="159">
        <v>-40</v>
      </c>
      <c r="CH72" s="159">
        <v>71</v>
      </c>
    </row>
    <row r="73" spans="1:86" x14ac:dyDescent="0.25">
      <c r="A73" s="241" t="s">
        <v>684</v>
      </c>
      <c r="B73" s="241">
        <v>0</v>
      </c>
      <c r="C73" s="241">
        <v>600</v>
      </c>
      <c r="D73" s="241">
        <v>300</v>
      </c>
      <c r="E73" s="241" t="s">
        <v>48</v>
      </c>
      <c r="F73" s="241" t="s">
        <v>284</v>
      </c>
      <c r="G73" s="265">
        <v>8360000</v>
      </c>
      <c r="H73" s="250">
        <v>49.477094392010336</v>
      </c>
      <c r="I73" s="250">
        <v>21.477889570022832</v>
      </c>
      <c r="J73" s="250">
        <v>3.491611893417633</v>
      </c>
      <c r="K73" s="250">
        <v>0.69990615966770886</v>
      </c>
      <c r="L73" s="250">
        <v>0</v>
      </c>
      <c r="M73" s="250">
        <v>18.952150986614409</v>
      </c>
      <c r="N73" s="250">
        <v>0.6098563474560541</v>
      </c>
      <c r="O73" s="250">
        <v>1.2418646304386807</v>
      </c>
      <c r="P73" s="250">
        <v>2.7997081871097231</v>
      </c>
      <c r="Q73" s="250">
        <v>0.79519420266371454</v>
      </c>
      <c r="R73" s="250">
        <v>0.27898008100945554</v>
      </c>
      <c r="S73" s="250">
        <v>0.17574354958948657</v>
      </c>
      <c r="T73" s="250">
        <v>0</v>
      </c>
      <c r="U73" s="250">
        <v>0</v>
      </c>
      <c r="V73" s="250">
        <v>0</v>
      </c>
      <c r="W73" s="250">
        <v>0</v>
      </c>
      <c r="X73" s="250">
        <v>0</v>
      </c>
      <c r="Y73" s="250">
        <v>0</v>
      </c>
      <c r="Z73" s="250">
        <v>0</v>
      </c>
      <c r="AA73" s="250">
        <v>0</v>
      </c>
      <c r="AB73" s="250">
        <v>0</v>
      </c>
      <c r="AC73" s="250">
        <v>0</v>
      </c>
      <c r="AD73" s="250">
        <v>0</v>
      </c>
      <c r="AE73" s="250">
        <v>0</v>
      </c>
      <c r="AF73" s="250">
        <v>-133.86606970902423</v>
      </c>
      <c r="AG73" s="250">
        <v>-125.32307267842094</v>
      </c>
      <c r="AH73" s="250"/>
      <c r="AI73" s="250"/>
      <c r="AJ73" s="250"/>
      <c r="AK73" s="241" t="s">
        <v>245</v>
      </c>
      <c r="AL73" s="241" t="s">
        <v>247</v>
      </c>
      <c r="AM73" s="241">
        <v>3.19</v>
      </c>
      <c r="AN73" s="241">
        <v>0</v>
      </c>
      <c r="AO73" s="241"/>
      <c r="AP73" s="241"/>
      <c r="AQ73" s="241"/>
      <c r="AR73" s="241"/>
      <c r="AS73" s="241"/>
      <c r="AT73" s="241"/>
      <c r="AU73" s="241"/>
      <c r="AV73" s="241"/>
      <c r="AW73" s="241"/>
      <c r="AX73" s="241"/>
      <c r="AY73" s="241"/>
      <c r="AZ73" s="241"/>
      <c r="BA73" s="241"/>
      <c r="BB73" s="241"/>
      <c r="BC73" s="241"/>
      <c r="BD73" s="241"/>
      <c r="BE73" s="241"/>
      <c r="BF73" s="241"/>
      <c r="BG73" s="241"/>
      <c r="BH73" s="241"/>
      <c r="BI73" s="241"/>
      <c r="BJ73" s="241"/>
      <c r="BK73" s="241"/>
      <c r="BL73" s="241"/>
      <c r="BM73" s="241"/>
      <c r="BN73" s="241"/>
      <c r="BO73" s="241"/>
      <c r="BP73" s="241"/>
      <c r="BQ73" s="241"/>
      <c r="BR73" s="241"/>
      <c r="BS73" s="241"/>
      <c r="BT73" s="241"/>
      <c r="BU73" s="241"/>
      <c r="BV73" s="241"/>
      <c r="BW73" s="241"/>
      <c r="BX73" s="241"/>
      <c r="BY73" s="241"/>
      <c r="BZ73" s="241"/>
      <c r="CA73" s="241"/>
      <c r="CB73" s="241"/>
      <c r="CC73" s="241"/>
      <c r="CD73" s="241">
        <v>0</v>
      </c>
      <c r="CE73" s="241"/>
      <c r="CF73" s="241"/>
      <c r="CG73" s="241">
        <v>-60</v>
      </c>
      <c r="CH73" s="241">
        <v>72</v>
      </c>
    </row>
    <row r="74" spans="1:86" x14ac:dyDescent="0.25">
      <c r="A74" s="159" t="s">
        <v>685</v>
      </c>
      <c r="B74" s="159">
        <v>0</v>
      </c>
      <c r="C74" s="159">
        <v>600</v>
      </c>
      <c r="D74" s="159">
        <v>100</v>
      </c>
      <c r="E74" s="159" t="s">
        <v>48</v>
      </c>
      <c r="F74" s="159" t="s">
        <v>286</v>
      </c>
      <c r="G74" s="264">
        <v>10220000</v>
      </c>
      <c r="H74" s="249">
        <v>8.1293183043352323E-3</v>
      </c>
      <c r="I74" s="249">
        <v>0</v>
      </c>
      <c r="J74" s="249">
        <v>98.842649673561112</v>
      </c>
      <c r="K74" s="249">
        <v>1.7085396285816821E-2</v>
      </c>
      <c r="L74" s="249">
        <v>0</v>
      </c>
      <c r="M74" s="249">
        <v>0</v>
      </c>
      <c r="N74" s="249">
        <v>0</v>
      </c>
      <c r="O74" s="249">
        <v>0</v>
      </c>
      <c r="P74" s="249">
        <v>0.79734228749769775</v>
      </c>
      <c r="Q74" s="249">
        <v>1.6985037069470802E-2</v>
      </c>
      <c r="R74" s="249">
        <v>0.31780828728155525</v>
      </c>
      <c r="S74" s="249">
        <v>0</v>
      </c>
      <c r="T74" s="249">
        <v>0</v>
      </c>
      <c r="U74" s="249">
        <v>0</v>
      </c>
      <c r="V74" s="249">
        <v>0</v>
      </c>
      <c r="W74" s="249">
        <v>0</v>
      </c>
      <c r="X74" s="249">
        <v>0</v>
      </c>
      <c r="Y74" s="249">
        <v>0</v>
      </c>
      <c r="Z74" s="249">
        <v>0</v>
      </c>
      <c r="AA74" s="249">
        <v>0</v>
      </c>
      <c r="AB74" s="249">
        <v>0</v>
      </c>
      <c r="AC74" s="249">
        <v>0</v>
      </c>
      <c r="AD74" s="249">
        <v>0</v>
      </c>
      <c r="AE74" s="249">
        <v>0</v>
      </c>
      <c r="AF74" s="249">
        <v>-117.13725192930569</v>
      </c>
      <c r="AG74" s="249">
        <v>-125.32307267842094</v>
      </c>
      <c r="AH74" s="249"/>
      <c r="AI74" s="249"/>
      <c r="AJ74" s="249"/>
      <c r="AK74" s="159" t="s">
        <v>245</v>
      </c>
      <c r="AL74" s="159" t="s">
        <v>247</v>
      </c>
      <c r="AM74" s="159">
        <v>3.19</v>
      </c>
      <c r="AN74" s="159">
        <v>0</v>
      </c>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159"/>
      <c r="BL74" s="159"/>
      <c r="BM74" s="159"/>
      <c r="BN74" s="159"/>
      <c r="BO74" s="159"/>
      <c r="BP74" s="159"/>
      <c r="BQ74" s="159"/>
      <c r="BR74" s="159"/>
      <c r="BS74" s="159"/>
      <c r="BT74" s="159"/>
      <c r="BU74" s="159"/>
      <c r="BV74" s="159"/>
      <c r="BW74" s="159"/>
      <c r="BX74" s="159"/>
      <c r="BY74" s="159"/>
      <c r="BZ74" s="159"/>
      <c r="CA74" s="159"/>
      <c r="CB74" s="159"/>
      <c r="CC74" s="159"/>
      <c r="CD74" s="159">
        <v>0</v>
      </c>
      <c r="CE74" s="159"/>
      <c r="CF74" s="159"/>
      <c r="CG74" s="159">
        <v>-62</v>
      </c>
      <c r="CH74" s="159">
        <v>73</v>
      </c>
    </row>
    <row r="75" spans="1:86" ht="16.5" thickBot="1" x14ac:dyDescent="0.3">
      <c r="A75" s="242" t="s">
        <v>686</v>
      </c>
      <c r="B75" s="242">
        <v>0</v>
      </c>
      <c r="C75" s="242">
        <v>600</v>
      </c>
      <c r="D75" s="242">
        <v>300</v>
      </c>
      <c r="E75" s="242" t="s">
        <v>48</v>
      </c>
      <c r="F75" s="242" t="s">
        <v>286</v>
      </c>
      <c r="G75" s="266">
        <v>10220000</v>
      </c>
      <c r="H75" s="251">
        <v>8.1293183043352323E-3</v>
      </c>
      <c r="I75" s="251">
        <v>0</v>
      </c>
      <c r="J75" s="251">
        <v>98.842649673561112</v>
      </c>
      <c r="K75" s="251">
        <v>1.7085396285816821E-2</v>
      </c>
      <c r="L75" s="251">
        <v>0</v>
      </c>
      <c r="M75" s="251">
        <v>0</v>
      </c>
      <c r="N75" s="251">
        <v>0</v>
      </c>
      <c r="O75" s="251">
        <v>0</v>
      </c>
      <c r="P75" s="251">
        <v>0.79734228749769775</v>
      </c>
      <c r="Q75" s="251">
        <v>1.6985037069470802E-2</v>
      </c>
      <c r="R75" s="251">
        <v>0.31780828728155525</v>
      </c>
      <c r="S75" s="251">
        <v>0</v>
      </c>
      <c r="T75" s="251">
        <v>0</v>
      </c>
      <c r="U75" s="251">
        <v>0</v>
      </c>
      <c r="V75" s="251">
        <v>0</v>
      </c>
      <c r="W75" s="251">
        <v>0</v>
      </c>
      <c r="X75" s="251">
        <v>0</v>
      </c>
      <c r="Y75" s="251">
        <v>0</v>
      </c>
      <c r="Z75" s="251">
        <v>0</v>
      </c>
      <c r="AA75" s="251">
        <v>0</v>
      </c>
      <c r="AB75" s="251">
        <v>0</v>
      </c>
      <c r="AC75" s="251">
        <v>0</v>
      </c>
      <c r="AD75" s="251">
        <v>0</v>
      </c>
      <c r="AE75" s="251">
        <v>0</v>
      </c>
      <c r="AF75" s="251">
        <v>-117.13725192930569</v>
      </c>
      <c r="AG75" s="251">
        <v>-125.32307267842094</v>
      </c>
      <c r="AH75" s="251"/>
      <c r="AI75" s="251"/>
      <c r="AJ75" s="251"/>
      <c r="AK75" s="242" t="s">
        <v>245</v>
      </c>
      <c r="AL75" s="242" t="s">
        <v>247</v>
      </c>
      <c r="AM75" s="242">
        <v>3.19</v>
      </c>
      <c r="AN75" s="242">
        <v>0</v>
      </c>
      <c r="AO75" s="242"/>
      <c r="AP75" s="242"/>
      <c r="AQ75" s="242"/>
      <c r="AR75" s="242"/>
      <c r="AS75" s="242"/>
      <c r="AT75" s="242"/>
      <c r="AU75" s="242"/>
      <c r="AV75" s="242"/>
      <c r="AW75" s="242"/>
      <c r="AX75" s="242"/>
      <c r="AY75" s="242"/>
      <c r="AZ75" s="242"/>
      <c r="BA75" s="242"/>
      <c r="BB75" s="242"/>
      <c r="BC75" s="242"/>
      <c r="BD75" s="242"/>
      <c r="BE75" s="242"/>
      <c r="BF75" s="242"/>
      <c r="BG75" s="242"/>
      <c r="BH75" s="242"/>
      <c r="BI75" s="242"/>
      <c r="BJ75" s="242"/>
      <c r="BK75" s="242"/>
      <c r="BL75" s="242"/>
      <c r="BM75" s="242"/>
      <c r="BN75" s="242"/>
      <c r="BO75" s="242"/>
      <c r="BP75" s="242"/>
      <c r="BQ75" s="242"/>
      <c r="BR75" s="242"/>
      <c r="BS75" s="242"/>
      <c r="BT75" s="242"/>
      <c r="BU75" s="242"/>
      <c r="BV75" s="242"/>
      <c r="BW75" s="242"/>
      <c r="BX75" s="242"/>
      <c r="BY75" s="242"/>
      <c r="BZ75" s="242"/>
      <c r="CA75" s="242"/>
      <c r="CB75" s="242"/>
      <c r="CC75" s="242"/>
      <c r="CD75" s="242">
        <v>0</v>
      </c>
      <c r="CE75" s="242"/>
      <c r="CF75" s="242"/>
      <c r="CG75" s="242">
        <v>-77</v>
      </c>
      <c r="CH75" s="242">
        <v>74</v>
      </c>
    </row>
    <row r="76" spans="1:86" x14ac:dyDescent="0.25">
      <c r="A76" s="241" t="s">
        <v>687</v>
      </c>
      <c r="B76" s="241">
        <v>0</v>
      </c>
      <c r="C76" s="241">
        <v>650</v>
      </c>
      <c r="D76" s="241">
        <v>200</v>
      </c>
      <c r="E76" s="241" t="s">
        <v>269</v>
      </c>
      <c r="F76" s="241" t="s">
        <v>298</v>
      </c>
      <c r="G76" s="265">
        <v>8860000</v>
      </c>
      <c r="H76" s="250">
        <v>73.906724702129594</v>
      </c>
      <c r="I76" s="250">
        <v>8.3296621720823136</v>
      </c>
      <c r="J76" s="250">
        <v>10.979467504857102</v>
      </c>
      <c r="K76" s="250">
        <v>4.4458752800864172</v>
      </c>
      <c r="L76" s="250">
        <v>6.7043996574339456E-3</v>
      </c>
      <c r="M76" s="250">
        <v>0</v>
      </c>
      <c r="N76" s="250">
        <v>0.86353009275391046</v>
      </c>
      <c r="O76" s="250">
        <v>6.8510118070961412E-2</v>
      </c>
      <c r="P76" s="250">
        <v>1.2870990777484432E-2</v>
      </c>
      <c r="Q76" s="250">
        <v>1.2941233671261161</v>
      </c>
      <c r="R76" s="250">
        <v>7.6952663844901709E-2</v>
      </c>
      <c r="S76" s="250">
        <v>0</v>
      </c>
      <c r="T76" s="250">
        <v>0</v>
      </c>
      <c r="U76" s="250">
        <v>0</v>
      </c>
      <c r="V76" s="250">
        <v>7.9578214855431668E-3</v>
      </c>
      <c r="W76" s="250">
        <v>1.921217114182038E-3</v>
      </c>
      <c r="X76" s="250">
        <v>5.699670014044215E-3</v>
      </c>
      <c r="Y76" s="250">
        <v>0</v>
      </c>
      <c r="Z76" s="250">
        <v>0</v>
      </c>
      <c r="AA76" s="250">
        <v>0</v>
      </c>
      <c r="AB76" s="250">
        <v>0</v>
      </c>
      <c r="AC76" s="250">
        <v>0</v>
      </c>
      <c r="AD76" s="250">
        <v>0</v>
      </c>
      <c r="AE76" s="250">
        <v>0</v>
      </c>
      <c r="AF76" s="250">
        <v>-126.56517208598308</v>
      </c>
      <c r="AG76" s="250">
        <v>-64.432312040620616</v>
      </c>
      <c r="AH76" s="250">
        <v>10</v>
      </c>
      <c r="AI76" s="250">
        <v>5</v>
      </c>
      <c r="AJ76" s="250">
        <v>1.2</v>
      </c>
      <c r="AK76" s="241" t="s">
        <v>245</v>
      </c>
      <c r="AL76" s="241" t="s">
        <v>247</v>
      </c>
      <c r="AM76" s="241"/>
      <c r="AN76" s="241">
        <v>0</v>
      </c>
      <c r="AO76" s="241">
        <v>21.1</v>
      </c>
      <c r="AP76" s="241">
        <v>240</v>
      </c>
      <c r="AQ76" s="241"/>
      <c r="AR76" s="241">
        <v>152</v>
      </c>
      <c r="AS76" s="241">
        <v>61.4</v>
      </c>
      <c r="AT76" s="241">
        <v>32.200000000000003</v>
      </c>
      <c r="AU76" s="241">
        <v>5.88</v>
      </c>
      <c r="AV76" s="241">
        <v>2.95</v>
      </c>
      <c r="AW76" s="241">
        <v>4.42</v>
      </c>
      <c r="AX76" s="241">
        <v>32.200000000000003</v>
      </c>
      <c r="AY76" s="241">
        <v>4.42</v>
      </c>
      <c r="AZ76" s="241">
        <v>5.88</v>
      </c>
      <c r="BA76" s="241"/>
      <c r="BB76" s="241"/>
      <c r="BC76" s="241"/>
      <c r="BD76" s="241"/>
      <c r="BE76" s="241">
        <v>17.559999999999999</v>
      </c>
      <c r="BF76" s="241"/>
      <c r="BG76" s="241"/>
      <c r="BH76" s="241"/>
      <c r="BI76" s="241"/>
      <c r="BJ76" s="241"/>
      <c r="BK76" s="241"/>
      <c r="BL76" s="241"/>
      <c r="BM76" s="241"/>
      <c r="BN76" s="241"/>
      <c r="BO76" s="241"/>
      <c r="BP76" s="241"/>
      <c r="BQ76" s="241"/>
      <c r="BR76" s="241"/>
      <c r="BS76" s="241"/>
      <c r="BT76" s="241"/>
      <c r="BU76" s="241"/>
      <c r="BV76" s="241"/>
      <c r="BW76" s="241"/>
      <c r="BX76" s="241"/>
      <c r="BY76" s="241"/>
      <c r="BZ76" s="241"/>
      <c r="CA76" s="241"/>
      <c r="CB76" s="241"/>
      <c r="CC76" s="241"/>
      <c r="CD76" s="241">
        <v>0</v>
      </c>
      <c r="CE76" s="241"/>
      <c r="CF76" s="241"/>
      <c r="CG76" s="241">
        <v>-1.47</v>
      </c>
      <c r="CH76" s="241">
        <v>75</v>
      </c>
    </row>
    <row r="77" spans="1:86" x14ac:dyDescent="0.25">
      <c r="A77" s="159" t="s">
        <v>688</v>
      </c>
      <c r="B77" s="159">
        <v>0</v>
      </c>
      <c r="C77" s="159">
        <v>650</v>
      </c>
      <c r="D77" s="159">
        <v>500</v>
      </c>
      <c r="E77" s="159" t="s">
        <v>269</v>
      </c>
      <c r="F77" s="159" t="s">
        <v>298</v>
      </c>
      <c r="G77" s="264">
        <v>8860000</v>
      </c>
      <c r="H77" s="249">
        <v>73.906724702129594</v>
      </c>
      <c r="I77" s="249">
        <v>8.3296621720823136</v>
      </c>
      <c r="J77" s="249">
        <v>10.979467504857102</v>
      </c>
      <c r="K77" s="249">
        <v>4.4458752800864172</v>
      </c>
      <c r="L77" s="249">
        <v>6.7043996574339456E-3</v>
      </c>
      <c r="M77" s="249">
        <v>0</v>
      </c>
      <c r="N77" s="249">
        <v>0.86353009275391046</v>
      </c>
      <c r="O77" s="249">
        <v>6.8510118070961412E-2</v>
      </c>
      <c r="P77" s="249">
        <v>1.2870990777484432E-2</v>
      </c>
      <c r="Q77" s="249">
        <v>1.2941233671261161</v>
      </c>
      <c r="R77" s="249">
        <v>7.6952663844901709E-2</v>
      </c>
      <c r="S77" s="249">
        <v>0</v>
      </c>
      <c r="T77" s="249">
        <v>0</v>
      </c>
      <c r="U77" s="249">
        <v>0</v>
      </c>
      <c r="V77" s="249">
        <v>7.9578214855431668E-3</v>
      </c>
      <c r="W77" s="249">
        <v>1.921217114182038E-3</v>
      </c>
      <c r="X77" s="249">
        <v>5.699670014044215E-3</v>
      </c>
      <c r="Y77" s="249">
        <v>0</v>
      </c>
      <c r="Z77" s="249">
        <v>0</v>
      </c>
      <c r="AA77" s="249">
        <v>0</v>
      </c>
      <c r="AB77" s="249">
        <v>0</v>
      </c>
      <c r="AC77" s="249">
        <v>0</v>
      </c>
      <c r="AD77" s="249">
        <v>0</v>
      </c>
      <c r="AE77" s="249">
        <v>0</v>
      </c>
      <c r="AF77" s="249">
        <v>-126.56517208598308</v>
      </c>
      <c r="AG77" s="249">
        <v>-64.432312040620616</v>
      </c>
      <c r="AH77" s="249">
        <v>10</v>
      </c>
      <c r="AI77" s="249">
        <v>5</v>
      </c>
      <c r="AJ77" s="249">
        <v>1.2</v>
      </c>
      <c r="AK77" s="159" t="s">
        <v>245</v>
      </c>
      <c r="AL77" s="159" t="s">
        <v>247</v>
      </c>
      <c r="AM77" s="159"/>
      <c r="AN77" s="159">
        <v>0</v>
      </c>
      <c r="AO77" s="159">
        <v>21.1</v>
      </c>
      <c r="AP77" s="159">
        <v>240</v>
      </c>
      <c r="AQ77" s="159"/>
      <c r="AR77" s="159">
        <v>152</v>
      </c>
      <c r="AS77" s="159">
        <v>61.4</v>
      </c>
      <c r="AT77" s="159">
        <v>32.200000000000003</v>
      </c>
      <c r="AU77" s="159">
        <v>5.88</v>
      </c>
      <c r="AV77" s="159">
        <v>2.95</v>
      </c>
      <c r="AW77" s="159">
        <v>4.42</v>
      </c>
      <c r="AX77" s="159">
        <v>32.200000000000003</v>
      </c>
      <c r="AY77" s="159">
        <v>4.42</v>
      </c>
      <c r="AZ77" s="159">
        <v>5.88</v>
      </c>
      <c r="BA77" s="159"/>
      <c r="BB77" s="159"/>
      <c r="BC77" s="159"/>
      <c r="BD77" s="159"/>
      <c r="BE77" s="159">
        <v>17.559999999999999</v>
      </c>
      <c r="BF77" s="159"/>
      <c r="BG77" s="159"/>
      <c r="BH77" s="159"/>
      <c r="BI77" s="159"/>
      <c r="BJ77" s="159"/>
      <c r="BK77" s="159"/>
      <c r="BL77" s="159"/>
      <c r="BM77" s="159"/>
      <c r="BN77" s="159"/>
      <c r="BO77" s="159"/>
      <c r="BP77" s="159"/>
      <c r="BQ77" s="159"/>
      <c r="BR77" s="159"/>
      <c r="BS77" s="159"/>
      <c r="BT77" s="159"/>
      <c r="BU77" s="159"/>
      <c r="BV77" s="159"/>
      <c r="BW77" s="159"/>
      <c r="BX77" s="159"/>
      <c r="BY77" s="159"/>
      <c r="BZ77" s="159"/>
      <c r="CA77" s="159"/>
      <c r="CB77" s="159"/>
      <c r="CC77" s="159"/>
      <c r="CD77" s="159">
        <v>0</v>
      </c>
      <c r="CE77" s="159"/>
      <c r="CF77" s="159"/>
      <c r="CG77" s="159">
        <v>-2.88</v>
      </c>
      <c r="CH77" s="159">
        <v>76</v>
      </c>
    </row>
    <row r="78" spans="1:86" x14ac:dyDescent="0.25">
      <c r="A78" s="241" t="s">
        <v>689</v>
      </c>
      <c r="B78" s="241">
        <v>0</v>
      </c>
      <c r="C78" s="241">
        <v>650</v>
      </c>
      <c r="D78" s="241">
        <v>750</v>
      </c>
      <c r="E78" s="241" t="s">
        <v>269</v>
      </c>
      <c r="F78" s="241" t="s">
        <v>298</v>
      </c>
      <c r="G78" s="265">
        <v>8860000</v>
      </c>
      <c r="H78" s="250">
        <v>73.906724702129594</v>
      </c>
      <c r="I78" s="250">
        <v>8.3296621720823136</v>
      </c>
      <c r="J78" s="250">
        <v>10.979467504857102</v>
      </c>
      <c r="K78" s="250">
        <v>4.4458752800864172</v>
      </c>
      <c r="L78" s="250">
        <v>6.7043996574339456E-3</v>
      </c>
      <c r="M78" s="250">
        <v>0</v>
      </c>
      <c r="N78" s="250">
        <v>0.86353009275391046</v>
      </c>
      <c r="O78" s="250">
        <v>6.8510118070961412E-2</v>
      </c>
      <c r="P78" s="250">
        <v>1.2870990777484432E-2</v>
      </c>
      <c r="Q78" s="250">
        <v>1.2941233671261161</v>
      </c>
      <c r="R78" s="250">
        <v>7.6952663844901709E-2</v>
      </c>
      <c r="S78" s="250">
        <v>0</v>
      </c>
      <c r="T78" s="250">
        <v>0</v>
      </c>
      <c r="U78" s="250">
        <v>0</v>
      </c>
      <c r="V78" s="250">
        <v>7.9578214855431668E-3</v>
      </c>
      <c r="W78" s="250">
        <v>1.921217114182038E-3</v>
      </c>
      <c r="X78" s="250">
        <v>5.699670014044215E-3</v>
      </c>
      <c r="Y78" s="250">
        <v>0</v>
      </c>
      <c r="Z78" s="250">
        <v>0</v>
      </c>
      <c r="AA78" s="250">
        <v>0</v>
      </c>
      <c r="AB78" s="250">
        <v>0</v>
      </c>
      <c r="AC78" s="250">
        <v>0</v>
      </c>
      <c r="AD78" s="250">
        <v>0</v>
      </c>
      <c r="AE78" s="250">
        <v>0</v>
      </c>
      <c r="AF78" s="250">
        <v>-126.56517208598308</v>
      </c>
      <c r="AG78" s="250">
        <v>-64.432312040620616</v>
      </c>
      <c r="AH78" s="250">
        <v>10</v>
      </c>
      <c r="AI78" s="250">
        <v>5</v>
      </c>
      <c r="AJ78" s="250">
        <v>1.2</v>
      </c>
      <c r="AK78" s="241" t="s">
        <v>245</v>
      </c>
      <c r="AL78" s="241" t="s">
        <v>247</v>
      </c>
      <c r="AM78" s="241"/>
      <c r="AN78" s="241">
        <v>0</v>
      </c>
      <c r="AO78" s="241">
        <v>21.1</v>
      </c>
      <c r="AP78" s="241">
        <v>240</v>
      </c>
      <c r="AQ78" s="241"/>
      <c r="AR78" s="241">
        <v>152</v>
      </c>
      <c r="AS78" s="241">
        <v>61.4</v>
      </c>
      <c r="AT78" s="241">
        <v>32.200000000000003</v>
      </c>
      <c r="AU78" s="241">
        <v>5.88</v>
      </c>
      <c r="AV78" s="241">
        <v>2.95</v>
      </c>
      <c r="AW78" s="241">
        <v>4.42</v>
      </c>
      <c r="AX78" s="241">
        <v>32.200000000000003</v>
      </c>
      <c r="AY78" s="241">
        <v>4.42</v>
      </c>
      <c r="AZ78" s="241">
        <v>5.88</v>
      </c>
      <c r="BA78" s="241"/>
      <c r="BB78" s="241"/>
      <c r="BC78" s="241"/>
      <c r="BD78" s="241"/>
      <c r="BE78" s="241">
        <v>17.559999999999999</v>
      </c>
      <c r="BF78" s="241"/>
      <c r="BG78" s="241"/>
      <c r="BH78" s="241"/>
      <c r="BI78" s="241"/>
      <c r="BJ78" s="241"/>
      <c r="BK78" s="241"/>
      <c r="BL78" s="241"/>
      <c r="BM78" s="241"/>
      <c r="BN78" s="241"/>
      <c r="BO78" s="241"/>
      <c r="BP78" s="241"/>
      <c r="BQ78" s="241"/>
      <c r="BR78" s="241"/>
      <c r="BS78" s="241"/>
      <c r="BT78" s="241"/>
      <c r="BU78" s="241"/>
      <c r="BV78" s="241"/>
      <c r="BW78" s="241"/>
      <c r="BX78" s="241"/>
      <c r="BY78" s="241"/>
      <c r="BZ78" s="241"/>
      <c r="CA78" s="241"/>
      <c r="CB78" s="241"/>
      <c r="CC78" s="241"/>
      <c r="CD78" s="241">
        <v>0</v>
      </c>
      <c r="CE78" s="241"/>
      <c r="CF78" s="241"/>
      <c r="CG78" s="241">
        <v>-4.3899999999999997</v>
      </c>
      <c r="CH78" s="241">
        <v>77</v>
      </c>
    </row>
    <row r="79" spans="1:86" x14ac:dyDescent="0.25">
      <c r="A79" s="159" t="s">
        <v>690</v>
      </c>
      <c r="B79" s="159">
        <v>0</v>
      </c>
      <c r="C79" s="159">
        <v>650</v>
      </c>
      <c r="D79" s="159">
        <v>200</v>
      </c>
      <c r="E79" s="159" t="s">
        <v>269</v>
      </c>
      <c r="F79" s="159" t="s">
        <v>239</v>
      </c>
      <c r="G79" s="264">
        <v>8860000</v>
      </c>
      <c r="H79" s="249">
        <v>75.737756913619336</v>
      </c>
      <c r="I79" s="249">
        <v>8.3888883733293156</v>
      </c>
      <c r="J79" s="249">
        <v>10.038008787044493</v>
      </c>
      <c r="K79" s="249">
        <v>4.0755750093685528</v>
      </c>
      <c r="L79" s="249">
        <v>1.0014145705365039E-2</v>
      </c>
      <c r="M79" s="249">
        <v>3.2274788958667866E-2</v>
      </c>
      <c r="N79" s="249">
        <v>0.62537070086264601</v>
      </c>
      <c r="O79" s="249">
        <v>0.25014331340631379</v>
      </c>
      <c r="P79" s="249">
        <v>2.5633312173888932E-3</v>
      </c>
      <c r="Q79" s="249">
        <v>0.45867568047428486</v>
      </c>
      <c r="R79" s="249">
        <v>0.29629419616284625</v>
      </c>
      <c r="S79" s="249">
        <v>1.3516076437999123E-2</v>
      </c>
      <c r="T79" s="249">
        <v>0</v>
      </c>
      <c r="U79" s="249">
        <v>2.4088469842247014E-3</v>
      </c>
      <c r="V79" s="249">
        <v>5.9431707479693074E-3</v>
      </c>
      <c r="W79" s="249">
        <v>1.9131067255442203E-3</v>
      </c>
      <c r="X79" s="249">
        <v>2.5540240249483273E-2</v>
      </c>
      <c r="Y79" s="249">
        <v>0</v>
      </c>
      <c r="Z79" s="249">
        <v>0</v>
      </c>
      <c r="AA79" s="249">
        <v>0</v>
      </c>
      <c r="AB79" s="249">
        <v>1.5338333172050789E-3</v>
      </c>
      <c r="AC79" s="249">
        <v>2.627551721122191E-2</v>
      </c>
      <c r="AD79" s="249">
        <v>0</v>
      </c>
      <c r="AE79" s="249">
        <v>7.3039681771670415E-3</v>
      </c>
      <c r="AF79" s="249">
        <v>-126.10864419245155</v>
      </c>
      <c r="AG79" s="249">
        <v>-64.432312040620616</v>
      </c>
      <c r="AH79" s="249">
        <v>10</v>
      </c>
      <c r="AI79" s="249">
        <v>5</v>
      </c>
      <c r="AJ79" s="249">
        <v>1.2</v>
      </c>
      <c r="AK79" s="159" t="s">
        <v>245</v>
      </c>
      <c r="AL79" s="159" t="s">
        <v>247</v>
      </c>
      <c r="AM79" s="159"/>
      <c r="AN79" s="159">
        <v>0</v>
      </c>
      <c r="AO79" s="159">
        <v>21.1</v>
      </c>
      <c r="AP79" s="159">
        <v>240</v>
      </c>
      <c r="AQ79" s="159"/>
      <c r="AR79" s="159">
        <v>152</v>
      </c>
      <c r="AS79" s="159">
        <v>61.4</v>
      </c>
      <c r="AT79" s="159">
        <v>32.200000000000003</v>
      </c>
      <c r="AU79" s="159">
        <v>5.88</v>
      </c>
      <c r="AV79" s="159">
        <v>2.95</v>
      </c>
      <c r="AW79" s="159">
        <v>4.42</v>
      </c>
      <c r="AX79" s="159">
        <v>32.200000000000003</v>
      </c>
      <c r="AY79" s="159">
        <v>4.42</v>
      </c>
      <c r="AZ79" s="159">
        <v>5.88</v>
      </c>
      <c r="BA79" s="159"/>
      <c r="BB79" s="159"/>
      <c r="BC79" s="159"/>
      <c r="BD79" s="159"/>
      <c r="BE79" s="159">
        <v>17.559999999999999</v>
      </c>
      <c r="BF79" s="159"/>
      <c r="BG79" s="159"/>
      <c r="BH79" s="159"/>
      <c r="BI79" s="159"/>
      <c r="BJ79" s="159"/>
      <c r="BK79" s="159"/>
      <c r="BL79" s="159"/>
      <c r="BM79" s="159"/>
      <c r="BN79" s="159"/>
      <c r="BO79" s="159"/>
      <c r="BP79" s="159"/>
      <c r="BQ79" s="159"/>
      <c r="BR79" s="159"/>
      <c r="BS79" s="159"/>
      <c r="BT79" s="159"/>
      <c r="BU79" s="159"/>
      <c r="BV79" s="159"/>
      <c r="BW79" s="159"/>
      <c r="BX79" s="159"/>
      <c r="BY79" s="159"/>
      <c r="BZ79" s="159"/>
      <c r="CA79" s="159"/>
      <c r="CB79" s="159"/>
      <c r="CC79" s="159"/>
      <c r="CD79" s="159">
        <v>0</v>
      </c>
      <c r="CE79" s="159"/>
      <c r="CF79" s="159"/>
      <c r="CG79" s="159">
        <v>-1.29</v>
      </c>
      <c r="CH79" s="159">
        <v>78</v>
      </c>
    </row>
    <row r="80" spans="1:86" x14ac:dyDescent="0.25">
      <c r="A80" s="241" t="s">
        <v>691</v>
      </c>
      <c r="B80" s="241">
        <v>0</v>
      </c>
      <c r="C80" s="241">
        <v>650</v>
      </c>
      <c r="D80" s="241">
        <v>500</v>
      </c>
      <c r="E80" s="241" t="s">
        <v>269</v>
      </c>
      <c r="F80" s="241" t="s">
        <v>239</v>
      </c>
      <c r="G80" s="265">
        <v>8860000</v>
      </c>
      <c r="H80" s="250">
        <v>75.737756913619336</v>
      </c>
      <c r="I80" s="250">
        <v>8.3888883733293156</v>
      </c>
      <c r="J80" s="250">
        <v>10.038008787044493</v>
      </c>
      <c r="K80" s="250">
        <v>4.0755750093685528</v>
      </c>
      <c r="L80" s="250">
        <v>1.0014145705365039E-2</v>
      </c>
      <c r="M80" s="250">
        <v>3.2274788958667866E-2</v>
      </c>
      <c r="N80" s="250">
        <v>0.62537070086264601</v>
      </c>
      <c r="O80" s="250">
        <v>0.25014331340631379</v>
      </c>
      <c r="P80" s="250">
        <v>2.5633312173888932E-3</v>
      </c>
      <c r="Q80" s="250">
        <v>0.45867568047428486</v>
      </c>
      <c r="R80" s="250">
        <v>0.29629419616284625</v>
      </c>
      <c r="S80" s="250">
        <v>1.3516076437999123E-2</v>
      </c>
      <c r="T80" s="250">
        <v>0</v>
      </c>
      <c r="U80" s="250">
        <v>2.4088469842247014E-3</v>
      </c>
      <c r="V80" s="250">
        <v>5.9431707479693074E-3</v>
      </c>
      <c r="W80" s="250">
        <v>1.9131067255442203E-3</v>
      </c>
      <c r="X80" s="250">
        <v>2.5540240249483273E-2</v>
      </c>
      <c r="Y80" s="250">
        <v>0</v>
      </c>
      <c r="Z80" s="250">
        <v>0</v>
      </c>
      <c r="AA80" s="250">
        <v>0</v>
      </c>
      <c r="AB80" s="250">
        <v>1.5338333172050789E-3</v>
      </c>
      <c r="AC80" s="250">
        <v>2.627551721122191E-2</v>
      </c>
      <c r="AD80" s="250">
        <v>0</v>
      </c>
      <c r="AE80" s="250">
        <v>7.3039681771670415E-3</v>
      </c>
      <c r="AF80" s="250">
        <v>-126.10864419245155</v>
      </c>
      <c r="AG80" s="250">
        <v>-64.432312040620616</v>
      </c>
      <c r="AH80" s="250">
        <v>10</v>
      </c>
      <c r="AI80" s="250">
        <v>5</v>
      </c>
      <c r="AJ80" s="250">
        <v>1.2</v>
      </c>
      <c r="AK80" s="241" t="s">
        <v>245</v>
      </c>
      <c r="AL80" s="241" t="s">
        <v>247</v>
      </c>
      <c r="AM80" s="241"/>
      <c r="AN80" s="241">
        <v>0</v>
      </c>
      <c r="AO80" s="241">
        <v>21.1</v>
      </c>
      <c r="AP80" s="241">
        <v>240</v>
      </c>
      <c r="AQ80" s="241"/>
      <c r="AR80" s="241">
        <v>152</v>
      </c>
      <c r="AS80" s="241">
        <v>61.4</v>
      </c>
      <c r="AT80" s="241">
        <v>32.200000000000003</v>
      </c>
      <c r="AU80" s="241">
        <v>5.88</v>
      </c>
      <c r="AV80" s="241">
        <v>2.95</v>
      </c>
      <c r="AW80" s="241">
        <v>4.42</v>
      </c>
      <c r="AX80" s="241">
        <v>32.200000000000003</v>
      </c>
      <c r="AY80" s="241">
        <v>4.42</v>
      </c>
      <c r="AZ80" s="241">
        <v>5.88</v>
      </c>
      <c r="BA80" s="241"/>
      <c r="BB80" s="241"/>
      <c r="BC80" s="241"/>
      <c r="BD80" s="241"/>
      <c r="BE80" s="241">
        <v>17.559999999999999</v>
      </c>
      <c r="BF80" s="241"/>
      <c r="BG80" s="241"/>
      <c r="BH80" s="241"/>
      <c r="BI80" s="241"/>
      <c r="BJ80" s="241"/>
      <c r="BK80" s="241"/>
      <c r="BL80" s="241"/>
      <c r="BM80" s="241"/>
      <c r="BN80" s="241"/>
      <c r="BO80" s="241"/>
      <c r="BP80" s="241"/>
      <c r="BQ80" s="241"/>
      <c r="BR80" s="241"/>
      <c r="BS80" s="241"/>
      <c r="BT80" s="241"/>
      <c r="BU80" s="241"/>
      <c r="BV80" s="241"/>
      <c r="BW80" s="241"/>
      <c r="BX80" s="241"/>
      <c r="BY80" s="241"/>
      <c r="BZ80" s="241"/>
      <c r="CA80" s="241"/>
      <c r="CB80" s="241"/>
      <c r="CC80" s="241"/>
      <c r="CD80" s="241">
        <v>0</v>
      </c>
      <c r="CE80" s="241"/>
      <c r="CF80" s="241"/>
      <c r="CG80" s="241">
        <v>-2.37</v>
      </c>
      <c r="CH80" s="241">
        <v>79</v>
      </c>
    </row>
    <row r="81" spans="1:86" ht="16.5" thickBot="1" x14ac:dyDescent="0.3">
      <c r="A81" s="160" t="s">
        <v>692</v>
      </c>
      <c r="B81" s="160">
        <v>0</v>
      </c>
      <c r="C81" s="160">
        <v>650</v>
      </c>
      <c r="D81" s="160">
        <v>750</v>
      </c>
      <c r="E81" s="160" t="s">
        <v>269</v>
      </c>
      <c r="F81" s="160" t="s">
        <v>239</v>
      </c>
      <c r="G81" s="267">
        <v>8860000</v>
      </c>
      <c r="H81" s="252">
        <v>75.737756913619336</v>
      </c>
      <c r="I81" s="252">
        <v>8.3888883733293156</v>
      </c>
      <c r="J81" s="252">
        <v>10.038008787044493</v>
      </c>
      <c r="K81" s="252">
        <v>4.0755750093685528</v>
      </c>
      <c r="L81" s="252">
        <v>1.0014145705365039E-2</v>
      </c>
      <c r="M81" s="252">
        <v>3.2274788958667866E-2</v>
      </c>
      <c r="N81" s="252">
        <v>0.62537070086264601</v>
      </c>
      <c r="O81" s="252">
        <v>0.25014331340631379</v>
      </c>
      <c r="P81" s="252">
        <v>2.5633312173888932E-3</v>
      </c>
      <c r="Q81" s="252">
        <v>0.45867568047428486</v>
      </c>
      <c r="R81" s="252">
        <v>0.29629419616284625</v>
      </c>
      <c r="S81" s="252">
        <v>1.3516076437999123E-2</v>
      </c>
      <c r="T81" s="252">
        <v>0</v>
      </c>
      <c r="U81" s="252">
        <v>2.4088469842247014E-3</v>
      </c>
      <c r="V81" s="252">
        <v>5.9431707479693074E-3</v>
      </c>
      <c r="W81" s="252">
        <v>1.9131067255442203E-3</v>
      </c>
      <c r="X81" s="252">
        <v>2.5540240249483273E-2</v>
      </c>
      <c r="Y81" s="252">
        <v>0</v>
      </c>
      <c r="Z81" s="252">
        <v>0</v>
      </c>
      <c r="AA81" s="252">
        <v>0</v>
      </c>
      <c r="AB81" s="252">
        <v>1.5338333172050789E-3</v>
      </c>
      <c r="AC81" s="252">
        <v>2.627551721122191E-2</v>
      </c>
      <c r="AD81" s="252">
        <v>0</v>
      </c>
      <c r="AE81" s="252">
        <v>7.3039681771670415E-3</v>
      </c>
      <c r="AF81" s="252">
        <v>-126.10864419245155</v>
      </c>
      <c r="AG81" s="252">
        <v>-64.432312040620616</v>
      </c>
      <c r="AH81" s="252">
        <v>10</v>
      </c>
      <c r="AI81" s="252">
        <v>5</v>
      </c>
      <c r="AJ81" s="252">
        <v>1.2</v>
      </c>
      <c r="AK81" s="160" t="s">
        <v>245</v>
      </c>
      <c r="AL81" s="160" t="s">
        <v>247</v>
      </c>
      <c r="AM81" s="160"/>
      <c r="AN81" s="160">
        <v>0</v>
      </c>
      <c r="AO81" s="160">
        <v>21.1</v>
      </c>
      <c r="AP81" s="160">
        <v>240</v>
      </c>
      <c r="AQ81" s="160"/>
      <c r="AR81" s="160">
        <v>152</v>
      </c>
      <c r="AS81" s="160">
        <v>61.4</v>
      </c>
      <c r="AT81" s="160">
        <v>32.200000000000003</v>
      </c>
      <c r="AU81" s="160">
        <v>5.88</v>
      </c>
      <c r="AV81" s="160">
        <v>2.95</v>
      </c>
      <c r="AW81" s="160">
        <v>4.42</v>
      </c>
      <c r="AX81" s="160">
        <v>32.200000000000003</v>
      </c>
      <c r="AY81" s="160">
        <v>4.42</v>
      </c>
      <c r="AZ81" s="160">
        <v>5.88</v>
      </c>
      <c r="BA81" s="160"/>
      <c r="BB81" s="160"/>
      <c r="BC81" s="160"/>
      <c r="BD81" s="160"/>
      <c r="BE81" s="160">
        <v>17.559999999999999</v>
      </c>
      <c r="BF81" s="160"/>
      <c r="BG81" s="160"/>
      <c r="BH81" s="160"/>
      <c r="BI81" s="160"/>
      <c r="BJ81" s="160"/>
      <c r="BK81" s="160"/>
      <c r="BL81" s="160"/>
      <c r="BM81" s="160"/>
      <c r="BN81" s="160"/>
      <c r="BO81" s="160"/>
      <c r="BP81" s="160"/>
      <c r="BQ81" s="160"/>
      <c r="BR81" s="160"/>
      <c r="BS81" s="160"/>
      <c r="BT81" s="160"/>
      <c r="BU81" s="160"/>
      <c r="BV81" s="160"/>
      <c r="BW81" s="160"/>
      <c r="BX81" s="160"/>
      <c r="BY81" s="160"/>
      <c r="BZ81" s="160"/>
      <c r="CA81" s="160"/>
      <c r="CB81" s="160"/>
      <c r="CC81" s="160"/>
      <c r="CD81" s="160">
        <v>0</v>
      </c>
      <c r="CE81" s="160"/>
      <c r="CF81" s="160"/>
      <c r="CG81" s="160">
        <v>-4.03</v>
      </c>
      <c r="CH81" s="160">
        <v>80</v>
      </c>
    </row>
    <row r="82" spans="1:86" x14ac:dyDescent="0.25">
      <c r="A82" s="159" t="s">
        <v>693</v>
      </c>
      <c r="B82" s="159">
        <v>0</v>
      </c>
      <c r="C82" s="159">
        <v>500</v>
      </c>
      <c r="D82" s="159">
        <v>1000</v>
      </c>
      <c r="E82" s="159" t="s">
        <v>308</v>
      </c>
      <c r="F82" s="159" t="s">
        <v>308</v>
      </c>
      <c r="G82" s="264">
        <v>8890000</v>
      </c>
      <c r="H82" s="249">
        <v>62.170640393951501</v>
      </c>
      <c r="I82" s="249">
        <v>18.818571337592598</v>
      </c>
      <c r="J82" s="249">
        <v>10.301765800532134</v>
      </c>
      <c r="K82" s="249">
        <v>7.0219456413920263</v>
      </c>
      <c r="L82" s="249">
        <v>1.1348068708715051</v>
      </c>
      <c r="M82" s="249">
        <v>0</v>
      </c>
      <c r="N82" s="249">
        <v>0.47739913985532789</v>
      </c>
      <c r="O82" s="249">
        <v>0</v>
      </c>
      <c r="P82" s="249">
        <v>0</v>
      </c>
      <c r="Q82" s="249">
        <v>6.4471422940370213E-2</v>
      </c>
      <c r="R82" s="249">
        <v>1.0399392864538169E-2</v>
      </c>
      <c r="S82" s="249">
        <v>0</v>
      </c>
      <c r="T82" s="249">
        <v>0</v>
      </c>
      <c r="U82" s="249">
        <v>0</v>
      </c>
      <c r="V82" s="249">
        <v>0</v>
      </c>
      <c r="W82" s="249">
        <v>0</v>
      </c>
      <c r="X82" s="249">
        <v>0</v>
      </c>
      <c r="Y82" s="249">
        <v>0</v>
      </c>
      <c r="Z82" s="249">
        <v>0</v>
      </c>
      <c r="AA82" s="249">
        <v>0</v>
      </c>
      <c r="AB82" s="249">
        <v>0</v>
      </c>
      <c r="AC82" s="249">
        <v>0</v>
      </c>
      <c r="AD82" s="249">
        <v>0</v>
      </c>
      <c r="AE82" s="249">
        <v>0</v>
      </c>
      <c r="AF82" s="249">
        <v>-134.28076087730219</v>
      </c>
      <c r="AG82" s="249">
        <v>-134.28076087730219</v>
      </c>
      <c r="AH82" s="249">
        <v>1.5</v>
      </c>
      <c r="AI82" s="249">
        <v>1</v>
      </c>
      <c r="AJ82" s="249">
        <v>2.5000000000000001E-2</v>
      </c>
      <c r="AK82" s="159" t="s">
        <v>228</v>
      </c>
      <c r="AL82" s="159" t="s">
        <v>230</v>
      </c>
      <c r="AM82" s="159"/>
      <c r="AN82" s="159">
        <v>0</v>
      </c>
      <c r="AO82" s="159">
        <v>70</v>
      </c>
      <c r="AP82" s="159"/>
      <c r="AQ82" s="159"/>
      <c r="AR82" s="159"/>
      <c r="AS82" s="159"/>
      <c r="AT82" s="159">
        <v>16</v>
      </c>
      <c r="AU82" s="159">
        <v>5</v>
      </c>
      <c r="AV82" s="159"/>
      <c r="AW82" s="159">
        <v>1</v>
      </c>
      <c r="AX82" s="159"/>
      <c r="AY82" s="159"/>
      <c r="AZ82" s="159"/>
      <c r="BA82" s="159">
        <v>180</v>
      </c>
      <c r="BB82" s="159"/>
      <c r="BC82" s="159"/>
      <c r="BD82" s="159">
        <v>1</v>
      </c>
      <c r="BE82" s="159"/>
      <c r="BF82" s="159"/>
      <c r="BG82" s="159"/>
      <c r="BH82" s="159"/>
      <c r="BI82" s="159"/>
      <c r="BJ82" s="159">
        <v>38</v>
      </c>
      <c r="BK82" s="159"/>
      <c r="BL82" s="159"/>
      <c r="BM82" s="159"/>
      <c r="BN82" s="159"/>
      <c r="BO82" s="159">
        <v>14</v>
      </c>
      <c r="BP82" s="159">
        <v>210</v>
      </c>
      <c r="BQ82" s="159"/>
      <c r="BR82" s="159">
        <v>3</v>
      </c>
      <c r="BS82" s="159"/>
      <c r="BT82" s="159">
        <v>94</v>
      </c>
      <c r="BU82" s="159"/>
      <c r="BV82" s="159"/>
      <c r="BW82" s="159"/>
      <c r="BX82" s="159"/>
      <c r="BY82" s="159">
        <v>2</v>
      </c>
      <c r="BZ82" s="159"/>
      <c r="CA82" s="159"/>
      <c r="CB82" s="159"/>
      <c r="CC82" s="159"/>
      <c r="CD82" s="159">
        <v>0</v>
      </c>
      <c r="CE82" s="159"/>
      <c r="CF82" s="159"/>
      <c r="CG82" s="159">
        <v>-0.22700000000000001</v>
      </c>
      <c r="CH82" s="159">
        <v>81</v>
      </c>
    </row>
    <row r="83" spans="1:86" x14ac:dyDescent="0.25">
      <c r="A83" s="241" t="s">
        <v>694</v>
      </c>
      <c r="B83" s="241">
        <v>0</v>
      </c>
      <c r="C83" s="241">
        <v>600</v>
      </c>
      <c r="D83" s="241">
        <v>1000</v>
      </c>
      <c r="E83" s="241" t="s">
        <v>308</v>
      </c>
      <c r="F83" s="241" t="s">
        <v>308</v>
      </c>
      <c r="G83" s="265">
        <v>8890000</v>
      </c>
      <c r="H83" s="250">
        <v>62.170640393951501</v>
      </c>
      <c r="I83" s="250">
        <v>18.818571337592598</v>
      </c>
      <c r="J83" s="250">
        <v>10.301765800532134</v>
      </c>
      <c r="K83" s="250">
        <v>7.0219456413920263</v>
      </c>
      <c r="L83" s="250">
        <v>1.1348068708715051</v>
      </c>
      <c r="M83" s="250">
        <v>0</v>
      </c>
      <c r="N83" s="250">
        <v>0.47739913985532789</v>
      </c>
      <c r="O83" s="250">
        <v>0</v>
      </c>
      <c r="P83" s="250">
        <v>0</v>
      </c>
      <c r="Q83" s="250">
        <v>6.4471422940370213E-2</v>
      </c>
      <c r="R83" s="250">
        <v>1.0399392864538169E-2</v>
      </c>
      <c r="S83" s="250">
        <v>0</v>
      </c>
      <c r="T83" s="250">
        <v>0</v>
      </c>
      <c r="U83" s="250">
        <v>0</v>
      </c>
      <c r="V83" s="250">
        <v>0</v>
      </c>
      <c r="W83" s="250">
        <v>0</v>
      </c>
      <c r="X83" s="250">
        <v>0</v>
      </c>
      <c r="Y83" s="250">
        <v>0</v>
      </c>
      <c r="Z83" s="250">
        <v>0</v>
      </c>
      <c r="AA83" s="250">
        <v>0</v>
      </c>
      <c r="AB83" s="250">
        <v>0</v>
      </c>
      <c r="AC83" s="250">
        <v>0</v>
      </c>
      <c r="AD83" s="250">
        <v>0</v>
      </c>
      <c r="AE83" s="250">
        <v>0</v>
      </c>
      <c r="AF83" s="250">
        <v>-130.93157850689349</v>
      </c>
      <c r="AG83" s="250">
        <v>-130.93157850689349</v>
      </c>
      <c r="AH83" s="250">
        <v>1.5</v>
      </c>
      <c r="AI83" s="250">
        <v>1</v>
      </c>
      <c r="AJ83" s="250">
        <v>2.5000000000000001E-2</v>
      </c>
      <c r="AK83" s="241" t="s">
        <v>228</v>
      </c>
      <c r="AL83" s="241" t="s">
        <v>230</v>
      </c>
      <c r="AM83" s="241"/>
      <c r="AN83" s="241">
        <v>0</v>
      </c>
      <c r="AO83" s="241">
        <v>70</v>
      </c>
      <c r="AP83" s="241"/>
      <c r="AQ83" s="241"/>
      <c r="AR83" s="241"/>
      <c r="AS83" s="241"/>
      <c r="AT83" s="241">
        <v>16</v>
      </c>
      <c r="AU83" s="241">
        <v>5</v>
      </c>
      <c r="AV83" s="241"/>
      <c r="AW83" s="241">
        <v>1</v>
      </c>
      <c r="AX83" s="241"/>
      <c r="AY83" s="241"/>
      <c r="AZ83" s="241"/>
      <c r="BA83" s="241">
        <v>180</v>
      </c>
      <c r="BB83" s="241"/>
      <c r="BC83" s="241"/>
      <c r="BD83" s="241">
        <v>1</v>
      </c>
      <c r="BE83" s="241"/>
      <c r="BF83" s="241"/>
      <c r="BG83" s="241"/>
      <c r="BH83" s="241"/>
      <c r="BI83" s="241"/>
      <c r="BJ83" s="241">
        <v>12</v>
      </c>
      <c r="BK83" s="241"/>
      <c r="BL83" s="241"/>
      <c r="BM83" s="241"/>
      <c r="BN83" s="241"/>
      <c r="BO83" s="241">
        <v>1.8</v>
      </c>
      <c r="BP83" s="241">
        <v>550</v>
      </c>
      <c r="BQ83" s="241"/>
      <c r="BR83" s="241">
        <v>0.84</v>
      </c>
      <c r="BS83" s="241"/>
      <c r="BT83" s="241">
        <v>16</v>
      </c>
      <c r="BU83" s="241"/>
      <c r="BV83" s="241">
        <v>180</v>
      </c>
      <c r="BW83" s="241"/>
      <c r="BX83" s="241"/>
      <c r="BY83" s="241">
        <v>2</v>
      </c>
      <c r="BZ83" s="241"/>
      <c r="CA83" s="241"/>
      <c r="CB83" s="241"/>
      <c r="CC83" s="241"/>
      <c r="CD83" s="241">
        <v>0</v>
      </c>
      <c r="CE83" s="241"/>
      <c r="CF83" s="241"/>
      <c r="CG83" s="241">
        <v>-0.34300000000000003</v>
      </c>
      <c r="CH83" s="241">
        <v>82</v>
      </c>
    </row>
    <row r="84" spans="1:86" x14ac:dyDescent="0.25">
      <c r="A84" s="159" t="s">
        <v>695</v>
      </c>
      <c r="B84" s="159">
        <v>0</v>
      </c>
      <c r="C84" s="159">
        <v>500</v>
      </c>
      <c r="D84" s="159">
        <v>1000</v>
      </c>
      <c r="E84" s="159" t="s">
        <v>312</v>
      </c>
      <c r="F84" s="159" t="s">
        <v>312</v>
      </c>
      <c r="G84" s="264">
        <v>8470000</v>
      </c>
      <c r="H84" s="249">
        <v>75.015101953020505</v>
      </c>
      <c r="I84" s="249">
        <v>17.331567618763543</v>
      </c>
      <c r="J84" s="249">
        <v>0</v>
      </c>
      <c r="K84" s="249">
        <v>7.1924121510888783</v>
      </c>
      <c r="L84" s="249">
        <v>0</v>
      </c>
      <c r="M84" s="249">
        <v>0</v>
      </c>
      <c r="N84" s="249">
        <v>0.24996731081199006</v>
      </c>
      <c r="O84" s="249">
        <v>0</v>
      </c>
      <c r="P84" s="249">
        <v>0</v>
      </c>
      <c r="Q84" s="249">
        <v>2.0370837866397786E-2</v>
      </c>
      <c r="R84" s="249">
        <v>0.19058012844866407</v>
      </c>
      <c r="S84" s="249">
        <v>0</v>
      </c>
      <c r="T84" s="249">
        <v>0</v>
      </c>
      <c r="U84" s="249">
        <v>0</v>
      </c>
      <c r="V84" s="249">
        <v>0</v>
      </c>
      <c r="W84" s="249">
        <v>0</v>
      </c>
      <c r="X84" s="249">
        <v>0</v>
      </c>
      <c r="Y84" s="249">
        <v>0</v>
      </c>
      <c r="Z84" s="249">
        <v>0</v>
      </c>
      <c r="AA84" s="249">
        <v>0</v>
      </c>
      <c r="AB84" s="249">
        <v>0</v>
      </c>
      <c r="AC84" s="249">
        <v>0</v>
      </c>
      <c r="AD84" s="249">
        <v>0</v>
      </c>
      <c r="AE84" s="249">
        <v>0</v>
      </c>
      <c r="AF84" s="249">
        <v>-134.65141092366517</v>
      </c>
      <c r="AG84" s="249">
        <v>-134.65141092366517</v>
      </c>
      <c r="AH84" s="249">
        <v>1.5</v>
      </c>
      <c r="AI84" s="249">
        <v>1</v>
      </c>
      <c r="AJ84" s="249">
        <v>2.5000000000000001E-2</v>
      </c>
      <c r="AK84" s="159" t="s">
        <v>228</v>
      </c>
      <c r="AL84" s="159" t="s">
        <v>230</v>
      </c>
      <c r="AM84" s="159"/>
      <c r="AN84" s="159">
        <v>0</v>
      </c>
      <c r="AO84" s="159">
        <v>70</v>
      </c>
      <c r="AP84" s="159"/>
      <c r="AQ84" s="159"/>
      <c r="AR84" s="159"/>
      <c r="AS84" s="159"/>
      <c r="AT84" s="159">
        <v>16</v>
      </c>
      <c r="AU84" s="159">
        <v>5</v>
      </c>
      <c r="AV84" s="159"/>
      <c r="AW84" s="159">
        <v>1</v>
      </c>
      <c r="AX84" s="159"/>
      <c r="AY84" s="159"/>
      <c r="AZ84" s="159"/>
      <c r="BA84" s="159">
        <v>180</v>
      </c>
      <c r="BB84" s="159"/>
      <c r="BC84" s="159"/>
      <c r="BD84" s="159">
        <v>1</v>
      </c>
      <c r="BE84" s="159"/>
      <c r="BF84" s="159"/>
      <c r="BG84" s="159"/>
      <c r="BH84" s="159"/>
      <c r="BI84" s="159"/>
      <c r="BJ84" s="159">
        <v>45</v>
      </c>
      <c r="BK84" s="159"/>
      <c r="BL84" s="159"/>
      <c r="BM84" s="159"/>
      <c r="BN84" s="159"/>
      <c r="BO84" s="159">
        <v>55</v>
      </c>
      <c r="BP84" s="159">
        <v>250</v>
      </c>
      <c r="BQ84" s="159"/>
      <c r="BR84" s="159">
        <v>1.2</v>
      </c>
      <c r="BS84" s="159"/>
      <c r="BT84" s="159">
        <v>30</v>
      </c>
      <c r="BU84" s="159"/>
      <c r="BV84" s="159">
        <v>140</v>
      </c>
      <c r="BW84" s="159"/>
      <c r="BX84" s="159"/>
      <c r="BY84" s="159">
        <v>0.28999999999999998</v>
      </c>
      <c r="BZ84" s="159"/>
      <c r="CA84" s="159"/>
      <c r="CB84" s="159"/>
      <c r="CC84" s="159"/>
      <c r="CD84" s="159">
        <v>0</v>
      </c>
      <c r="CE84" s="159"/>
      <c r="CF84" s="159"/>
      <c r="CG84" s="159">
        <v>-0.106</v>
      </c>
      <c r="CH84" s="159">
        <v>83</v>
      </c>
    </row>
    <row r="85" spans="1:86" x14ac:dyDescent="0.25">
      <c r="A85" s="241" t="s">
        <v>696</v>
      </c>
      <c r="B85" s="241">
        <v>0</v>
      </c>
      <c r="C85" s="241">
        <v>600</v>
      </c>
      <c r="D85" s="241">
        <v>1000</v>
      </c>
      <c r="E85" s="241" t="s">
        <v>312</v>
      </c>
      <c r="F85" s="241" t="s">
        <v>312</v>
      </c>
      <c r="G85" s="265">
        <v>8470000</v>
      </c>
      <c r="H85" s="250">
        <v>75.015101953020505</v>
      </c>
      <c r="I85" s="250">
        <v>17.331567618763543</v>
      </c>
      <c r="J85" s="250">
        <v>0</v>
      </c>
      <c r="K85" s="250">
        <v>7.1924121510888783</v>
      </c>
      <c r="L85" s="250">
        <v>0</v>
      </c>
      <c r="M85" s="250">
        <v>0</v>
      </c>
      <c r="N85" s="250">
        <v>0.24996731081199006</v>
      </c>
      <c r="O85" s="250">
        <v>0</v>
      </c>
      <c r="P85" s="250">
        <v>0</v>
      </c>
      <c r="Q85" s="250">
        <v>2.0370837866397786E-2</v>
      </c>
      <c r="R85" s="250">
        <v>0.19058012844866407</v>
      </c>
      <c r="S85" s="250">
        <v>0</v>
      </c>
      <c r="T85" s="250">
        <v>0</v>
      </c>
      <c r="U85" s="250">
        <v>0</v>
      </c>
      <c r="V85" s="250">
        <v>0</v>
      </c>
      <c r="W85" s="250">
        <v>0</v>
      </c>
      <c r="X85" s="250">
        <v>0</v>
      </c>
      <c r="Y85" s="250">
        <v>0</v>
      </c>
      <c r="Z85" s="250">
        <v>0</v>
      </c>
      <c r="AA85" s="250">
        <v>0</v>
      </c>
      <c r="AB85" s="250">
        <v>0</v>
      </c>
      <c r="AC85" s="250">
        <v>0</v>
      </c>
      <c r="AD85" s="250">
        <v>0</v>
      </c>
      <c r="AE85" s="250">
        <v>0</v>
      </c>
      <c r="AF85" s="250">
        <v>-131.13367674380748</v>
      </c>
      <c r="AG85" s="250">
        <v>-131.13367674380748</v>
      </c>
      <c r="AH85" s="250">
        <v>1.5</v>
      </c>
      <c r="AI85" s="250">
        <v>1</v>
      </c>
      <c r="AJ85" s="250">
        <v>2.5000000000000001E-2</v>
      </c>
      <c r="AK85" s="241" t="s">
        <v>228</v>
      </c>
      <c r="AL85" s="241" t="s">
        <v>230</v>
      </c>
      <c r="AM85" s="241"/>
      <c r="AN85" s="241">
        <v>0</v>
      </c>
      <c r="AO85" s="241">
        <v>70</v>
      </c>
      <c r="AP85" s="241"/>
      <c r="AQ85" s="241"/>
      <c r="AR85" s="241"/>
      <c r="AS85" s="241"/>
      <c r="AT85" s="241">
        <v>16</v>
      </c>
      <c r="AU85" s="241">
        <v>5</v>
      </c>
      <c r="AV85" s="241"/>
      <c r="AW85" s="241">
        <v>1</v>
      </c>
      <c r="AX85" s="241"/>
      <c r="AY85" s="241"/>
      <c r="AZ85" s="241"/>
      <c r="BA85" s="241">
        <v>180</v>
      </c>
      <c r="BB85" s="241"/>
      <c r="BC85" s="241"/>
      <c r="BD85" s="241">
        <v>1</v>
      </c>
      <c r="BE85" s="241"/>
      <c r="BF85" s="241"/>
      <c r="BG85" s="241"/>
      <c r="BH85" s="241"/>
      <c r="BI85" s="241"/>
      <c r="BJ85" s="241">
        <v>89</v>
      </c>
      <c r="BK85" s="241"/>
      <c r="BL85" s="241"/>
      <c r="BM85" s="241"/>
      <c r="BN85" s="241"/>
      <c r="BO85" s="241">
        <v>56</v>
      </c>
      <c r="BP85" s="241">
        <v>700</v>
      </c>
      <c r="BQ85" s="241"/>
      <c r="BR85" s="241">
        <v>2.1</v>
      </c>
      <c r="BS85" s="241"/>
      <c r="BT85" s="241">
        <v>57</v>
      </c>
      <c r="BU85" s="241"/>
      <c r="BV85" s="241">
        <v>280</v>
      </c>
      <c r="BW85" s="241"/>
      <c r="BX85" s="241"/>
      <c r="BY85" s="241">
        <v>0.72</v>
      </c>
      <c r="BZ85" s="241"/>
      <c r="CA85" s="241"/>
      <c r="CB85" s="241"/>
      <c r="CC85" s="241"/>
      <c r="CD85" s="241">
        <v>0</v>
      </c>
      <c r="CE85" s="241"/>
      <c r="CF85" s="241"/>
      <c r="CG85" s="241">
        <v>-0.26700000000000002</v>
      </c>
      <c r="CH85" s="241">
        <v>84</v>
      </c>
    </row>
    <row r="86" spans="1:86" x14ac:dyDescent="0.25">
      <c r="A86" s="159" t="s">
        <v>697</v>
      </c>
      <c r="B86" s="159">
        <v>0</v>
      </c>
      <c r="C86" s="159">
        <v>500</v>
      </c>
      <c r="D86" s="159">
        <v>1000</v>
      </c>
      <c r="E86" s="159" t="s">
        <v>314</v>
      </c>
      <c r="F86" s="159" t="s">
        <v>314</v>
      </c>
      <c r="G86" s="264">
        <v>8440000</v>
      </c>
      <c r="H86" s="249">
        <v>65.971187042641063</v>
      </c>
      <c r="I86" s="249">
        <v>24.071558386135255</v>
      </c>
      <c r="J86" s="249">
        <v>5.4350816142100591</v>
      </c>
      <c r="K86" s="249">
        <v>4.2524078109734544</v>
      </c>
      <c r="L86" s="249">
        <v>0</v>
      </c>
      <c r="M86" s="249">
        <v>0</v>
      </c>
      <c r="N86" s="249">
        <v>0.1716265079561588</v>
      </c>
      <c r="O86" s="249">
        <v>0</v>
      </c>
      <c r="P86" s="249">
        <v>0</v>
      </c>
      <c r="Q86" s="249">
        <v>0</v>
      </c>
      <c r="R86" s="249">
        <v>9.8138638084006691E-2</v>
      </c>
      <c r="S86" s="249">
        <v>0</v>
      </c>
      <c r="T86" s="249">
        <v>0</v>
      </c>
      <c r="U86" s="249">
        <v>0</v>
      </c>
      <c r="V86" s="249">
        <v>0</v>
      </c>
      <c r="W86" s="249">
        <v>0</v>
      </c>
      <c r="X86" s="249">
        <v>0</v>
      </c>
      <c r="Y86" s="249">
        <v>0</v>
      </c>
      <c r="Z86" s="249">
        <v>0</v>
      </c>
      <c r="AA86" s="249">
        <v>0</v>
      </c>
      <c r="AB86" s="249">
        <v>0</v>
      </c>
      <c r="AC86" s="249">
        <v>0</v>
      </c>
      <c r="AD86" s="249">
        <v>0</v>
      </c>
      <c r="AE86" s="249">
        <v>0</v>
      </c>
      <c r="AF86" s="249">
        <v>-135.59719051295724</v>
      </c>
      <c r="AG86" s="249">
        <v>-135.59719051295724</v>
      </c>
      <c r="AH86" s="249">
        <v>1.5</v>
      </c>
      <c r="AI86" s="249">
        <v>1</v>
      </c>
      <c r="AJ86" s="249">
        <v>2.5000000000000001E-2</v>
      </c>
      <c r="AK86" s="159" t="s">
        <v>228</v>
      </c>
      <c r="AL86" s="159" t="s">
        <v>230</v>
      </c>
      <c r="AM86" s="159"/>
      <c r="AN86" s="159">
        <v>0</v>
      </c>
      <c r="AO86" s="159">
        <v>70</v>
      </c>
      <c r="AP86" s="159"/>
      <c r="AQ86" s="159"/>
      <c r="AR86" s="159"/>
      <c r="AS86" s="159"/>
      <c r="AT86" s="159">
        <v>16</v>
      </c>
      <c r="AU86" s="159">
        <v>5</v>
      </c>
      <c r="AV86" s="159"/>
      <c r="AW86" s="159">
        <v>1</v>
      </c>
      <c r="AX86" s="159"/>
      <c r="AY86" s="159"/>
      <c r="AZ86" s="159"/>
      <c r="BA86" s="159">
        <v>180</v>
      </c>
      <c r="BB86" s="159"/>
      <c r="BC86" s="159"/>
      <c r="BD86" s="159">
        <v>1</v>
      </c>
      <c r="BE86" s="159"/>
      <c r="BF86" s="159"/>
      <c r="BG86" s="159"/>
      <c r="BH86" s="159"/>
      <c r="BI86" s="159"/>
      <c r="BJ86" s="159">
        <v>64</v>
      </c>
      <c r="BK86" s="159"/>
      <c r="BL86" s="159"/>
      <c r="BM86" s="159"/>
      <c r="BN86" s="159"/>
      <c r="BO86" s="159">
        <v>29</v>
      </c>
      <c r="BP86" s="159">
        <v>120</v>
      </c>
      <c r="BQ86" s="159"/>
      <c r="BR86" s="159">
        <v>0.95</v>
      </c>
      <c r="BS86" s="159"/>
      <c r="BT86" s="159">
        <v>9.6999999999999993</v>
      </c>
      <c r="BU86" s="159"/>
      <c r="BV86" s="159">
        <v>200</v>
      </c>
      <c r="BW86" s="159"/>
      <c r="BX86" s="159"/>
      <c r="BY86" s="159">
        <v>0.59</v>
      </c>
      <c r="BZ86" s="159"/>
      <c r="CA86" s="159"/>
      <c r="CB86" s="159"/>
      <c r="CC86" s="159"/>
      <c r="CD86" s="159">
        <v>0</v>
      </c>
      <c r="CE86" s="159"/>
      <c r="CF86" s="159"/>
      <c r="CG86" s="159">
        <v>-0.127</v>
      </c>
      <c r="CH86" s="159">
        <v>85</v>
      </c>
    </row>
    <row r="87" spans="1:86" ht="16.5" thickBot="1" x14ac:dyDescent="0.3">
      <c r="A87" s="242" t="s">
        <v>698</v>
      </c>
      <c r="B87" s="242">
        <v>0</v>
      </c>
      <c r="C87" s="242">
        <v>600</v>
      </c>
      <c r="D87" s="242">
        <v>1000</v>
      </c>
      <c r="E87" s="242" t="s">
        <v>314</v>
      </c>
      <c r="F87" s="242" t="s">
        <v>314</v>
      </c>
      <c r="G87" s="266">
        <v>8440000</v>
      </c>
      <c r="H87" s="251">
        <v>65.971187042641063</v>
      </c>
      <c r="I87" s="251">
        <v>24.071558386135255</v>
      </c>
      <c r="J87" s="251">
        <v>5.4350816142100591</v>
      </c>
      <c r="K87" s="251">
        <v>4.2524078109734544</v>
      </c>
      <c r="L87" s="251">
        <v>0</v>
      </c>
      <c r="M87" s="251">
        <v>0</v>
      </c>
      <c r="N87" s="251">
        <v>0.1716265079561588</v>
      </c>
      <c r="O87" s="251">
        <v>0</v>
      </c>
      <c r="P87" s="251">
        <v>0</v>
      </c>
      <c r="Q87" s="251">
        <v>0</v>
      </c>
      <c r="R87" s="251">
        <v>9.8138638084006691E-2</v>
      </c>
      <c r="S87" s="251">
        <v>0</v>
      </c>
      <c r="T87" s="251">
        <v>0</v>
      </c>
      <c r="U87" s="251">
        <v>0</v>
      </c>
      <c r="V87" s="251">
        <v>0</v>
      </c>
      <c r="W87" s="251">
        <v>0</v>
      </c>
      <c r="X87" s="251">
        <v>0</v>
      </c>
      <c r="Y87" s="251">
        <v>0</v>
      </c>
      <c r="Z87" s="251">
        <v>0</v>
      </c>
      <c r="AA87" s="251">
        <v>0</v>
      </c>
      <c r="AB87" s="251">
        <v>0</v>
      </c>
      <c r="AC87" s="251">
        <v>0</v>
      </c>
      <c r="AD87" s="251">
        <v>0</v>
      </c>
      <c r="AE87" s="251">
        <v>0</v>
      </c>
      <c r="AF87" s="251">
        <v>-132.16332788628074</v>
      </c>
      <c r="AG87" s="251">
        <v>-132.16332788628074</v>
      </c>
      <c r="AH87" s="251">
        <v>1.5</v>
      </c>
      <c r="AI87" s="251">
        <v>1</v>
      </c>
      <c r="AJ87" s="251">
        <v>2.5000000000000001E-2</v>
      </c>
      <c r="AK87" s="242" t="s">
        <v>228</v>
      </c>
      <c r="AL87" s="242" t="s">
        <v>230</v>
      </c>
      <c r="AM87" s="242"/>
      <c r="AN87" s="242">
        <v>0</v>
      </c>
      <c r="AO87" s="242">
        <v>70</v>
      </c>
      <c r="AP87" s="242"/>
      <c r="AQ87" s="242"/>
      <c r="AR87" s="242"/>
      <c r="AS87" s="242"/>
      <c r="AT87" s="242">
        <v>16</v>
      </c>
      <c r="AU87" s="242">
        <v>5</v>
      </c>
      <c r="AV87" s="242"/>
      <c r="AW87" s="242">
        <v>1</v>
      </c>
      <c r="AX87" s="242"/>
      <c r="AY87" s="242"/>
      <c r="AZ87" s="242"/>
      <c r="BA87" s="242">
        <v>180</v>
      </c>
      <c r="BB87" s="242"/>
      <c r="BC87" s="242"/>
      <c r="BD87" s="242">
        <v>1</v>
      </c>
      <c r="BE87" s="242"/>
      <c r="BF87" s="242"/>
      <c r="BG87" s="242"/>
      <c r="BH87" s="242"/>
      <c r="BI87" s="242"/>
      <c r="BJ87" s="242">
        <v>31</v>
      </c>
      <c r="BK87" s="242"/>
      <c r="BL87" s="242"/>
      <c r="BM87" s="242"/>
      <c r="BN87" s="242"/>
      <c r="BO87" s="242">
        <v>47</v>
      </c>
      <c r="BP87" s="242">
        <v>710</v>
      </c>
      <c r="BQ87" s="242"/>
      <c r="BR87" s="242">
        <v>2</v>
      </c>
      <c r="BS87" s="242"/>
      <c r="BT87" s="242">
        <v>15</v>
      </c>
      <c r="BU87" s="242"/>
      <c r="BV87" s="242">
        <v>160</v>
      </c>
      <c r="BW87" s="242"/>
      <c r="BX87" s="242"/>
      <c r="BY87" s="242">
        <v>0.69</v>
      </c>
      <c r="BZ87" s="242"/>
      <c r="CA87" s="242"/>
      <c r="CB87" s="242"/>
      <c r="CC87" s="242"/>
      <c r="CD87" s="242">
        <v>0</v>
      </c>
      <c r="CE87" s="242"/>
      <c r="CF87" s="242"/>
      <c r="CG87" s="242">
        <v>-0.107</v>
      </c>
      <c r="CH87" s="242">
        <v>86</v>
      </c>
    </row>
    <row r="88" spans="1:86" x14ac:dyDescent="0.25">
      <c r="A88" s="159" t="s">
        <v>699</v>
      </c>
      <c r="B88" s="159">
        <v>0</v>
      </c>
      <c r="C88" s="159">
        <v>700</v>
      </c>
      <c r="D88" s="159">
        <v>20</v>
      </c>
      <c r="E88" s="159" t="s">
        <v>233</v>
      </c>
      <c r="F88" s="159" t="s">
        <v>298</v>
      </c>
      <c r="G88" s="264">
        <v>8860000</v>
      </c>
      <c r="H88" s="249">
        <v>73.906899411550725</v>
      </c>
      <c r="I88" s="249">
        <v>8.3297883514904267</v>
      </c>
      <c r="J88" s="249">
        <v>10.979633824052589</v>
      </c>
      <c r="K88" s="249">
        <v>4.4459426271047953</v>
      </c>
      <c r="L88" s="249">
        <v>6.7045012170366099E-3</v>
      </c>
      <c r="M88" s="249">
        <v>0</v>
      </c>
      <c r="N88" s="249">
        <v>0.86354317368249311</v>
      </c>
      <c r="O88" s="249">
        <v>6.851115587609316E-2</v>
      </c>
      <c r="P88" s="249">
        <v>1.287118574985721E-2</v>
      </c>
      <c r="Q88" s="249">
        <v>1.2941429707687506</v>
      </c>
      <c r="R88" s="249">
        <v>7.6953829539425214E-2</v>
      </c>
      <c r="S88" s="249">
        <v>0</v>
      </c>
      <c r="T88" s="249">
        <v>0</v>
      </c>
      <c r="U88" s="249">
        <v>0</v>
      </c>
      <c r="V88" s="249">
        <v>7.9579420322333175E-3</v>
      </c>
      <c r="W88" s="249">
        <v>1.9212462171676473E-3</v>
      </c>
      <c r="X88" s="249">
        <v>5.1297807184190374E-3</v>
      </c>
      <c r="Y88" s="249">
        <v>0</v>
      </c>
      <c r="Z88" s="249">
        <v>0</v>
      </c>
      <c r="AA88" s="249">
        <v>0</v>
      </c>
      <c r="AB88" s="249">
        <v>0</v>
      </c>
      <c r="AC88" s="249">
        <v>0</v>
      </c>
      <c r="AD88" s="249">
        <v>0</v>
      </c>
      <c r="AE88" s="249">
        <v>0</v>
      </c>
      <c r="AF88" s="249">
        <v>-124.89491451689608</v>
      </c>
      <c r="AG88" s="249">
        <v>-63.529671587210359</v>
      </c>
      <c r="AH88" s="249">
        <v>20</v>
      </c>
      <c r="AI88" s="249">
        <v>10</v>
      </c>
      <c r="AJ88" s="249">
        <v>4</v>
      </c>
      <c r="AK88" s="159" t="s">
        <v>245</v>
      </c>
      <c r="AL88" s="159" t="s">
        <v>247</v>
      </c>
      <c r="AM88" s="159"/>
      <c r="AN88" s="159">
        <v>0</v>
      </c>
      <c r="AO88" s="159"/>
      <c r="AP88" s="159"/>
      <c r="AQ88" s="159"/>
      <c r="AR88" s="159"/>
      <c r="AS88" s="159"/>
      <c r="AT88" s="159"/>
      <c r="AU88" s="159"/>
      <c r="AV88" s="159"/>
      <c r="AW88" s="159"/>
      <c r="AX88" s="159"/>
      <c r="AY88" s="159"/>
      <c r="AZ88" s="159"/>
      <c r="BA88" s="159"/>
      <c r="BB88" s="159"/>
      <c r="BC88" s="159"/>
      <c r="BD88" s="159"/>
      <c r="BE88" s="159"/>
      <c r="BF88" s="159"/>
      <c r="BG88" s="159"/>
      <c r="BH88" s="159"/>
      <c r="BI88" s="159"/>
      <c r="BJ88" s="159"/>
      <c r="BK88" s="159"/>
      <c r="BL88" s="159"/>
      <c r="BM88" s="159"/>
      <c r="BN88" s="159"/>
      <c r="BO88" s="159"/>
      <c r="BP88" s="159"/>
      <c r="BQ88" s="159"/>
      <c r="BR88" s="159"/>
      <c r="BS88" s="159"/>
      <c r="BT88" s="159"/>
      <c r="BU88" s="159"/>
      <c r="BV88" s="159"/>
      <c r="BW88" s="159"/>
      <c r="BX88" s="159"/>
      <c r="BY88" s="159"/>
      <c r="BZ88" s="159"/>
      <c r="CA88" s="159"/>
      <c r="CB88" s="159"/>
      <c r="CC88" s="159"/>
      <c r="CD88" s="159">
        <v>0</v>
      </c>
      <c r="CE88" s="159"/>
      <c r="CF88" s="159">
        <v>-38</v>
      </c>
      <c r="CG88" s="159"/>
      <c r="CH88" s="159">
        <v>87</v>
      </c>
    </row>
    <row r="89" spans="1:86" x14ac:dyDescent="0.25">
      <c r="A89" s="241" t="s">
        <v>700</v>
      </c>
      <c r="B89" s="241">
        <v>0</v>
      </c>
      <c r="C89" s="241">
        <v>700</v>
      </c>
      <c r="D89" s="241">
        <v>40</v>
      </c>
      <c r="E89" s="241" t="s">
        <v>233</v>
      </c>
      <c r="F89" s="241" t="s">
        <v>298</v>
      </c>
      <c r="G89" s="265">
        <v>8860000</v>
      </c>
      <c r="H89" s="250">
        <v>73.906899411550725</v>
      </c>
      <c r="I89" s="250">
        <v>8.3297883514904267</v>
      </c>
      <c r="J89" s="250">
        <v>10.979633824052589</v>
      </c>
      <c r="K89" s="250">
        <v>4.4459426271047953</v>
      </c>
      <c r="L89" s="250">
        <v>6.7045012170366099E-3</v>
      </c>
      <c r="M89" s="250">
        <v>0</v>
      </c>
      <c r="N89" s="250">
        <v>0.86354317368249311</v>
      </c>
      <c r="O89" s="250">
        <v>6.851115587609316E-2</v>
      </c>
      <c r="P89" s="250">
        <v>1.287118574985721E-2</v>
      </c>
      <c r="Q89" s="250">
        <v>1.2941429707687506</v>
      </c>
      <c r="R89" s="250">
        <v>7.6953829539425214E-2</v>
      </c>
      <c r="S89" s="250">
        <v>0</v>
      </c>
      <c r="T89" s="250">
        <v>0</v>
      </c>
      <c r="U89" s="250">
        <v>0</v>
      </c>
      <c r="V89" s="250">
        <v>7.9579420322333175E-3</v>
      </c>
      <c r="W89" s="250">
        <v>1.9212462171676473E-3</v>
      </c>
      <c r="X89" s="250">
        <v>5.1297807184190374E-3</v>
      </c>
      <c r="Y89" s="250">
        <v>0</v>
      </c>
      <c r="Z89" s="250">
        <v>0</v>
      </c>
      <c r="AA89" s="250">
        <v>0</v>
      </c>
      <c r="AB89" s="250">
        <v>0</v>
      </c>
      <c r="AC89" s="250">
        <v>0</v>
      </c>
      <c r="AD89" s="250">
        <v>0</v>
      </c>
      <c r="AE89" s="250">
        <v>0</v>
      </c>
      <c r="AF89" s="250">
        <v>-124.89491451689608</v>
      </c>
      <c r="AG89" s="250">
        <v>-63.529671587210359</v>
      </c>
      <c r="AH89" s="250">
        <v>20</v>
      </c>
      <c r="AI89" s="250">
        <v>10</v>
      </c>
      <c r="AJ89" s="250">
        <v>4</v>
      </c>
      <c r="AK89" s="241" t="s">
        <v>245</v>
      </c>
      <c r="AL89" s="241" t="s">
        <v>247</v>
      </c>
      <c r="AM89" s="241"/>
      <c r="AN89" s="241">
        <v>0</v>
      </c>
      <c r="AO89" s="241"/>
      <c r="AP89" s="241"/>
      <c r="AQ89" s="241"/>
      <c r="AR89" s="241"/>
      <c r="AS89" s="241"/>
      <c r="AT89" s="241"/>
      <c r="AU89" s="241"/>
      <c r="AV89" s="241"/>
      <c r="AW89" s="241"/>
      <c r="AX89" s="241"/>
      <c r="AY89" s="241"/>
      <c r="AZ89" s="241"/>
      <c r="BA89" s="241"/>
      <c r="BB89" s="241"/>
      <c r="BC89" s="241"/>
      <c r="BD89" s="241"/>
      <c r="BE89" s="241"/>
      <c r="BF89" s="241"/>
      <c r="BG89" s="241"/>
      <c r="BH89" s="241"/>
      <c r="BI89" s="241"/>
      <c r="BJ89" s="241"/>
      <c r="BK89" s="241"/>
      <c r="BL89" s="241"/>
      <c r="BM89" s="241"/>
      <c r="BN89" s="241"/>
      <c r="BO89" s="241"/>
      <c r="BP89" s="241"/>
      <c r="BQ89" s="241"/>
      <c r="BR89" s="241"/>
      <c r="BS89" s="241"/>
      <c r="BT89" s="241"/>
      <c r="BU89" s="241"/>
      <c r="BV89" s="241"/>
      <c r="BW89" s="241"/>
      <c r="BX89" s="241"/>
      <c r="BY89" s="241"/>
      <c r="BZ89" s="241"/>
      <c r="CA89" s="241"/>
      <c r="CB89" s="241"/>
      <c r="CC89" s="241"/>
      <c r="CD89" s="241">
        <v>0</v>
      </c>
      <c r="CE89" s="241"/>
      <c r="CF89" s="241">
        <v>-42</v>
      </c>
      <c r="CG89" s="241"/>
      <c r="CH89" s="241">
        <v>88</v>
      </c>
    </row>
    <row r="90" spans="1:86" ht="16.5" thickBot="1" x14ac:dyDescent="0.3">
      <c r="A90" s="160" t="s">
        <v>701</v>
      </c>
      <c r="B90" s="160">
        <v>0</v>
      </c>
      <c r="C90" s="160">
        <v>700</v>
      </c>
      <c r="D90" s="160">
        <v>60</v>
      </c>
      <c r="E90" s="160" t="s">
        <v>233</v>
      </c>
      <c r="F90" s="160" t="s">
        <v>298</v>
      </c>
      <c r="G90" s="267">
        <v>8860000</v>
      </c>
      <c r="H90" s="252">
        <v>73.906899411550725</v>
      </c>
      <c r="I90" s="252">
        <v>8.3297883514904267</v>
      </c>
      <c r="J90" s="252">
        <v>10.979633824052589</v>
      </c>
      <c r="K90" s="252">
        <v>4.4459426271047953</v>
      </c>
      <c r="L90" s="252">
        <v>6.7045012170366099E-3</v>
      </c>
      <c r="M90" s="252">
        <v>0</v>
      </c>
      <c r="N90" s="252">
        <v>0.86354317368249311</v>
      </c>
      <c r="O90" s="252">
        <v>6.851115587609316E-2</v>
      </c>
      <c r="P90" s="252">
        <v>1.287118574985721E-2</v>
      </c>
      <c r="Q90" s="252">
        <v>1.2941429707687506</v>
      </c>
      <c r="R90" s="252">
        <v>7.6953829539425214E-2</v>
      </c>
      <c r="S90" s="252">
        <v>0</v>
      </c>
      <c r="T90" s="252">
        <v>0</v>
      </c>
      <c r="U90" s="252">
        <v>0</v>
      </c>
      <c r="V90" s="252">
        <v>7.9579420322333175E-3</v>
      </c>
      <c r="W90" s="252">
        <v>1.9212462171676473E-3</v>
      </c>
      <c r="X90" s="252">
        <v>5.1297807184190374E-3</v>
      </c>
      <c r="Y90" s="252">
        <v>0</v>
      </c>
      <c r="Z90" s="252">
        <v>0</v>
      </c>
      <c r="AA90" s="252">
        <v>0</v>
      </c>
      <c r="AB90" s="252">
        <v>0</v>
      </c>
      <c r="AC90" s="252">
        <v>0</v>
      </c>
      <c r="AD90" s="252">
        <v>0</v>
      </c>
      <c r="AE90" s="252">
        <v>0</v>
      </c>
      <c r="AF90" s="252">
        <v>-124.89491451689608</v>
      </c>
      <c r="AG90" s="252">
        <v>-63.529671587210359</v>
      </c>
      <c r="AH90" s="252">
        <v>20</v>
      </c>
      <c r="AI90" s="252">
        <v>10</v>
      </c>
      <c r="AJ90" s="252">
        <v>4</v>
      </c>
      <c r="AK90" s="160" t="s">
        <v>245</v>
      </c>
      <c r="AL90" s="160" t="s">
        <v>247</v>
      </c>
      <c r="AM90" s="160"/>
      <c r="AN90" s="160">
        <v>0</v>
      </c>
      <c r="AO90" s="160"/>
      <c r="AP90" s="160"/>
      <c r="AQ90" s="160"/>
      <c r="AR90" s="160"/>
      <c r="AS90" s="160"/>
      <c r="AT90" s="160"/>
      <c r="AU90" s="160"/>
      <c r="AV90" s="160"/>
      <c r="AW90" s="160"/>
      <c r="AX90" s="160"/>
      <c r="AY90" s="160"/>
      <c r="AZ90" s="160"/>
      <c r="BA90" s="160"/>
      <c r="BB90" s="160"/>
      <c r="BC90" s="160"/>
      <c r="BD90" s="160"/>
      <c r="BE90" s="160"/>
      <c r="BF90" s="160"/>
      <c r="BG90" s="160"/>
      <c r="BH90" s="160"/>
      <c r="BI90" s="160"/>
      <c r="BJ90" s="160"/>
      <c r="BK90" s="160"/>
      <c r="BL90" s="160"/>
      <c r="BM90" s="160"/>
      <c r="BN90" s="160"/>
      <c r="BO90" s="160"/>
      <c r="BP90" s="160"/>
      <c r="BQ90" s="160"/>
      <c r="BR90" s="160"/>
      <c r="BS90" s="160"/>
      <c r="BT90" s="160"/>
      <c r="BU90" s="160"/>
      <c r="BV90" s="160"/>
      <c r="BW90" s="160"/>
      <c r="BX90" s="160"/>
      <c r="BY90" s="160"/>
      <c r="BZ90" s="160"/>
      <c r="CA90" s="160"/>
      <c r="CB90" s="160"/>
      <c r="CC90" s="160"/>
      <c r="CD90" s="160">
        <v>0</v>
      </c>
      <c r="CE90" s="160"/>
      <c r="CF90" s="160">
        <v>-119</v>
      </c>
      <c r="CG90" s="160"/>
      <c r="CH90" s="160">
        <v>89</v>
      </c>
    </row>
    <row r="91" spans="1:86" x14ac:dyDescent="0.25">
      <c r="A91" s="241" t="s">
        <v>702</v>
      </c>
      <c r="B91" s="241">
        <v>0</v>
      </c>
      <c r="C91" s="241">
        <v>700</v>
      </c>
      <c r="D91" s="241">
        <v>100</v>
      </c>
      <c r="E91" s="241" t="s">
        <v>48</v>
      </c>
      <c r="F91" s="241" t="s">
        <v>275</v>
      </c>
      <c r="G91" s="265">
        <v>9220000</v>
      </c>
      <c r="H91" s="250">
        <v>68.825839891971</v>
      </c>
      <c r="I91" s="250">
        <v>1.7926280517425051</v>
      </c>
      <c r="J91" s="250">
        <v>18.456820707811541</v>
      </c>
      <c r="K91" s="250">
        <v>1.6690538709151344</v>
      </c>
      <c r="L91" s="250">
        <v>1.0143270804201334</v>
      </c>
      <c r="M91" s="250">
        <v>3.1636402067066096</v>
      </c>
      <c r="N91" s="250">
        <v>3.3933985690065618</v>
      </c>
      <c r="O91" s="250">
        <v>1.1516760401607398</v>
      </c>
      <c r="P91" s="250">
        <v>0.25963835022800719</v>
      </c>
      <c r="Q91" s="250">
        <v>0.22123331835910828</v>
      </c>
      <c r="R91" s="250">
        <v>5.1743912678662372E-2</v>
      </c>
      <c r="S91" s="250">
        <v>0</v>
      </c>
      <c r="T91" s="250">
        <v>0</v>
      </c>
      <c r="U91" s="250">
        <v>0</v>
      </c>
      <c r="V91" s="250">
        <v>0</v>
      </c>
      <c r="W91" s="250">
        <v>0</v>
      </c>
      <c r="X91" s="250">
        <v>0</v>
      </c>
      <c r="Y91" s="250">
        <v>0</v>
      </c>
      <c r="Z91" s="250">
        <v>0</v>
      </c>
      <c r="AA91" s="250">
        <v>0</v>
      </c>
      <c r="AB91" s="250">
        <v>0</v>
      </c>
      <c r="AC91" s="250">
        <v>0</v>
      </c>
      <c r="AD91" s="250">
        <v>0</v>
      </c>
      <c r="AE91" s="250">
        <v>0</v>
      </c>
      <c r="AF91" s="250">
        <v>-123.42862137745254</v>
      </c>
      <c r="AG91" s="250">
        <v>-121.74823772574202</v>
      </c>
      <c r="AH91" s="250">
        <v>20</v>
      </c>
      <c r="AI91" s="250">
        <v>20</v>
      </c>
      <c r="AJ91" s="250">
        <v>1</v>
      </c>
      <c r="AK91" s="241" t="s">
        <v>245</v>
      </c>
      <c r="AL91" s="241" t="s">
        <v>247</v>
      </c>
      <c r="AM91" s="241">
        <v>1.91</v>
      </c>
      <c r="AN91" s="241">
        <v>0</v>
      </c>
      <c r="AO91" s="241"/>
      <c r="AP91" s="241"/>
      <c r="AQ91" s="241"/>
      <c r="AR91" s="241"/>
      <c r="AS91" s="241"/>
      <c r="AT91" s="241"/>
      <c r="AU91" s="241"/>
      <c r="AV91" s="241"/>
      <c r="AW91" s="241"/>
      <c r="AX91" s="241"/>
      <c r="AY91" s="241"/>
      <c r="AZ91" s="241"/>
      <c r="BA91" s="241"/>
      <c r="BB91" s="241"/>
      <c r="BC91" s="241"/>
      <c r="BD91" s="241"/>
      <c r="BE91" s="241"/>
      <c r="BF91" s="241"/>
      <c r="BG91" s="241"/>
      <c r="BH91" s="241"/>
      <c r="BI91" s="241"/>
      <c r="BJ91" s="241"/>
      <c r="BK91" s="241"/>
      <c r="BL91" s="241"/>
      <c r="BM91" s="241"/>
      <c r="BN91" s="241"/>
      <c r="BO91" s="241"/>
      <c r="BP91" s="241"/>
      <c r="BQ91" s="241"/>
      <c r="BR91" s="241"/>
      <c r="BS91" s="241"/>
      <c r="BT91" s="241"/>
      <c r="BU91" s="241"/>
      <c r="BV91" s="241"/>
      <c r="BW91" s="241"/>
      <c r="BX91" s="241"/>
      <c r="BY91" s="241"/>
      <c r="BZ91" s="241"/>
      <c r="CA91" s="241"/>
      <c r="CB91" s="241"/>
      <c r="CC91" s="241"/>
      <c r="CD91" s="241">
        <v>0</v>
      </c>
      <c r="CE91" s="241"/>
      <c r="CF91" s="241"/>
      <c r="CG91" s="241">
        <v>-27.2</v>
      </c>
      <c r="CH91" s="241">
        <v>90</v>
      </c>
    </row>
    <row r="92" spans="1:86" x14ac:dyDescent="0.25">
      <c r="A92" s="159" t="s">
        <v>703</v>
      </c>
      <c r="B92" s="159">
        <v>0</v>
      </c>
      <c r="C92" s="159">
        <v>700</v>
      </c>
      <c r="D92" s="159">
        <v>200</v>
      </c>
      <c r="E92" s="159" t="s">
        <v>48</v>
      </c>
      <c r="F92" s="159" t="s">
        <v>275</v>
      </c>
      <c r="G92" s="264">
        <v>9220000</v>
      </c>
      <c r="H92" s="249">
        <v>68.825839891971</v>
      </c>
      <c r="I92" s="249">
        <v>1.7926280517425051</v>
      </c>
      <c r="J92" s="249">
        <v>18.456820707811541</v>
      </c>
      <c r="K92" s="249">
        <v>1.6690538709151344</v>
      </c>
      <c r="L92" s="249">
        <v>1.0143270804201334</v>
      </c>
      <c r="M92" s="249">
        <v>3.1636402067066096</v>
      </c>
      <c r="N92" s="249">
        <v>3.3933985690065618</v>
      </c>
      <c r="O92" s="249">
        <v>1.1516760401607398</v>
      </c>
      <c r="P92" s="249">
        <v>0.25963835022800719</v>
      </c>
      <c r="Q92" s="249">
        <v>0.22123331835910828</v>
      </c>
      <c r="R92" s="249">
        <v>5.1743912678662372E-2</v>
      </c>
      <c r="S92" s="249">
        <v>0</v>
      </c>
      <c r="T92" s="249">
        <v>0</v>
      </c>
      <c r="U92" s="249">
        <v>0</v>
      </c>
      <c r="V92" s="249">
        <v>0</v>
      </c>
      <c r="W92" s="249">
        <v>0</v>
      </c>
      <c r="X92" s="249">
        <v>0</v>
      </c>
      <c r="Y92" s="249">
        <v>0</v>
      </c>
      <c r="Z92" s="249">
        <v>0</v>
      </c>
      <c r="AA92" s="249">
        <v>0</v>
      </c>
      <c r="AB92" s="249">
        <v>0</v>
      </c>
      <c r="AC92" s="249">
        <v>0</v>
      </c>
      <c r="AD92" s="249">
        <v>0</v>
      </c>
      <c r="AE92" s="249">
        <v>0</v>
      </c>
      <c r="AF92" s="249">
        <v>-123.42862137745254</v>
      </c>
      <c r="AG92" s="249">
        <v>-121.74823772574202</v>
      </c>
      <c r="AH92" s="249">
        <v>20</v>
      </c>
      <c r="AI92" s="249">
        <v>20</v>
      </c>
      <c r="AJ92" s="249">
        <v>1</v>
      </c>
      <c r="AK92" s="159" t="s">
        <v>245</v>
      </c>
      <c r="AL92" s="159" t="s">
        <v>247</v>
      </c>
      <c r="AM92" s="159">
        <v>1.91</v>
      </c>
      <c r="AN92" s="159">
        <v>0</v>
      </c>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159"/>
      <c r="BN92" s="159"/>
      <c r="BO92" s="159"/>
      <c r="BP92" s="159"/>
      <c r="BQ92" s="159"/>
      <c r="BR92" s="159"/>
      <c r="BS92" s="159"/>
      <c r="BT92" s="159"/>
      <c r="BU92" s="159"/>
      <c r="BV92" s="159"/>
      <c r="BW92" s="159"/>
      <c r="BX92" s="159"/>
      <c r="BY92" s="159"/>
      <c r="BZ92" s="159"/>
      <c r="CA92" s="159"/>
      <c r="CB92" s="159"/>
      <c r="CC92" s="159"/>
      <c r="CD92" s="159">
        <v>0</v>
      </c>
      <c r="CE92" s="159"/>
      <c r="CF92" s="159"/>
      <c r="CG92" s="159">
        <v>-34.4</v>
      </c>
      <c r="CH92" s="159">
        <v>91</v>
      </c>
    </row>
    <row r="93" spans="1:86" x14ac:dyDescent="0.25">
      <c r="A93" s="241" t="s">
        <v>704</v>
      </c>
      <c r="B93" s="241">
        <v>0</v>
      </c>
      <c r="C93" s="241">
        <v>700</v>
      </c>
      <c r="D93" s="241">
        <v>500</v>
      </c>
      <c r="E93" s="241" t="s">
        <v>48</v>
      </c>
      <c r="F93" s="241" t="s">
        <v>275</v>
      </c>
      <c r="G93" s="265">
        <v>9220000</v>
      </c>
      <c r="H93" s="250">
        <v>68.825839891971</v>
      </c>
      <c r="I93" s="250">
        <v>1.7926280517425051</v>
      </c>
      <c r="J93" s="250">
        <v>18.456820707811541</v>
      </c>
      <c r="K93" s="250">
        <v>1.6690538709151344</v>
      </c>
      <c r="L93" s="250">
        <v>1.0143270804201334</v>
      </c>
      <c r="M93" s="250">
        <v>3.1636402067066096</v>
      </c>
      <c r="N93" s="250">
        <v>3.3933985690065618</v>
      </c>
      <c r="O93" s="250">
        <v>1.1516760401607398</v>
      </c>
      <c r="P93" s="250">
        <v>0.25963835022800719</v>
      </c>
      <c r="Q93" s="250">
        <v>0.22123331835910828</v>
      </c>
      <c r="R93" s="250">
        <v>5.1743912678662372E-2</v>
      </c>
      <c r="S93" s="250">
        <v>0</v>
      </c>
      <c r="T93" s="250">
        <v>0</v>
      </c>
      <c r="U93" s="250">
        <v>0</v>
      </c>
      <c r="V93" s="250">
        <v>0</v>
      </c>
      <c r="W93" s="250">
        <v>0</v>
      </c>
      <c r="X93" s="250">
        <v>0</v>
      </c>
      <c r="Y93" s="250">
        <v>0</v>
      </c>
      <c r="Z93" s="250">
        <v>0</v>
      </c>
      <c r="AA93" s="250">
        <v>0</v>
      </c>
      <c r="AB93" s="250">
        <v>0</v>
      </c>
      <c r="AC93" s="250">
        <v>0</v>
      </c>
      <c r="AD93" s="250">
        <v>0</v>
      </c>
      <c r="AE93" s="250">
        <v>0</v>
      </c>
      <c r="AF93" s="250">
        <v>-123.42862137745254</v>
      </c>
      <c r="AG93" s="250">
        <v>-121.74823772574202</v>
      </c>
      <c r="AH93" s="250">
        <v>20</v>
      </c>
      <c r="AI93" s="250">
        <v>20</v>
      </c>
      <c r="AJ93" s="250">
        <v>1</v>
      </c>
      <c r="AK93" s="241" t="s">
        <v>245</v>
      </c>
      <c r="AL93" s="241" t="s">
        <v>247</v>
      </c>
      <c r="AM93" s="241">
        <v>1.91</v>
      </c>
      <c r="AN93" s="241">
        <v>0</v>
      </c>
      <c r="AO93" s="241"/>
      <c r="AP93" s="241"/>
      <c r="AQ93" s="241"/>
      <c r="AR93" s="241"/>
      <c r="AS93" s="241"/>
      <c r="AT93" s="241"/>
      <c r="AU93" s="241"/>
      <c r="AV93" s="241"/>
      <c r="AW93" s="241"/>
      <c r="AX93" s="241"/>
      <c r="AY93" s="241"/>
      <c r="AZ93" s="241"/>
      <c r="BA93" s="241"/>
      <c r="BB93" s="241"/>
      <c r="BC93" s="241"/>
      <c r="BD93" s="241"/>
      <c r="BE93" s="241"/>
      <c r="BF93" s="241"/>
      <c r="BG93" s="241"/>
      <c r="BH93" s="241"/>
      <c r="BI93" s="241"/>
      <c r="BJ93" s="241"/>
      <c r="BK93" s="241"/>
      <c r="BL93" s="241"/>
      <c r="BM93" s="241"/>
      <c r="BN93" s="241"/>
      <c r="BO93" s="241"/>
      <c r="BP93" s="241"/>
      <c r="BQ93" s="241"/>
      <c r="BR93" s="241"/>
      <c r="BS93" s="241"/>
      <c r="BT93" s="241"/>
      <c r="BU93" s="241"/>
      <c r="BV93" s="241"/>
      <c r="BW93" s="241"/>
      <c r="BX93" s="241"/>
      <c r="BY93" s="241"/>
      <c r="BZ93" s="241"/>
      <c r="CA93" s="241"/>
      <c r="CB93" s="241"/>
      <c r="CC93" s="241"/>
      <c r="CD93" s="241">
        <v>0</v>
      </c>
      <c r="CE93" s="241"/>
      <c r="CF93" s="241"/>
      <c r="CG93" s="241">
        <v>-50.1</v>
      </c>
      <c r="CH93" s="241">
        <v>92</v>
      </c>
    </row>
    <row r="94" spans="1:86" x14ac:dyDescent="0.25">
      <c r="A94" s="159" t="s">
        <v>705</v>
      </c>
      <c r="B94" s="159">
        <v>0</v>
      </c>
      <c r="C94" s="159">
        <v>700</v>
      </c>
      <c r="D94" s="159">
        <v>1000</v>
      </c>
      <c r="E94" s="159" t="s">
        <v>48</v>
      </c>
      <c r="F94" s="159" t="s">
        <v>275</v>
      </c>
      <c r="G94" s="264">
        <v>9220000</v>
      </c>
      <c r="H94" s="249">
        <v>68.825839891971</v>
      </c>
      <c r="I94" s="249">
        <v>1.7926280517425051</v>
      </c>
      <c r="J94" s="249">
        <v>18.456820707811541</v>
      </c>
      <c r="K94" s="249">
        <v>1.6690538709151344</v>
      </c>
      <c r="L94" s="249">
        <v>1.0143270804201334</v>
      </c>
      <c r="M94" s="249">
        <v>3.1636402067066096</v>
      </c>
      <c r="N94" s="249">
        <v>3.3933985690065618</v>
      </c>
      <c r="O94" s="249">
        <v>1.1516760401607398</v>
      </c>
      <c r="P94" s="249">
        <v>0.25963835022800719</v>
      </c>
      <c r="Q94" s="249">
        <v>0.22123331835910828</v>
      </c>
      <c r="R94" s="249">
        <v>5.1743912678662372E-2</v>
      </c>
      <c r="S94" s="249">
        <v>0</v>
      </c>
      <c r="T94" s="249">
        <v>0</v>
      </c>
      <c r="U94" s="249">
        <v>0</v>
      </c>
      <c r="V94" s="249">
        <v>0</v>
      </c>
      <c r="W94" s="249">
        <v>0</v>
      </c>
      <c r="X94" s="249">
        <v>0</v>
      </c>
      <c r="Y94" s="249">
        <v>0</v>
      </c>
      <c r="Z94" s="249">
        <v>0</v>
      </c>
      <c r="AA94" s="249">
        <v>0</v>
      </c>
      <c r="AB94" s="249">
        <v>0</v>
      </c>
      <c r="AC94" s="249">
        <v>0</v>
      </c>
      <c r="AD94" s="249">
        <v>0</v>
      </c>
      <c r="AE94" s="249">
        <v>0</v>
      </c>
      <c r="AF94" s="249">
        <v>-123.42862137745254</v>
      </c>
      <c r="AG94" s="249">
        <v>-121.74823772574202</v>
      </c>
      <c r="AH94" s="249">
        <v>20</v>
      </c>
      <c r="AI94" s="249">
        <v>20</v>
      </c>
      <c r="AJ94" s="249">
        <v>1</v>
      </c>
      <c r="AK94" s="159" t="s">
        <v>245</v>
      </c>
      <c r="AL94" s="159" t="s">
        <v>247</v>
      </c>
      <c r="AM94" s="159">
        <v>1.91</v>
      </c>
      <c r="AN94" s="159">
        <v>0</v>
      </c>
      <c r="AO94" s="159"/>
      <c r="AP94" s="159"/>
      <c r="AQ94" s="159"/>
      <c r="AR94" s="159"/>
      <c r="AS94" s="159"/>
      <c r="AT94" s="159"/>
      <c r="AU94" s="159"/>
      <c r="AV94" s="159"/>
      <c r="AW94" s="159"/>
      <c r="AX94" s="159"/>
      <c r="AY94" s="159"/>
      <c r="AZ94" s="159"/>
      <c r="BA94" s="159"/>
      <c r="BB94" s="159"/>
      <c r="BC94" s="159"/>
      <c r="BD94" s="159"/>
      <c r="BE94" s="159"/>
      <c r="BF94" s="159"/>
      <c r="BG94" s="159"/>
      <c r="BH94" s="159"/>
      <c r="BI94" s="159"/>
      <c r="BJ94" s="159"/>
      <c r="BK94" s="159"/>
      <c r="BL94" s="159"/>
      <c r="BM94" s="159"/>
      <c r="BN94" s="159"/>
      <c r="BO94" s="159"/>
      <c r="BP94" s="159"/>
      <c r="BQ94" s="159"/>
      <c r="BR94" s="159"/>
      <c r="BS94" s="159"/>
      <c r="BT94" s="159"/>
      <c r="BU94" s="159"/>
      <c r="BV94" s="159"/>
      <c r="BW94" s="159"/>
      <c r="BX94" s="159"/>
      <c r="BY94" s="159"/>
      <c r="BZ94" s="159"/>
      <c r="CA94" s="159"/>
      <c r="CB94" s="159"/>
      <c r="CC94" s="159"/>
      <c r="CD94" s="159">
        <v>0</v>
      </c>
      <c r="CE94" s="159"/>
      <c r="CF94" s="159"/>
      <c r="CG94" s="159">
        <v>-59</v>
      </c>
      <c r="CH94" s="159">
        <v>93</v>
      </c>
    </row>
    <row r="95" spans="1:86" x14ac:dyDescent="0.25">
      <c r="A95" s="241" t="s">
        <v>706</v>
      </c>
      <c r="B95" s="241">
        <v>0</v>
      </c>
      <c r="C95" s="241">
        <v>700</v>
      </c>
      <c r="D95" s="241">
        <v>100</v>
      </c>
      <c r="E95" s="241" t="s">
        <v>48</v>
      </c>
      <c r="F95" s="241" t="s">
        <v>239</v>
      </c>
      <c r="G95" s="265">
        <v>8860000</v>
      </c>
      <c r="H95" s="250">
        <v>73.616065298412209</v>
      </c>
      <c r="I95" s="250">
        <v>8.1916815023149212</v>
      </c>
      <c r="J95" s="250">
        <v>10.146309488962684</v>
      </c>
      <c r="K95" s="250">
        <v>3.268710357746841</v>
      </c>
      <c r="L95" s="250">
        <v>0.16553996507087509</v>
      </c>
      <c r="M95" s="250">
        <v>0.20652466030902325</v>
      </c>
      <c r="N95" s="250">
        <v>0.88609379191923843</v>
      </c>
      <c r="O95" s="250">
        <v>0.38342933644214711</v>
      </c>
      <c r="P95" s="250">
        <v>0.22881655334885451</v>
      </c>
      <c r="Q95" s="250">
        <v>2.1663400199378318</v>
      </c>
      <c r="R95" s="250">
        <v>0.40534548649494556</v>
      </c>
      <c r="S95" s="250">
        <v>0.33514353904042166</v>
      </c>
      <c r="T95" s="250">
        <v>0</v>
      </c>
      <c r="U95" s="250">
        <v>0</v>
      </c>
      <c r="V95" s="250">
        <v>0</v>
      </c>
      <c r="W95" s="250">
        <v>0</v>
      </c>
      <c r="X95" s="250">
        <v>0</v>
      </c>
      <c r="Y95" s="250">
        <v>0</v>
      </c>
      <c r="Z95" s="250">
        <v>0</v>
      </c>
      <c r="AA95" s="250">
        <v>0</v>
      </c>
      <c r="AB95" s="250">
        <v>0</v>
      </c>
      <c r="AC95" s="250">
        <v>0</v>
      </c>
      <c r="AD95" s="250">
        <v>0</v>
      </c>
      <c r="AE95" s="250">
        <v>0</v>
      </c>
      <c r="AF95" s="250">
        <v>-125.16730201123855</v>
      </c>
      <c r="AG95" s="250">
        <v>-121.74823772574202</v>
      </c>
      <c r="AH95" s="250">
        <v>20</v>
      </c>
      <c r="AI95" s="250">
        <v>20</v>
      </c>
      <c r="AJ95" s="250">
        <v>1</v>
      </c>
      <c r="AK95" s="241" t="s">
        <v>245</v>
      </c>
      <c r="AL95" s="241" t="s">
        <v>247</v>
      </c>
      <c r="AM95" s="241">
        <v>1.91</v>
      </c>
      <c r="AN95" s="241">
        <v>0</v>
      </c>
      <c r="AO95" s="241"/>
      <c r="AP95" s="241"/>
      <c r="AQ95" s="241"/>
      <c r="AR95" s="241"/>
      <c r="AS95" s="241"/>
      <c r="AT95" s="241"/>
      <c r="AU95" s="241"/>
      <c r="AV95" s="241"/>
      <c r="AW95" s="241"/>
      <c r="AX95" s="241"/>
      <c r="AY95" s="241"/>
      <c r="AZ95" s="241"/>
      <c r="BA95" s="241"/>
      <c r="BB95" s="241"/>
      <c r="BC95" s="241"/>
      <c r="BD95" s="241"/>
      <c r="BE95" s="241"/>
      <c r="BF95" s="241"/>
      <c r="BG95" s="241"/>
      <c r="BH95" s="241"/>
      <c r="BI95" s="241"/>
      <c r="BJ95" s="241"/>
      <c r="BK95" s="241"/>
      <c r="BL95" s="241"/>
      <c r="BM95" s="241"/>
      <c r="BN95" s="241"/>
      <c r="BO95" s="241"/>
      <c r="BP95" s="241"/>
      <c r="BQ95" s="241"/>
      <c r="BR95" s="241"/>
      <c r="BS95" s="241"/>
      <c r="BT95" s="241"/>
      <c r="BU95" s="241"/>
      <c r="BV95" s="241"/>
      <c r="BW95" s="241"/>
      <c r="BX95" s="241"/>
      <c r="BY95" s="241"/>
      <c r="BZ95" s="241"/>
      <c r="CA95" s="241"/>
      <c r="CB95" s="241"/>
      <c r="CC95" s="241"/>
      <c r="CD95" s="241">
        <v>0</v>
      </c>
      <c r="CE95" s="241"/>
      <c r="CF95" s="241"/>
      <c r="CG95" s="241">
        <v>-25.4</v>
      </c>
      <c r="CH95" s="241">
        <v>94</v>
      </c>
    </row>
    <row r="96" spans="1:86" x14ac:dyDescent="0.25">
      <c r="A96" s="159" t="s">
        <v>707</v>
      </c>
      <c r="B96" s="159">
        <v>0</v>
      </c>
      <c r="C96" s="159">
        <v>700</v>
      </c>
      <c r="D96" s="159">
        <v>200</v>
      </c>
      <c r="E96" s="159" t="s">
        <v>48</v>
      </c>
      <c r="F96" s="159" t="s">
        <v>239</v>
      </c>
      <c r="G96" s="264">
        <v>8860000</v>
      </c>
      <c r="H96" s="249">
        <v>73.616065298412209</v>
      </c>
      <c r="I96" s="249">
        <v>8.1916815023149212</v>
      </c>
      <c r="J96" s="249">
        <v>10.146309488962684</v>
      </c>
      <c r="K96" s="249">
        <v>3.268710357746841</v>
      </c>
      <c r="L96" s="249">
        <v>0.16553996507087509</v>
      </c>
      <c r="M96" s="249">
        <v>0.20652466030902325</v>
      </c>
      <c r="N96" s="249">
        <v>0.88609379191923843</v>
      </c>
      <c r="O96" s="249">
        <v>0.38342933644214711</v>
      </c>
      <c r="P96" s="249">
        <v>0.22881655334885451</v>
      </c>
      <c r="Q96" s="249">
        <v>2.1663400199378318</v>
      </c>
      <c r="R96" s="249">
        <v>0.40534548649494556</v>
      </c>
      <c r="S96" s="249">
        <v>0.33514353904042166</v>
      </c>
      <c r="T96" s="249">
        <v>0</v>
      </c>
      <c r="U96" s="249">
        <v>0</v>
      </c>
      <c r="V96" s="249">
        <v>0</v>
      </c>
      <c r="W96" s="249">
        <v>0</v>
      </c>
      <c r="X96" s="249">
        <v>0</v>
      </c>
      <c r="Y96" s="249">
        <v>0</v>
      </c>
      <c r="Z96" s="249">
        <v>0</v>
      </c>
      <c r="AA96" s="249">
        <v>0</v>
      </c>
      <c r="AB96" s="249">
        <v>0</v>
      </c>
      <c r="AC96" s="249">
        <v>0</v>
      </c>
      <c r="AD96" s="249">
        <v>0</v>
      </c>
      <c r="AE96" s="249">
        <v>0</v>
      </c>
      <c r="AF96" s="249">
        <v>-125.16730201123855</v>
      </c>
      <c r="AG96" s="249">
        <v>-121.74823772574202</v>
      </c>
      <c r="AH96" s="249">
        <v>20</v>
      </c>
      <c r="AI96" s="249">
        <v>20</v>
      </c>
      <c r="AJ96" s="249">
        <v>1</v>
      </c>
      <c r="AK96" s="159" t="s">
        <v>245</v>
      </c>
      <c r="AL96" s="159" t="s">
        <v>247</v>
      </c>
      <c r="AM96" s="159">
        <v>1.91</v>
      </c>
      <c r="AN96" s="159">
        <v>0</v>
      </c>
      <c r="AO96" s="159"/>
      <c r="AP96" s="159"/>
      <c r="AQ96" s="159"/>
      <c r="AR96" s="159"/>
      <c r="AS96" s="159"/>
      <c r="AT96" s="159"/>
      <c r="AU96" s="159"/>
      <c r="AV96" s="159"/>
      <c r="AW96" s="159"/>
      <c r="AX96" s="159"/>
      <c r="AY96" s="159"/>
      <c r="AZ96" s="159"/>
      <c r="BA96" s="159"/>
      <c r="BB96" s="159"/>
      <c r="BC96" s="159"/>
      <c r="BD96" s="159"/>
      <c r="BE96" s="159"/>
      <c r="BF96" s="159"/>
      <c r="BG96" s="159"/>
      <c r="BH96" s="159"/>
      <c r="BI96" s="159"/>
      <c r="BJ96" s="159"/>
      <c r="BK96" s="159"/>
      <c r="BL96" s="159"/>
      <c r="BM96" s="159"/>
      <c r="BN96" s="159"/>
      <c r="BO96" s="159"/>
      <c r="BP96" s="159"/>
      <c r="BQ96" s="159"/>
      <c r="BR96" s="159"/>
      <c r="BS96" s="159"/>
      <c r="BT96" s="159"/>
      <c r="BU96" s="159"/>
      <c r="BV96" s="159"/>
      <c r="BW96" s="159"/>
      <c r="BX96" s="159"/>
      <c r="BY96" s="159"/>
      <c r="BZ96" s="159"/>
      <c r="CA96" s="159"/>
      <c r="CB96" s="159"/>
      <c r="CC96" s="159"/>
      <c r="CD96" s="159">
        <v>0</v>
      </c>
      <c r="CE96" s="159"/>
      <c r="CF96" s="159"/>
      <c r="CG96" s="159">
        <v>-34.4</v>
      </c>
      <c r="CH96" s="159">
        <v>95</v>
      </c>
    </row>
    <row r="97" spans="1:86" x14ac:dyDescent="0.25">
      <c r="A97" s="241" t="s">
        <v>708</v>
      </c>
      <c r="B97" s="241">
        <v>0</v>
      </c>
      <c r="C97" s="241">
        <v>700</v>
      </c>
      <c r="D97" s="241">
        <v>500</v>
      </c>
      <c r="E97" s="241" t="s">
        <v>48</v>
      </c>
      <c r="F97" s="241" t="s">
        <v>239</v>
      </c>
      <c r="G97" s="265">
        <v>8860000</v>
      </c>
      <c r="H97" s="250">
        <v>73.616065298412209</v>
      </c>
      <c r="I97" s="250">
        <v>8.1916815023149212</v>
      </c>
      <c r="J97" s="250">
        <v>10.146309488962684</v>
      </c>
      <c r="K97" s="250">
        <v>3.268710357746841</v>
      </c>
      <c r="L97" s="250">
        <v>0.16553996507087509</v>
      </c>
      <c r="M97" s="250">
        <v>0.20652466030902325</v>
      </c>
      <c r="N97" s="250">
        <v>0.88609379191923843</v>
      </c>
      <c r="O97" s="250">
        <v>0.38342933644214711</v>
      </c>
      <c r="P97" s="250">
        <v>0.22881655334885451</v>
      </c>
      <c r="Q97" s="250">
        <v>2.1663400199378318</v>
      </c>
      <c r="R97" s="250">
        <v>0.40534548649494556</v>
      </c>
      <c r="S97" s="250">
        <v>0.33514353904042166</v>
      </c>
      <c r="T97" s="250">
        <v>0</v>
      </c>
      <c r="U97" s="250">
        <v>0</v>
      </c>
      <c r="V97" s="250">
        <v>0</v>
      </c>
      <c r="W97" s="250">
        <v>0</v>
      </c>
      <c r="X97" s="250">
        <v>0</v>
      </c>
      <c r="Y97" s="250">
        <v>0</v>
      </c>
      <c r="Z97" s="250">
        <v>0</v>
      </c>
      <c r="AA97" s="250">
        <v>0</v>
      </c>
      <c r="AB97" s="250">
        <v>0</v>
      </c>
      <c r="AC97" s="250">
        <v>0</v>
      </c>
      <c r="AD97" s="250">
        <v>0</v>
      </c>
      <c r="AE97" s="250">
        <v>0</v>
      </c>
      <c r="AF97" s="250">
        <v>-125.16730201123855</v>
      </c>
      <c r="AG97" s="250">
        <v>-121.74823772574202</v>
      </c>
      <c r="AH97" s="250">
        <v>20</v>
      </c>
      <c r="AI97" s="250">
        <v>20</v>
      </c>
      <c r="AJ97" s="250">
        <v>1</v>
      </c>
      <c r="AK97" s="241" t="s">
        <v>245</v>
      </c>
      <c r="AL97" s="241" t="s">
        <v>247</v>
      </c>
      <c r="AM97" s="241">
        <v>1.91</v>
      </c>
      <c r="AN97" s="241">
        <v>0</v>
      </c>
      <c r="AO97" s="241"/>
      <c r="AP97" s="241"/>
      <c r="AQ97" s="241"/>
      <c r="AR97" s="241"/>
      <c r="AS97" s="241"/>
      <c r="AT97" s="241"/>
      <c r="AU97" s="241"/>
      <c r="AV97" s="241"/>
      <c r="AW97" s="241"/>
      <c r="AX97" s="241"/>
      <c r="AY97" s="241"/>
      <c r="AZ97" s="241"/>
      <c r="BA97" s="241"/>
      <c r="BB97" s="241"/>
      <c r="BC97" s="241"/>
      <c r="BD97" s="241"/>
      <c r="BE97" s="241"/>
      <c r="BF97" s="241"/>
      <c r="BG97" s="241"/>
      <c r="BH97" s="241"/>
      <c r="BI97" s="241"/>
      <c r="BJ97" s="241"/>
      <c r="BK97" s="241"/>
      <c r="BL97" s="241"/>
      <c r="BM97" s="241"/>
      <c r="BN97" s="241"/>
      <c r="BO97" s="241"/>
      <c r="BP97" s="241"/>
      <c r="BQ97" s="241"/>
      <c r="BR97" s="241"/>
      <c r="BS97" s="241"/>
      <c r="BT97" s="241"/>
      <c r="BU97" s="241"/>
      <c r="BV97" s="241"/>
      <c r="BW97" s="241"/>
      <c r="BX97" s="241"/>
      <c r="BY97" s="241"/>
      <c r="BZ97" s="241"/>
      <c r="CA97" s="241"/>
      <c r="CB97" s="241"/>
      <c r="CC97" s="241"/>
      <c r="CD97" s="241">
        <v>0</v>
      </c>
      <c r="CE97" s="241"/>
      <c r="CF97" s="241"/>
      <c r="CG97" s="241">
        <v>-46.4</v>
      </c>
      <c r="CH97" s="241">
        <v>96</v>
      </c>
    </row>
    <row r="98" spans="1:86" ht="16.5" thickBot="1" x14ac:dyDescent="0.3">
      <c r="A98" s="160" t="s">
        <v>709</v>
      </c>
      <c r="B98" s="160">
        <v>0</v>
      </c>
      <c r="C98" s="160">
        <v>700</v>
      </c>
      <c r="D98" s="160">
        <v>1000</v>
      </c>
      <c r="E98" s="160" t="s">
        <v>48</v>
      </c>
      <c r="F98" s="160" t="s">
        <v>239</v>
      </c>
      <c r="G98" s="267">
        <v>8860000</v>
      </c>
      <c r="H98" s="252">
        <v>73.616065298412209</v>
      </c>
      <c r="I98" s="252">
        <v>8.1916815023149212</v>
      </c>
      <c r="J98" s="252">
        <v>10.146309488962684</v>
      </c>
      <c r="K98" s="252">
        <v>3.268710357746841</v>
      </c>
      <c r="L98" s="252">
        <v>0.16553996507087509</v>
      </c>
      <c r="M98" s="252">
        <v>0.20652466030902325</v>
      </c>
      <c r="N98" s="252">
        <v>0.88609379191923843</v>
      </c>
      <c r="O98" s="252">
        <v>0.38342933644214711</v>
      </c>
      <c r="P98" s="252">
        <v>0.22881655334885451</v>
      </c>
      <c r="Q98" s="252">
        <v>2.1663400199378318</v>
      </c>
      <c r="R98" s="252">
        <v>0.40534548649494556</v>
      </c>
      <c r="S98" s="252">
        <v>0.33514353904042166</v>
      </c>
      <c r="T98" s="252">
        <v>0</v>
      </c>
      <c r="U98" s="252">
        <v>0</v>
      </c>
      <c r="V98" s="252">
        <v>0</v>
      </c>
      <c r="W98" s="252">
        <v>0</v>
      </c>
      <c r="X98" s="252">
        <v>0</v>
      </c>
      <c r="Y98" s="252">
        <v>0</v>
      </c>
      <c r="Z98" s="252">
        <v>0</v>
      </c>
      <c r="AA98" s="252">
        <v>0</v>
      </c>
      <c r="AB98" s="252">
        <v>0</v>
      </c>
      <c r="AC98" s="252">
        <v>0</v>
      </c>
      <c r="AD98" s="252">
        <v>0</v>
      </c>
      <c r="AE98" s="252">
        <v>0</v>
      </c>
      <c r="AF98" s="252">
        <v>-125.16730201123855</v>
      </c>
      <c r="AG98" s="252">
        <v>-121.74823772574202</v>
      </c>
      <c r="AH98" s="252">
        <v>20</v>
      </c>
      <c r="AI98" s="252">
        <v>20</v>
      </c>
      <c r="AJ98" s="252">
        <v>1</v>
      </c>
      <c r="AK98" s="160" t="s">
        <v>245</v>
      </c>
      <c r="AL98" s="160" t="s">
        <v>247</v>
      </c>
      <c r="AM98" s="160">
        <v>1.91</v>
      </c>
      <c r="AN98" s="160">
        <v>0</v>
      </c>
      <c r="AO98" s="160"/>
      <c r="AP98" s="160"/>
      <c r="AQ98" s="160"/>
      <c r="AR98" s="160"/>
      <c r="AS98" s="160"/>
      <c r="AT98" s="160"/>
      <c r="AU98" s="160"/>
      <c r="AV98" s="160"/>
      <c r="AW98" s="160"/>
      <c r="AX98" s="160"/>
      <c r="AY98" s="160"/>
      <c r="AZ98" s="160"/>
      <c r="BA98" s="160"/>
      <c r="BB98" s="160"/>
      <c r="BC98" s="160"/>
      <c r="BD98" s="160"/>
      <c r="BE98" s="160"/>
      <c r="BF98" s="160"/>
      <c r="BG98" s="160"/>
      <c r="BH98" s="160"/>
      <c r="BI98" s="160"/>
      <c r="BJ98" s="160"/>
      <c r="BK98" s="160"/>
      <c r="BL98" s="160"/>
      <c r="BM98" s="160"/>
      <c r="BN98" s="160"/>
      <c r="BO98" s="160"/>
      <c r="BP98" s="160"/>
      <c r="BQ98" s="160"/>
      <c r="BR98" s="160"/>
      <c r="BS98" s="160"/>
      <c r="BT98" s="160"/>
      <c r="BU98" s="160"/>
      <c r="BV98" s="160"/>
      <c r="BW98" s="160"/>
      <c r="BX98" s="160"/>
      <c r="BY98" s="160"/>
      <c r="BZ98" s="160"/>
      <c r="CA98" s="160"/>
      <c r="CB98" s="160"/>
      <c r="CC98" s="160"/>
      <c r="CD98" s="160">
        <v>0</v>
      </c>
      <c r="CE98" s="160"/>
      <c r="CF98" s="160"/>
      <c r="CG98" s="160">
        <v>-55.2</v>
      </c>
      <c r="CH98" s="160">
        <v>97</v>
      </c>
    </row>
    <row r="99" spans="1:86" x14ac:dyDescent="0.25">
      <c r="A99" s="241" t="s">
        <v>710</v>
      </c>
      <c r="B99" s="241">
        <v>0</v>
      </c>
      <c r="C99" s="241">
        <v>700</v>
      </c>
      <c r="D99" s="241">
        <v>50</v>
      </c>
      <c r="E99" s="241" t="s">
        <v>48</v>
      </c>
      <c r="F99" s="241" t="s">
        <v>227</v>
      </c>
      <c r="G99" s="265">
        <v>7980000</v>
      </c>
      <c r="H99" s="250">
        <v>9.5041637692188754</v>
      </c>
      <c r="I99" s="250">
        <v>17.865892065261811</v>
      </c>
      <c r="J99" s="250">
        <v>1.1767581944195717</v>
      </c>
      <c r="K99" s="250">
        <v>68.758378883601026</v>
      </c>
      <c r="L99" s="250">
        <v>0</v>
      </c>
      <c r="M99" s="250">
        <v>0</v>
      </c>
      <c r="N99" s="250">
        <v>1.2540605897512282</v>
      </c>
      <c r="O99" s="250">
        <v>0</v>
      </c>
      <c r="P99" s="250">
        <v>0</v>
      </c>
      <c r="Q99" s="250">
        <v>0.65103569781125603</v>
      </c>
      <c r="R99" s="250">
        <v>0.11848342552403532</v>
      </c>
      <c r="S99" s="250">
        <v>0.39753830029079912</v>
      </c>
      <c r="T99" s="250">
        <v>0</v>
      </c>
      <c r="U99" s="250">
        <v>0</v>
      </c>
      <c r="V99" s="250">
        <v>5.2947011783124394E-2</v>
      </c>
      <c r="W99" s="250">
        <v>1.7332518959303669E-3</v>
      </c>
      <c r="X99" s="250">
        <v>0</v>
      </c>
      <c r="Y99" s="250">
        <v>0</v>
      </c>
      <c r="Z99" s="250">
        <v>0</v>
      </c>
      <c r="AA99" s="250">
        <v>0</v>
      </c>
      <c r="AB99" s="250">
        <v>0</v>
      </c>
      <c r="AC99" s="250">
        <v>0.21900881044234655</v>
      </c>
      <c r="AD99" s="250">
        <v>0</v>
      </c>
      <c r="AE99" s="250">
        <v>0</v>
      </c>
      <c r="AF99" s="250">
        <v>-137.12067453144158</v>
      </c>
      <c r="AG99" s="250">
        <v>-121.74823772574202</v>
      </c>
      <c r="AH99" s="250">
        <v>20</v>
      </c>
      <c r="AI99" s="250">
        <v>10</v>
      </c>
      <c r="AJ99" s="250">
        <v>4.5</v>
      </c>
      <c r="AK99" s="241" t="s">
        <v>245</v>
      </c>
      <c r="AL99" s="241" t="s">
        <v>247</v>
      </c>
      <c r="AM99" s="241"/>
      <c r="AN99" s="241">
        <v>4.8</v>
      </c>
      <c r="AO99" s="241"/>
      <c r="AP99" s="241"/>
      <c r="AQ99" s="241"/>
      <c r="AR99" s="241"/>
      <c r="AS99" s="241"/>
      <c r="AT99" s="241"/>
      <c r="AU99" s="241"/>
      <c r="AV99" s="241"/>
      <c r="AW99" s="241"/>
      <c r="AX99" s="241"/>
      <c r="AY99" s="241"/>
      <c r="AZ99" s="241"/>
      <c r="BA99" s="241"/>
      <c r="BB99" s="241"/>
      <c r="BC99" s="241"/>
      <c r="BD99" s="241"/>
      <c r="BE99" s="241"/>
      <c r="BF99" s="241"/>
      <c r="BG99" s="241"/>
      <c r="BH99" s="241"/>
      <c r="BI99" s="241"/>
      <c r="BJ99" s="241"/>
      <c r="BK99" s="241"/>
      <c r="BL99" s="241"/>
      <c r="BM99" s="241"/>
      <c r="BN99" s="241"/>
      <c r="BO99" s="241"/>
      <c r="BP99" s="241"/>
      <c r="BQ99" s="241"/>
      <c r="BR99" s="241"/>
      <c r="BS99" s="241"/>
      <c r="BT99" s="241"/>
      <c r="BU99" s="241"/>
      <c r="BV99" s="241"/>
      <c r="BW99" s="241"/>
      <c r="BX99" s="241"/>
      <c r="BY99" s="241"/>
      <c r="BZ99" s="241"/>
      <c r="CA99" s="241"/>
      <c r="CB99" s="241"/>
      <c r="CC99" s="241"/>
      <c r="CD99" s="241">
        <v>0</v>
      </c>
      <c r="CE99" s="241"/>
      <c r="CF99" s="241">
        <v>-82.3</v>
      </c>
      <c r="CG99" s="241"/>
      <c r="CH99" s="241">
        <v>98</v>
      </c>
    </row>
    <row r="100" spans="1:86" x14ac:dyDescent="0.25">
      <c r="A100" s="159" t="s">
        <v>711</v>
      </c>
      <c r="B100" s="159">
        <v>0</v>
      </c>
      <c r="C100" s="159">
        <v>700</v>
      </c>
      <c r="D100" s="159">
        <v>100</v>
      </c>
      <c r="E100" s="159" t="s">
        <v>48</v>
      </c>
      <c r="F100" s="159" t="s">
        <v>227</v>
      </c>
      <c r="G100" s="264">
        <v>7980000</v>
      </c>
      <c r="H100" s="249">
        <v>9.5041637692188754</v>
      </c>
      <c r="I100" s="249">
        <v>17.865892065261811</v>
      </c>
      <c r="J100" s="249">
        <v>1.1767581944195717</v>
      </c>
      <c r="K100" s="249">
        <v>68.758378883601026</v>
      </c>
      <c r="L100" s="249">
        <v>0</v>
      </c>
      <c r="M100" s="249">
        <v>0</v>
      </c>
      <c r="N100" s="249">
        <v>1.2540605897512282</v>
      </c>
      <c r="O100" s="249">
        <v>0</v>
      </c>
      <c r="P100" s="249">
        <v>0</v>
      </c>
      <c r="Q100" s="249">
        <v>0.65103569781125603</v>
      </c>
      <c r="R100" s="249">
        <v>0.11848342552403532</v>
      </c>
      <c r="S100" s="249">
        <v>0.39753830029079912</v>
      </c>
      <c r="T100" s="249">
        <v>0</v>
      </c>
      <c r="U100" s="249">
        <v>0</v>
      </c>
      <c r="V100" s="249">
        <v>5.2947011783124394E-2</v>
      </c>
      <c r="W100" s="249">
        <v>1.7332518959303669E-3</v>
      </c>
      <c r="X100" s="249">
        <v>0</v>
      </c>
      <c r="Y100" s="249">
        <v>0</v>
      </c>
      <c r="Z100" s="249">
        <v>0</v>
      </c>
      <c r="AA100" s="249">
        <v>0</v>
      </c>
      <c r="AB100" s="249">
        <v>0</v>
      </c>
      <c r="AC100" s="249">
        <v>0.21900881044234655</v>
      </c>
      <c r="AD100" s="249">
        <v>0</v>
      </c>
      <c r="AE100" s="249">
        <v>0</v>
      </c>
      <c r="AF100" s="249">
        <v>-137.12067453144158</v>
      </c>
      <c r="AG100" s="249">
        <v>-121.74823772574202</v>
      </c>
      <c r="AH100" s="249">
        <v>20</v>
      </c>
      <c r="AI100" s="249">
        <v>10</v>
      </c>
      <c r="AJ100" s="249">
        <v>4.5</v>
      </c>
      <c r="AK100" s="159" t="s">
        <v>245</v>
      </c>
      <c r="AL100" s="159" t="s">
        <v>247</v>
      </c>
      <c r="AM100" s="159"/>
      <c r="AN100" s="159">
        <v>4.8</v>
      </c>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c r="BP100" s="159"/>
      <c r="BQ100" s="159"/>
      <c r="BR100" s="159"/>
      <c r="BS100" s="159"/>
      <c r="BT100" s="159"/>
      <c r="BU100" s="159"/>
      <c r="BV100" s="159"/>
      <c r="BW100" s="159"/>
      <c r="BX100" s="159"/>
      <c r="BY100" s="159"/>
      <c r="BZ100" s="159"/>
      <c r="CA100" s="159"/>
      <c r="CB100" s="159"/>
      <c r="CC100" s="159"/>
      <c r="CD100" s="159">
        <v>0</v>
      </c>
      <c r="CE100" s="159"/>
      <c r="CF100" s="159">
        <v>-90</v>
      </c>
      <c r="CG100" s="159"/>
      <c r="CH100" s="159">
        <v>99</v>
      </c>
    </row>
    <row r="101" spans="1:86" x14ac:dyDescent="0.25">
      <c r="A101" s="241" t="s">
        <v>712</v>
      </c>
      <c r="B101" s="241">
        <v>0</v>
      </c>
      <c r="C101" s="241">
        <v>700</v>
      </c>
      <c r="D101" s="241">
        <v>150</v>
      </c>
      <c r="E101" s="241" t="s">
        <v>48</v>
      </c>
      <c r="F101" s="241" t="s">
        <v>227</v>
      </c>
      <c r="G101" s="265">
        <v>7980000</v>
      </c>
      <c r="H101" s="250">
        <v>9.5041637692188754</v>
      </c>
      <c r="I101" s="250">
        <v>17.865892065261811</v>
      </c>
      <c r="J101" s="250">
        <v>1.1767581944195717</v>
      </c>
      <c r="K101" s="250">
        <v>68.758378883601026</v>
      </c>
      <c r="L101" s="250">
        <v>0</v>
      </c>
      <c r="M101" s="250">
        <v>0</v>
      </c>
      <c r="N101" s="250">
        <v>1.2540605897512282</v>
      </c>
      <c r="O101" s="250">
        <v>0</v>
      </c>
      <c r="P101" s="250">
        <v>0</v>
      </c>
      <c r="Q101" s="250">
        <v>0.65103569781125603</v>
      </c>
      <c r="R101" s="250">
        <v>0.11848342552403532</v>
      </c>
      <c r="S101" s="250">
        <v>0.39753830029079912</v>
      </c>
      <c r="T101" s="250">
        <v>0</v>
      </c>
      <c r="U101" s="250">
        <v>0</v>
      </c>
      <c r="V101" s="250">
        <v>5.2947011783124394E-2</v>
      </c>
      <c r="W101" s="250">
        <v>1.7332518959303669E-3</v>
      </c>
      <c r="X101" s="250">
        <v>0</v>
      </c>
      <c r="Y101" s="250">
        <v>0</v>
      </c>
      <c r="Z101" s="250">
        <v>0</v>
      </c>
      <c r="AA101" s="250">
        <v>0</v>
      </c>
      <c r="AB101" s="250">
        <v>0</v>
      </c>
      <c r="AC101" s="250">
        <v>0.21900881044234655</v>
      </c>
      <c r="AD101" s="250">
        <v>0</v>
      </c>
      <c r="AE101" s="250">
        <v>0</v>
      </c>
      <c r="AF101" s="250">
        <v>-137.12067453144158</v>
      </c>
      <c r="AG101" s="250">
        <v>-121.74823772574202</v>
      </c>
      <c r="AH101" s="250">
        <v>20</v>
      </c>
      <c r="AI101" s="250">
        <v>10</v>
      </c>
      <c r="AJ101" s="250">
        <v>4.5</v>
      </c>
      <c r="AK101" s="241" t="s">
        <v>245</v>
      </c>
      <c r="AL101" s="241" t="s">
        <v>247</v>
      </c>
      <c r="AM101" s="241"/>
      <c r="AN101" s="241">
        <v>4.8</v>
      </c>
      <c r="AO101" s="241"/>
      <c r="AP101" s="241"/>
      <c r="AQ101" s="241"/>
      <c r="AR101" s="241"/>
      <c r="AS101" s="241"/>
      <c r="AT101" s="241"/>
      <c r="AU101" s="241"/>
      <c r="AV101" s="241"/>
      <c r="AW101" s="241"/>
      <c r="AX101" s="241"/>
      <c r="AY101" s="241"/>
      <c r="AZ101" s="241"/>
      <c r="BA101" s="241"/>
      <c r="BB101" s="241"/>
      <c r="BC101" s="241"/>
      <c r="BD101" s="241"/>
      <c r="BE101" s="241"/>
      <c r="BF101" s="241"/>
      <c r="BG101" s="241"/>
      <c r="BH101" s="241"/>
      <c r="BI101" s="241"/>
      <c r="BJ101" s="241"/>
      <c r="BK101" s="241"/>
      <c r="BL101" s="241"/>
      <c r="BM101" s="241"/>
      <c r="BN101" s="241"/>
      <c r="BO101" s="241"/>
      <c r="BP101" s="241"/>
      <c r="BQ101" s="241"/>
      <c r="BR101" s="241"/>
      <c r="BS101" s="241"/>
      <c r="BT101" s="241"/>
      <c r="BU101" s="241"/>
      <c r="BV101" s="241"/>
      <c r="BW101" s="241"/>
      <c r="BX101" s="241"/>
      <c r="BY101" s="241"/>
      <c r="BZ101" s="241"/>
      <c r="CA101" s="241"/>
      <c r="CB101" s="241"/>
      <c r="CC101" s="241"/>
      <c r="CD101" s="241">
        <v>0</v>
      </c>
      <c r="CE101" s="241"/>
      <c r="CF101" s="241">
        <v>-100</v>
      </c>
      <c r="CG101" s="241"/>
      <c r="CH101" s="241">
        <v>100</v>
      </c>
    </row>
    <row r="102" spans="1:86" x14ac:dyDescent="0.25">
      <c r="A102" s="159" t="s">
        <v>713</v>
      </c>
      <c r="B102" s="159">
        <v>0</v>
      </c>
      <c r="C102" s="159">
        <v>700</v>
      </c>
      <c r="D102" s="159">
        <v>50</v>
      </c>
      <c r="E102" s="159" t="s">
        <v>48</v>
      </c>
      <c r="F102" s="159" t="s">
        <v>239</v>
      </c>
      <c r="G102" s="264">
        <v>8860000</v>
      </c>
      <c r="H102" s="249">
        <v>74.009037145608232</v>
      </c>
      <c r="I102" s="249">
        <v>8.2464236538262945</v>
      </c>
      <c r="J102" s="249">
        <v>10.857081924824008</v>
      </c>
      <c r="K102" s="249">
        <v>4.6773775383457883</v>
      </c>
      <c r="L102" s="249">
        <v>3.3520789557534375E-2</v>
      </c>
      <c r="M102" s="249">
        <v>0.10454982387026673</v>
      </c>
      <c r="N102" s="249">
        <v>0.57192787978597703</v>
      </c>
      <c r="O102" s="249">
        <v>0.31970235615065778</v>
      </c>
      <c r="P102" s="249">
        <v>0.18018737348954977</v>
      </c>
      <c r="Q102" s="249">
        <v>0.59220459330089037</v>
      </c>
      <c r="R102" s="249">
        <v>0.30779955640340473</v>
      </c>
      <c r="S102" s="249">
        <v>5.8169514908023467E-2</v>
      </c>
      <c r="T102" s="249">
        <v>0</v>
      </c>
      <c r="U102" s="249">
        <v>0</v>
      </c>
      <c r="V102" s="249">
        <v>3.9787672719889047E-3</v>
      </c>
      <c r="W102" s="249">
        <v>3.8422956786247696E-3</v>
      </c>
      <c r="X102" s="249">
        <v>3.4196786978768649E-2</v>
      </c>
      <c r="Y102" s="249">
        <v>0</v>
      </c>
      <c r="Z102" s="249">
        <v>0</v>
      </c>
      <c r="AA102" s="249">
        <v>0</v>
      </c>
      <c r="AB102" s="249">
        <v>0</v>
      </c>
      <c r="AC102" s="249">
        <v>0</v>
      </c>
      <c r="AD102" s="249">
        <v>0</v>
      </c>
      <c r="AE102" s="249">
        <v>0</v>
      </c>
      <c r="AF102" s="249">
        <v>-124.55584524236325</v>
      </c>
      <c r="AG102" s="249">
        <v>-121.74823772574202</v>
      </c>
      <c r="AH102" s="249">
        <v>20</v>
      </c>
      <c r="AI102" s="249">
        <v>10</v>
      </c>
      <c r="AJ102" s="249">
        <v>1.5</v>
      </c>
      <c r="AK102" s="159" t="s">
        <v>245</v>
      </c>
      <c r="AL102" s="159" t="s">
        <v>247</v>
      </c>
      <c r="AM102" s="159"/>
      <c r="AN102" s="159">
        <v>4.8</v>
      </c>
      <c r="AO102" s="159"/>
      <c r="AP102" s="159"/>
      <c r="AQ102" s="159"/>
      <c r="AR102" s="159"/>
      <c r="AS102" s="159"/>
      <c r="AT102" s="159"/>
      <c r="AU102" s="159"/>
      <c r="AV102" s="159"/>
      <c r="AW102" s="159"/>
      <c r="AX102" s="159"/>
      <c r="AY102" s="159"/>
      <c r="AZ102" s="159"/>
      <c r="BA102" s="159"/>
      <c r="BB102" s="159"/>
      <c r="BC102" s="159"/>
      <c r="BD102" s="159"/>
      <c r="BE102" s="159"/>
      <c r="BF102" s="159"/>
      <c r="BG102" s="159"/>
      <c r="BH102" s="159"/>
      <c r="BI102" s="159"/>
      <c r="BJ102" s="159"/>
      <c r="BK102" s="159"/>
      <c r="BL102" s="159"/>
      <c r="BM102" s="159"/>
      <c r="BN102" s="159"/>
      <c r="BO102" s="159"/>
      <c r="BP102" s="159"/>
      <c r="BQ102" s="159"/>
      <c r="BR102" s="159"/>
      <c r="BS102" s="159"/>
      <c r="BT102" s="159"/>
      <c r="BU102" s="159"/>
      <c r="BV102" s="159"/>
      <c r="BW102" s="159"/>
      <c r="BX102" s="159"/>
      <c r="BY102" s="159"/>
      <c r="BZ102" s="159"/>
      <c r="CA102" s="159"/>
      <c r="CB102" s="159"/>
      <c r="CC102" s="159"/>
      <c r="CD102" s="159">
        <v>0</v>
      </c>
      <c r="CE102" s="159"/>
      <c r="CF102" s="159">
        <v>-24</v>
      </c>
      <c r="CG102" s="159"/>
      <c r="CH102" s="159">
        <v>101</v>
      </c>
    </row>
    <row r="103" spans="1:86" x14ac:dyDescent="0.25">
      <c r="A103" s="241" t="s">
        <v>714</v>
      </c>
      <c r="B103" s="241">
        <v>0</v>
      </c>
      <c r="C103" s="241">
        <v>700</v>
      </c>
      <c r="D103" s="241">
        <v>100</v>
      </c>
      <c r="E103" s="241" t="s">
        <v>48</v>
      </c>
      <c r="F103" s="241" t="s">
        <v>239</v>
      </c>
      <c r="G103" s="265">
        <v>8860000</v>
      </c>
      <c r="H103" s="250">
        <v>74.009037145608232</v>
      </c>
      <c r="I103" s="250">
        <v>8.2464236538262945</v>
      </c>
      <c r="J103" s="250">
        <v>10.857081924824008</v>
      </c>
      <c r="K103" s="250">
        <v>4.6773775383457883</v>
      </c>
      <c r="L103" s="250">
        <v>3.3520789557534375E-2</v>
      </c>
      <c r="M103" s="250">
        <v>0.10454982387026673</v>
      </c>
      <c r="N103" s="250">
        <v>0.57192787978597703</v>
      </c>
      <c r="O103" s="250">
        <v>0.31970235615065778</v>
      </c>
      <c r="P103" s="250">
        <v>0.18018737348954977</v>
      </c>
      <c r="Q103" s="250">
        <v>0.59220459330089037</v>
      </c>
      <c r="R103" s="250">
        <v>0.30779955640340473</v>
      </c>
      <c r="S103" s="250">
        <v>5.8169514908023467E-2</v>
      </c>
      <c r="T103" s="250">
        <v>0</v>
      </c>
      <c r="U103" s="250">
        <v>0</v>
      </c>
      <c r="V103" s="250">
        <v>3.9787672719889047E-3</v>
      </c>
      <c r="W103" s="250">
        <v>3.8422956786247696E-3</v>
      </c>
      <c r="X103" s="250">
        <v>3.4196786978768649E-2</v>
      </c>
      <c r="Y103" s="250">
        <v>0</v>
      </c>
      <c r="Z103" s="250">
        <v>0</v>
      </c>
      <c r="AA103" s="250">
        <v>0</v>
      </c>
      <c r="AB103" s="250">
        <v>0</v>
      </c>
      <c r="AC103" s="250">
        <v>0</v>
      </c>
      <c r="AD103" s="250">
        <v>0</v>
      </c>
      <c r="AE103" s="250">
        <v>0</v>
      </c>
      <c r="AF103" s="250">
        <v>-124.55584524236325</v>
      </c>
      <c r="AG103" s="250">
        <v>-121.74823772574202</v>
      </c>
      <c r="AH103" s="250">
        <v>20</v>
      </c>
      <c r="AI103" s="250">
        <v>10</v>
      </c>
      <c r="AJ103" s="250">
        <v>1.5</v>
      </c>
      <c r="AK103" s="241" t="s">
        <v>245</v>
      </c>
      <c r="AL103" s="241" t="s">
        <v>247</v>
      </c>
      <c r="AM103" s="241"/>
      <c r="AN103" s="241">
        <v>4.8</v>
      </c>
      <c r="AO103" s="241"/>
      <c r="AP103" s="241"/>
      <c r="AQ103" s="241"/>
      <c r="AR103" s="241"/>
      <c r="AS103" s="241"/>
      <c r="AT103" s="241"/>
      <c r="AU103" s="241"/>
      <c r="AV103" s="241"/>
      <c r="AW103" s="241"/>
      <c r="AX103" s="241"/>
      <c r="AY103" s="241"/>
      <c r="AZ103" s="241"/>
      <c r="BA103" s="241"/>
      <c r="BB103" s="241"/>
      <c r="BC103" s="241"/>
      <c r="BD103" s="241"/>
      <c r="BE103" s="241"/>
      <c r="BF103" s="241"/>
      <c r="BG103" s="241"/>
      <c r="BH103" s="241"/>
      <c r="BI103" s="241"/>
      <c r="BJ103" s="241"/>
      <c r="BK103" s="241"/>
      <c r="BL103" s="241"/>
      <c r="BM103" s="241"/>
      <c r="BN103" s="241"/>
      <c r="BO103" s="241"/>
      <c r="BP103" s="241"/>
      <c r="BQ103" s="241"/>
      <c r="BR103" s="241"/>
      <c r="BS103" s="241"/>
      <c r="BT103" s="241"/>
      <c r="BU103" s="241"/>
      <c r="BV103" s="241"/>
      <c r="BW103" s="241"/>
      <c r="BX103" s="241"/>
      <c r="BY103" s="241"/>
      <c r="BZ103" s="241"/>
      <c r="CA103" s="241"/>
      <c r="CB103" s="241"/>
      <c r="CC103" s="241"/>
      <c r="CD103" s="241">
        <v>0</v>
      </c>
      <c r="CE103" s="241"/>
      <c r="CF103" s="241">
        <v>-27.5</v>
      </c>
      <c r="CG103" s="241"/>
      <c r="CH103" s="241">
        <v>102</v>
      </c>
    </row>
    <row r="104" spans="1:86" x14ac:dyDescent="0.25">
      <c r="A104" s="159" t="s">
        <v>715</v>
      </c>
      <c r="B104" s="159">
        <v>0</v>
      </c>
      <c r="C104" s="159">
        <v>700</v>
      </c>
      <c r="D104" s="159">
        <v>150</v>
      </c>
      <c r="E104" s="159" t="s">
        <v>48</v>
      </c>
      <c r="F104" s="159" t="s">
        <v>239</v>
      </c>
      <c r="G104" s="264">
        <v>8860000</v>
      </c>
      <c r="H104" s="249">
        <v>74.009037145608232</v>
      </c>
      <c r="I104" s="249">
        <v>8.2464236538262945</v>
      </c>
      <c r="J104" s="249">
        <v>10.857081924824008</v>
      </c>
      <c r="K104" s="249">
        <v>4.6773775383457883</v>
      </c>
      <c r="L104" s="249">
        <v>3.3520789557534375E-2</v>
      </c>
      <c r="M104" s="249">
        <v>0.10454982387026673</v>
      </c>
      <c r="N104" s="249">
        <v>0.57192787978597703</v>
      </c>
      <c r="O104" s="249">
        <v>0.31970235615065778</v>
      </c>
      <c r="P104" s="249">
        <v>0.18018737348954977</v>
      </c>
      <c r="Q104" s="249">
        <v>0.59220459330089037</v>
      </c>
      <c r="R104" s="249">
        <v>0.30779955640340473</v>
      </c>
      <c r="S104" s="249">
        <v>5.8169514908023467E-2</v>
      </c>
      <c r="T104" s="249">
        <v>0</v>
      </c>
      <c r="U104" s="249">
        <v>0</v>
      </c>
      <c r="V104" s="249">
        <v>3.9787672719889047E-3</v>
      </c>
      <c r="W104" s="249">
        <v>3.8422956786247696E-3</v>
      </c>
      <c r="X104" s="249">
        <v>3.4196786978768649E-2</v>
      </c>
      <c r="Y104" s="249">
        <v>0</v>
      </c>
      <c r="Z104" s="249">
        <v>0</v>
      </c>
      <c r="AA104" s="249">
        <v>0</v>
      </c>
      <c r="AB104" s="249">
        <v>0</v>
      </c>
      <c r="AC104" s="249">
        <v>0</v>
      </c>
      <c r="AD104" s="249">
        <v>0</v>
      </c>
      <c r="AE104" s="249">
        <v>0</v>
      </c>
      <c r="AF104" s="249">
        <v>-124.55584524236325</v>
      </c>
      <c r="AG104" s="249">
        <v>-121.74823772574202</v>
      </c>
      <c r="AH104" s="249">
        <v>20</v>
      </c>
      <c r="AI104" s="249">
        <v>10</v>
      </c>
      <c r="AJ104" s="249">
        <v>1.5</v>
      </c>
      <c r="AK104" s="159" t="s">
        <v>245</v>
      </c>
      <c r="AL104" s="159" t="s">
        <v>247</v>
      </c>
      <c r="AM104" s="159"/>
      <c r="AN104" s="159">
        <v>4.8</v>
      </c>
      <c r="AO104" s="159"/>
      <c r="AP104" s="159"/>
      <c r="AQ104" s="159"/>
      <c r="AR104" s="159"/>
      <c r="AS104" s="159"/>
      <c r="AT104" s="159"/>
      <c r="AU104" s="159"/>
      <c r="AV104" s="159"/>
      <c r="AW104" s="159"/>
      <c r="AX104" s="159"/>
      <c r="AY104" s="159"/>
      <c r="AZ104" s="159"/>
      <c r="BA104" s="159"/>
      <c r="BB104" s="159"/>
      <c r="BC104" s="159"/>
      <c r="BD104" s="159"/>
      <c r="BE104" s="159"/>
      <c r="BF104" s="159"/>
      <c r="BG104" s="159"/>
      <c r="BH104" s="159"/>
      <c r="BI104" s="159"/>
      <c r="BJ104" s="159"/>
      <c r="BK104" s="159"/>
      <c r="BL104" s="159"/>
      <c r="BM104" s="159"/>
      <c r="BN104" s="159"/>
      <c r="BO104" s="159"/>
      <c r="BP104" s="159"/>
      <c r="BQ104" s="159"/>
      <c r="BR104" s="159"/>
      <c r="BS104" s="159"/>
      <c r="BT104" s="159"/>
      <c r="BU104" s="159"/>
      <c r="BV104" s="159"/>
      <c r="BW104" s="159"/>
      <c r="BX104" s="159"/>
      <c r="BY104" s="159"/>
      <c r="BZ104" s="159"/>
      <c r="CA104" s="159"/>
      <c r="CB104" s="159"/>
      <c r="CC104" s="159"/>
      <c r="CD104" s="159">
        <v>0</v>
      </c>
      <c r="CE104" s="159"/>
      <c r="CF104" s="159">
        <v>-34</v>
      </c>
      <c r="CG104" s="159"/>
      <c r="CH104" s="159">
        <v>103</v>
      </c>
    </row>
    <row r="105" spans="1:86" x14ac:dyDescent="0.25">
      <c r="A105" s="241" t="s">
        <v>716</v>
      </c>
      <c r="B105" s="241">
        <v>0</v>
      </c>
      <c r="C105" s="241">
        <v>700</v>
      </c>
      <c r="D105" s="241">
        <v>50</v>
      </c>
      <c r="E105" s="241" t="s">
        <v>48</v>
      </c>
      <c r="F105" s="241" t="s">
        <v>250</v>
      </c>
      <c r="G105" s="265">
        <v>7940000</v>
      </c>
      <c r="H105" s="250">
        <v>29.986568788148585</v>
      </c>
      <c r="I105" s="250">
        <v>21.195303283362858</v>
      </c>
      <c r="J105" s="250">
        <v>0</v>
      </c>
      <c r="K105" s="250">
        <v>45.307535124839411</v>
      </c>
      <c r="L105" s="250">
        <v>0</v>
      </c>
      <c r="M105" s="250">
        <v>0</v>
      </c>
      <c r="N105" s="250">
        <v>0.76461490930609477</v>
      </c>
      <c r="O105" s="250">
        <v>0.96288348411689528</v>
      </c>
      <c r="P105" s="250">
        <v>0.54269054525744387</v>
      </c>
      <c r="Q105" s="250">
        <v>0.53128780806359011</v>
      </c>
      <c r="R105" s="250">
        <v>0.36818390917460747</v>
      </c>
      <c r="S105" s="250">
        <v>0.33920861765990246</v>
      </c>
      <c r="T105" s="250">
        <v>0</v>
      </c>
      <c r="U105" s="250">
        <v>0</v>
      </c>
      <c r="V105" s="250">
        <v>0</v>
      </c>
      <c r="W105" s="250">
        <v>1.7235300706217008E-3</v>
      </c>
      <c r="X105" s="250">
        <v>0</v>
      </c>
      <c r="Y105" s="250">
        <v>0</v>
      </c>
      <c r="Z105" s="250">
        <v>0</v>
      </c>
      <c r="AA105" s="250">
        <v>0</v>
      </c>
      <c r="AB105" s="250">
        <v>0</v>
      </c>
      <c r="AC105" s="250">
        <v>0</v>
      </c>
      <c r="AD105" s="250">
        <v>0</v>
      </c>
      <c r="AE105" s="250">
        <v>0</v>
      </c>
      <c r="AF105" s="250">
        <v>-135.14911813127719</v>
      </c>
      <c r="AG105" s="250">
        <v>-121.74823772574202</v>
      </c>
      <c r="AH105" s="250">
        <v>20</v>
      </c>
      <c r="AI105" s="250">
        <v>10</v>
      </c>
      <c r="AJ105" s="250">
        <v>3</v>
      </c>
      <c r="AK105" s="241" t="s">
        <v>245</v>
      </c>
      <c r="AL105" s="241" t="s">
        <v>247</v>
      </c>
      <c r="AM105" s="241"/>
      <c r="AN105" s="241">
        <v>4.8</v>
      </c>
      <c r="AO105" s="241"/>
      <c r="AP105" s="241"/>
      <c r="AQ105" s="241"/>
      <c r="AR105" s="241"/>
      <c r="AS105" s="241"/>
      <c r="AT105" s="241"/>
      <c r="AU105" s="241"/>
      <c r="AV105" s="241"/>
      <c r="AW105" s="241"/>
      <c r="AX105" s="241"/>
      <c r="AY105" s="241"/>
      <c r="AZ105" s="241"/>
      <c r="BA105" s="241"/>
      <c r="BB105" s="241"/>
      <c r="BC105" s="241"/>
      <c r="BD105" s="241"/>
      <c r="BE105" s="241"/>
      <c r="BF105" s="241"/>
      <c r="BG105" s="241"/>
      <c r="BH105" s="241"/>
      <c r="BI105" s="241"/>
      <c r="BJ105" s="241"/>
      <c r="BK105" s="241"/>
      <c r="BL105" s="241"/>
      <c r="BM105" s="241"/>
      <c r="BN105" s="241"/>
      <c r="BO105" s="241"/>
      <c r="BP105" s="241"/>
      <c r="BQ105" s="241"/>
      <c r="BR105" s="241"/>
      <c r="BS105" s="241"/>
      <c r="BT105" s="241"/>
      <c r="BU105" s="241"/>
      <c r="BV105" s="241"/>
      <c r="BW105" s="241"/>
      <c r="BX105" s="241"/>
      <c r="BY105" s="241"/>
      <c r="BZ105" s="241"/>
      <c r="CA105" s="241"/>
      <c r="CB105" s="241"/>
      <c r="CC105" s="241"/>
      <c r="CD105" s="241">
        <v>0</v>
      </c>
      <c r="CE105" s="241"/>
      <c r="CF105" s="241">
        <v>-77</v>
      </c>
      <c r="CG105" s="241"/>
      <c r="CH105" s="241">
        <v>104</v>
      </c>
    </row>
    <row r="106" spans="1:86" x14ac:dyDescent="0.25">
      <c r="A106" s="159" t="s">
        <v>717</v>
      </c>
      <c r="B106" s="159">
        <v>0</v>
      </c>
      <c r="C106" s="159">
        <v>700</v>
      </c>
      <c r="D106" s="159">
        <v>100</v>
      </c>
      <c r="E106" s="159" t="s">
        <v>48</v>
      </c>
      <c r="F106" s="159" t="s">
        <v>250</v>
      </c>
      <c r="G106" s="264">
        <v>7940000</v>
      </c>
      <c r="H106" s="249">
        <v>29.986568788148585</v>
      </c>
      <c r="I106" s="249">
        <v>21.195303283362858</v>
      </c>
      <c r="J106" s="249">
        <v>0</v>
      </c>
      <c r="K106" s="249">
        <v>45.307535124839411</v>
      </c>
      <c r="L106" s="249">
        <v>0</v>
      </c>
      <c r="M106" s="249">
        <v>0</v>
      </c>
      <c r="N106" s="249">
        <v>0.76461490930609477</v>
      </c>
      <c r="O106" s="249">
        <v>0.96288348411689528</v>
      </c>
      <c r="P106" s="249">
        <v>0.54269054525744387</v>
      </c>
      <c r="Q106" s="249">
        <v>0.53128780806359011</v>
      </c>
      <c r="R106" s="249">
        <v>0.36818390917460747</v>
      </c>
      <c r="S106" s="249">
        <v>0.33920861765990246</v>
      </c>
      <c r="T106" s="249">
        <v>0</v>
      </c>
      <c r="U106" s="249">
        <v>0</v>
      </c>
      <c r="V106" s="249">
        <v>0</v>
      </c>
      <c r="W106" s="249">
        <v>1.7235300706217008E-3</v>
      </c>
      <c r="X106" s="249">
        <v>0</v>
      </c>
      <c r="Y106" s="249">
        <v>0</v>
      </c>
      <c r="Z106" s="249">
        <v>0</v>
      </c>
      <c r="AA106" s="249">
        <v>0</v>
      </c>
      <c r="AB106" s="249">
        <v>0</v>
      </c>
      <c r="AC106" s="249">
        <v>0</v>
      </c>
      <c r="AD106" s="249">
        <v>0</v>
      </c>
      <c r="AE106" s="249">
        <v>0</v>
      </c>
      <c r="AF106" s="249">
        <v>-135.14911813127719</v>
      </c>
      <c r="AG106" s="249">
        <v>-121.74823772574202</v>
      </c>
      <c r="AH106" s="249">
        <v>20</v>
      </c>
      <c r="AI106" s="249">
        <v>10</v>
      </c>
      <c r="AJ106" s="249">
        <v>3</v>
      </c>
      <c r="AK106" s="159" t="s">
        <v>245</v>
      </c>
      <c r="AL106" s="159" t="s">
        <v>247</v>
      </c>
      <c r="AM106" s="159"/>
      <c r="AN106" s="159">
        <v>4.8</v>
      </c>
      <c r="AO106" s="159"/>
      <c r="AP106" s="159"/>
      <c r="AQ106" s="159"/>
      <c r="AR106" s="159"/>
      <c r="AS106" s="159"/>
      <c r="AT106" s="159"/>
      <c r="AU106" s="159"/>
      <c r="AV106" s="159"/>
      <c r="AW106" s="159"/>
      <c r="AX106" s="159"/>
      <c r="AY106" s="159"/>
      <c r="AZ106" s="159"/>
      <c r="BA106" s="159"/>
      <c r="BB106" s="159"/>
      <c r="BC106" s="159"/>
      <c r="BD106" s="159"/>
      <c r="BE106" s="159"/>
      <c r="BF106" s="159"/>
      <c r="BG106" s="159"/>
      <c r="BH106" s="159"/>
      <c r="BI106" s="159"/>
      <c r="BJ106" s="159"/>
      <c r="BK106" s="159"/>
      <c r="BL106" s="159"/>
      <c r="BM106" s="159"/>
      <c r="BN106" s="159"/>
      <c r="BO106" s="159"/>
      <c r="BP106" s="159"/>
      <c r="BQ106" s="159"/>
      <c r="BR106" s="159"/>
      <c r="BS106" s="159"/>
      <c r="BT106" s="159"/>
      <c r="BU106" s="159"/>
      <c r="BV106" s="159"/>
      <c r="BW106" s="159"/>
      <c r="BX106" s="159"/>
      <c r="BY106" s="159"/>
      <c r="BZ106" s="159"/>
      <c r="CA106" s="159"/>
      <c r="CB106" s="159"/>
      <c r="CC106" s="159"/>
      <c r="CD106" s="159">
        <v>0</v>
      </c>
      <c r="CE106" s="159"/>
      <c r="CF106" s="159">
        <v>-109</v>
      </c>
      <c r="CG106" s="159"/>
      <c r="CH106" s="159">
        <v>105</v>
      </c>
    </row>
    <row r="107" spans="1:86" x14ac:dyDescent="0.25">
      <c r="A107" s="241" t="s">
        <v>718</v>
      </c>
      <c r="B107" s="241">
        <v>0</v>
      </c>
      <c r="C107" s="241">
        <v>700</v>
      </c>
      <c r="D107" s="241">
        <v>150</v>
      </c>
      <c r="E107" s="241" t="s">
        <v>48</v>
      </c>
      <c r="F107" s="241" t="s">
        <v>250</v>
      </c>
      <c r="G107" s="265">
        <v>7940000</v>
      </c>
      <c r="H107" s="250">
        <v>29.986568788148585</v>
      </c>
      <c r="I107" s="250">
        <v>21.195303283362858</v>
      </c>
      <c r="J107" s="250">
        <v>0</v>
      </c>
      <c r="K107" s="250">
        <v>45.307535124839411</v>
      </c>
      <c r="L107" s="250">
        <v>0</v>
      </c>
      <c r="M107" s="250">
        <v>0</v>
      </c>
      <c r="N107" s="250">
        <v>0.76461490930609477</v>
      </c>
      <c r="O107" s="250">
        <v>0.96288348411689528</v>
      </c>
      <c r="P107" s="250">
        <v>0.54269054525744387</v>
      </c>
      <c r="Q107" s="250">
        <v>0.53128780806359011</v>
      </c>
      <c r="R107" s="250">
        <v>0.36818390917460747</v>
      </c>
      <c r="S107" s="250">
        <v>0.33920861765990246</v>
      </c>
      <c r="T107" s="250">
        <v>0</v>
      </c>
      <c r="U107" s="250">
        <v>0</v>
      </c>
      <c r="V107" s="250">
        <v>0</v>
      </c>
      <c r="W107" s="250">
        <v>1.7235300706217008E-3</v>
      </c>
      <c r="X107" s="250">
        <v>0</v>
      </c>
      <c r="Y107" s="250">
        <v>0</v>
      </c>
      <c r="Z107" s="250">
        <v>0</v>
      </c>
      <c r="AA107" s="250">
        <v>0</v>
      </c>
      <c r="AB107" s="250">
        <v>0</v>
      </c>
      <c r="AC107" s="250">
        <v>0</v>
      </c>
      <c r="AD107" s="250">
        <v>0</v>
      </c>
      <c r="AE107" s="250">
        <v>0</v>
      </c>
      <c r="AF107" s="250">
        <v>-135.14911813127719</v>
      </c>
      <c r="AG107" s="250">
        <v>-121.74823772574202</v>
      </c>
      <c r="AH107" s="250">
        <v>20</v>
      </c>
      <c r="AI107" s="250">
        <v>10</v>
      </c>
      <c r="AJ107" s="250">
        <v>3</v>
      </c>
      <c r="AK107" s="241" t="s">
        <v>245</v>
      </c>
      <c r="AL107" s="241" t="s">
        <v>247</v>
      </c>
      <c r="AM107" s="241"/>
      <c r="AN107" s="241">
        <v>4.8</v>
      </c>
      <c r="AO107" s="241"/>
      <c r="AP107" s="241"/>
      <c r="AQ107" s="241"/>
      <c r="AR107" s="241"/>
      <c r="AS107" s="241"/>
      <c r="AT107" s="241"/>
      <c r="AU107" s="241"/>
      <c r="AV107" s="241"/>
      <c r="AW107" s="241"/>
      <c r="AX107" s="241"/>
      <c r="AY107" s="241"/>
      <c r="AZ107" s="241"/>
      <c r="BA107" s="241"/>
      <c r="BB107" s="241"/>
      <c r="BC107" s="241"/>
      <c r="BD107" s="241"/>
      <c r="BE107" s="241"/>
      <c r="BF107" s="241"/>
      <c r="BG107" s="241"/>
      <c r="BH107" s="241"/>
      <c r="BI107" s="241"/>
      <c r="BJ107" s="241"/>
      <c r="BK107" s="241"/>
      <c r="BL107" s="241"/>
      <c r="BM107" s="241"/>
      <c r="BN107" s="241"/>
      <c r="BO107" s="241"/>
      <c r="BP107" s="241"/>
      <c r="BQ107" s="241"/>
      <c r="BR107" s="241"/>
      <c r="BS107" s="241"/>
      <c r="BT107" s="241"/>
      <c r="BU107" s="241"/>
      <c r="BV107" s="241"/>
      <c r="BW107" s="241"/>
      <c r="BX107" s="241"/>
      <c r="BY107" s="241"/>
      <c r="BZ107" s="241"/>
      <c r="CA107" s="241"/>
      <c r="CB107" s="241"/>
      <c r="CC107" s="241"/>
      <c r="CD107" s="241">
        <v>0</v>
      </c>
      <c r="CE107" s="241"/>
      <c r="CF107" s="241">
        <v>-160</v>
      </c>
      <c r="CG107" s="241"/>
      <c r="CH107" s="241">
        <v>106</v>
      </c>
    </row>
    <row r="108" spans="1:86" x14ac:dyDescent="0.25">
      <c r="A108" s="159" t="s">
        <v>719</v>
      </c>
      <c r="B108" s="159">
        <v>0</v>
      </c>
      <c r="C108" s="159">
        <v>700</v>
      </c>
      <c r="D108" s="159">
        <v>50</v>
      </c>
      <c r="E108" s="159" t="s">
        <v>48</v>
      </c>
      <c r="F108" s="159" t="s">
        <v>251</v>
      </c>
      <c r="G108" s="264">
        <v>8890000</v>
      </c>
      <c r="H108" s="249">
        <v>99.793613718980495</v>
      </c>
      <c r="I108" s="249">
        <v>0</v>
      </c>
      <c r="J108" s="249">
        <v>0</v>
      </c>
      <c r="K108" s="249">
        <v>1.0497314125525641E-2</v>
      </c>
      <c r="L108" s="249">
        <v>0</v>
      </c>
      <c r="M108" s="249">
        <v>0</v>
      </c>
      <c r="N108" s="249">
        <v>1.0671186638343778E-2</v>
      </c>
      <c r="O108" s="249">
        <v>1.086499247425143E-3</v>
      </c>
      <c r="P108" s="249">
        <v>6.1236159798475792E-4</v>
      </c>
      <c r="Q108" s="249">
        <v>0.1043565314899621</v>
      </c>
      <c r="R108" s="249">
        <v>4.8815569851008087E-2</v>
      </c>
      <c r="S108" s="249">
        <v>9.2254129647617155E-3</v>
      </c>
      <c r="T108" s="249">
        <v>0</v>
      </c>
      <c r="U108" s="249">
        <v>0</v>
      </c>
      <c r="V108" s="249">
        <v>0</v>
      </c>
      <c r="W108" s="249">
        <v>1.8281103645481978E-3</v>
      </c>
      <c r="X108" s="249">
        <v>0</v>
      </c>
      <c r="Y108" s="249">
        <v>1.9293294739962392E-2</v>
      </c>
      <c r="Z108" s="249">
        <v>0</v>
      </c>
      <c r="AA108" s="249">
        <v>0</v>
      </c>
      <c r="AB108" s="249">
        <v>0</v>
      </c>
      <c r="AC108" s="249">
        <v>0</v>
      </c>
      <c r="AD108" s="249">
        <v>0</v>
      </c>
      <c r="AE108" s="249">
        <v>0</v>
      </c>
      <c r="AF108" s="249">
        <v>-121.79119159688472</v>
      </c>
      <c r="AG108" s="249">
        <v>-121.74823772574202</v>
      </c>
      <c r="AH108" s="249">
        <v>20</v>
      </c>
      <c r="AI108" s="249">
        <v>10</v>
      </c>
      <c r="AJ108" s="249">
        <v>4.5</v>
      </c>
      <c r="AK108" s="159" t="s">
        <v>245</v>
      </c>
      <c r="AL108" s="159" t="s">
        <v>247</v>
      </c>
      <c r="AM108" s="159"/>
      <c r="AN108" s="159">
        <v>4.8</v>
      </c>
      <c r="AO108" s="159"/>
      <c r="AP108" s="159"/>
      <c r="AQ108" s="159"/>
      <c r="AR108" s="159"/>
      <c r="AS108" s="159"/>
      <c r="AT108" s="159"/>
      <c r="AU108" s="159"/>
      <c r="AV108" s="159"/>
      <c r="AW108" s="159"/>
      <c r="AX108" s="159"/>
      <c r="AY108" s="159"/>
      <c r="AZ108" s="159"/>
      <c r="BA108" s="159"/>
      <c r="BB108" s="159"/>
      <c r="BC108" s="159"/>
      <c r="BD108" s="159"/>
      <c r="BE108" s="159"/>
      <c r="BF108" s="159"/>
      <c r="BG108" s="159"/>
      <c r="BH108" s="159"/>
      <c r="BI108" s="159"/>
      <c r="BJ108" s="159"/>
      <c r="BK108" s="159"/>
      <c r="BL108" s="159"/>
      <c r="BM108" s="159"/>
      <c r="BN108" s="159"/>
      <c r="BO108" s="159"/>
      <c r="BP108" s="159"/>
      <c r="BQ108" s="159"/>
      <c r="BR108" s="159"/>
      <c r="BS108" s="159"/>
      <c r="BT108" s="159"/>
      <c r="BU108" s="159"/>
      <c r="BV108" s="159"/>
      <c r="BW108" s="159"/>
      <c r="BX108" s="159"/>
      <c r="BY108" s="159"/>
      <c r="BZ108" s="159"/>
      <c r="CA108" s="159"/>
      <c r="CB108" s="159"/>
      <c r="CC108" s="159"/>
      <c r="CD108" s="159">
        <v>0</v>
      </c>
      <c r="CE108" s="159"/>
      <c r="CF108" s="159">
        <v>-0.01</v>
      </c>
      <c r="CG108" s="159"/>
      <c r="CH108" s="159">
        <v>107</v>
      </c>
    </row>
    <row r="109" spans="1:86" x14ac:dyDescent="0.25">
      <c r="A109" s="241" t="s">
        <v>720</v>
      </c>
      <c r="B109" s="241">
        <v>0</v>
      </c>
      <c r="C109" s="241">
        <v>700</v>
      </c>
      <c r="D109" s="241">
        <v>100</v>
      </c>
      <c r="E109" s="241" t="s">
        <v>48</v>
      </c>
      <c r="F109" s="241" t="s">
        <v>251</v>
      </c>
      <c r="G109" s="265">
        <v>8890000</v>
      </c>
      <c r="H109" s="250">
        <v>99.793613718980495</v>
      </c>
      <c r="I109" s="250">
        <v>0</v>
      </c>
      <c r="J109" s="250">
        <v>0</v>
      </c>
      <c r="K109" s="250">
        <v>1.0497314125525641E-2</v>
      </c>
      <c r="L109" s="250">
        <v>0</v>
      </c>
      <c r="M109" s="250">
        <v>0</v>
      </c>
      <c r="N109" s="250">
        <v>1.0671186638343778E-2</v>
      </c>
      <c r="O109" s="250">
        <v>1.086499247425143E-3</v>
      </c>
      <c r="P109" s="250">
        <v>6.1236159798475792E-4</v>
      </c>
      <c r="Q109" s="250">
        <v>0.1043565314899621</v>
      </c>
      <c r="R109" s="250">
        <v>4.8815569851008087E-2</v>
      </c>
      <c r="S109" s="250">
        <v>9.2254129647617155E-3</v>
      </c>
      <c r="T109" s="250">
        <v>0</v>
      </c>
      <c r="U109" s="250">
        <v>0</v>
      </c>
      <c r="V109" s="250">
        <v>0</v>
      </c>
      <c r="W109" s="250">
        <v>1.8281103645481978E-3</v>
      </c>
      <c r="X109" s="250">
        <v>0</v>
      </c>
      <c r="Y109" s="250">
        <v>1.9293294739962392E-2</v>
      </c>
      <c r="Z109" s="250">
        <v>0</v>
      </c>
      <c r="AA109" s="250">
        <v>0</v>
      </c>
      <c r="AB109" s="250">
        <v>0</v>
      </c>
      <c r="AC109" s="250">
        <v>0</v>
      </c>
      <c r="AD109" s="250">
        <v>0</v>
      </c>
      <c r="AE109" s="250">
        <v>0</v>
      </c>
      <c r="AF109" s="250">
        <v>-121.79119159688472</v>
      </c>
      <c r="AG109" s="250">
        <v>-121.74823772574202</v>
      </c>
      <c r="AH109" s="250">
        <v>20</v>
      </c>
      <c r="AI109" s="250">
        <v>10</v>
      </c>
      <c r="AJ109" s="250">
        <v>4.5</v>
      </c>
      <c r="AK109" s="241" t="s">
        <v>245</v>
      </c>
      <c r="AL109" s="241" t="s">
        <v>247</v>
      </c>
      <c r="AM109" s="241"/>
      <c r="AN109" s="241">
        <v>4.8</v>
      </c>
      <c r="AO109" s="241"/>
      <c r="AP109" s="241"/>
      <c r="AQ109" s="241"/>
      <c r="AR109" s="241"/>
      <c r="AS109" s="241"/>
      <c r="AT109" s="241"/>
      <c r="AU109" s="241"/>
      <c r="AV109" s="241"/>
      <c r="AW109" s="241"/>
      <c r="AX109" s="241"/>
      <c r="AY109" s="241"/>
      <c r="AZ109" s="241"/>
      <c r="BA109" s="241"/>
      <c r="BB109" s="241"/>
      <c r="BC109" s="241"/>
      <c r="BD109" s="241"/>
      <c r="BE109" s="241"/>
      <c r="BF109" s="241"/>
      <c r="BG109" s="241"/>
      <c r="BH109" s="241"/>
      <c r="BI109" s="241"/>
      <c r="BJ109" s="241"/>
      <c r="BK109" s="241"/>
      <c r="BL109" s="241"/>
      <c r="BM109" s="241"/>
      <c r="BN109" s="241"/>
      <c r="BO109" s="241"/>
      <c r="BP109" s="241"/>
      <c r="BQ109" s="241"/>
      <c r="BR109" s="241"/>
      <c r="BS109" s="241"/>
      <c r="BT109" s="241"/>
      <c r="BU109" s="241"/>
      <c r="BV109" s="241"/>
      <c r="BW109" s="241"/>
      <c r="BX109" s="241"/>
      <c r="BY109" s="241"/>
      <c r="BZ109" s="241"/>
      <c r="CA109" s="241"/>
      <c r="CB109" s="241"/>
      <c r="CC109" s="241"/>
      <c r="CD109" s="241">
        <v>0</v>
      </c>
      <c r="CE109" s="241"/>
      <c r="CF109" s="241">
        <v>-0.05</v>
      </c>
      <c r="CG109" s="241"/>
      <c r="CH109" s="241">
        <v>108</v>
      </c>
    </row>
    <row r="110" spans="1:86" ht="16.5" thickBot="1" x14ac:dyDescent="0.3">
      <c r="A110" s="160" t="s">
        <v>721</v>
      </c>
      <c r="B110" s="160">
        <v>0</v>
      </c>
      <c r="C110" s="160">
        <v>700</v>
      </c>
      <c r="D110" s="160">
        <v>150</v>
      </c>
      <c r="E110" s="160" t="s">
        <v>48</v>
      </c>
      <c r="F110" s="160" t="s">
        <v>251</v>
      </c>
      <c r="G110" s="267">
        <v>8890000</v>
      </c>
      <c r="H110" s="252">
        <v>99.793613718980495</v>
      </c>
      <c r="I110" s="252">
        <v>0</v>
      </c>
      <c r="J110" s="252">
        <v>0</v>
      </c>
      <c r="K110" s="252">
        <v>1.0497314125525641E-2</v>
      </c>
      <c r="L110" s="252">
        <v>0</v>
      </c>
      <c r="M110" s="252">
        <v>0</v>
      </c>
      <c r="N110" s="252">
        <v>1.0671186638343778E-2</v>
      </c>
      <c r="O110" s="252">
        <v>1.086499247425143E-3</v>
      </c>
      <c r="P110" s="252">
        <v>6.1236159798475792E-4</v>
      </c>
      <c r="Q110" s="252">
        <v>0.1043565314899621</v>
      </c>
      <c r="R110" s="252">
        <v>4.8815569851008087E-2</v>
      </c>
      <c r="S110" s="252">
        <v>9.2254129647617155E-3</v>
      </c>
      <c r="T110" s="252">
        <v>0</v>
      </c>
      <c r="U110" s="252">
        <v>0</v>
      </c>
      <c r="V110" s="252">
        <v>0</v>
      </c>
      <c r="W110" s="252">
        <v>1.8281103645481978E-3</v>
      </c>
      <c r="X110" s="252">
        <v>0</v>
      </c>
      <c r="Y110" s="252">
        <v>1.9293294739962392E-2</v>
      </c>
      <c r="Z110" s="252">
        <v>0</v>
      </c>
      <c r="AA110" s="252">
        <v>0</v>
      </c>
      <c r="AB110" s="252">
        <v>0</v>
      </c>
      <c r="AC110" s="252">
        <v>0</v>
      </c>
      <c r="AD110" s="252">
        <v>0</v>
      </c>
      <c r="AE110" s="252">
        <v>0</v>
      </c>
      <c r="AF110" s="252">
        <v>-121.79119159688472</v>
      </c>
      <c r="AG110" s="252">
        <v>-121.74823772574202</v>
      </c>
      <c r="AH110" s="252">
        <v>20</v>
      </c>
      <c r="AI110" s="252">
        <v>10</v>
      </c>
      <c r="AJ110" s="252">
        <v>4.5</v>
      </c>
      <c r="AK110" s="160" t="s">
        <v>245</v>
      </c>
      <c r="AL110" s="160" t="s">
        <v>247</v>
      </c>
      <c r="AM110" s="160"/>
      <c r="AN110" s="160">
        <v>4.8</v>
      </c>
      <c r="AO110" s="160"/>
      <c r="AP110" s="160"/>
      <c r="AQ110" s="160"/>
      <c r="AR110" s="160"/>
      <c r="AS110" s="160"/>
      <c r="AT110" s="160"/>
      <c r="AU110" s="160"/>
      <c r="AV110" s="160"/>
      <c r="AW110" s="160"/>
      <c r="AX110" s="160"/>
      <c r="AY110" s="160"/>
      <c r="AZ110" s="160"/>
      <c r="BA110" s="160"/>
      <c r="BB110" s="160"/>
      <c r="BC110" s="160"/>
      <c r="BD110" s="160"/>
      <c r="BE110" s="160"/>
      <c r="BF110" s="160"/>
      <c r="BG110" s="160"/>
      <c r="BH110" s="160"/>
      <c r="BI110" s="160"/>
      <c r="BJ110" s="160"/>
      <c r="BK110" s="160"/>
      <c r="BL110" s="160"/>
      <c r="BM110" s="160"/>
      <c r="BN110" s="160"/>
      <c r="BO110" s="160"/>
      <c r="BP110" s="160"/>
      <c r="BQ110" s="160"/>
      <c r="BR110" s="160"/>
      <c r="BS110" s="160"/>
      <c r="BT110" s="160"/>
      <c r="BU110" s="160"/>
      <c r="BV110" s="160"/>
      <c r="BW110" s="160"/>
      <c r="BX110" s="160"/>
      <c r="BY110" s="160"/>
      <c r="BZ110" s="160"/>
      <c r="CA110" s="160"/>
      <c r="CB110" s="160"/>
      <c r="CC110" s="160"/>
      <c r="CD110" s="160">
        <v>0</v>
      </c>
      <c r="CE110" s="160"/>
      <c r="CF110" s="160">
        <v>-0.1</v>
      </c>
      <c r="CG110" s="160"/>
      <c r="CH110" s="160">
        <v>109</v>
      </c>
    </row>
    <row r="111" spans="1:86" x14ac:dyDescent="0.25">
      <c r="A111" s="241" t="s">
        <v>722</v>
      </c>
      <c r="B111" s="241">
        <v>0</v>
      </c>
      <c r="C111" s="241">
        <v>650</v>
      </c>
      <c r="D111" s="241">
        <v>1</v>
      </c>
      <c r="E111" s="241" t="s">
        <v>48</v>
      </c>
      <c r="F111" s="241" t="s">
        <v>227</v>
      </c>
      <c r="G111" s="265">
        <v>7980000</v>
      </c>
      <c r="H111" s="250">
        <v>9.7121634373592212</v>
      </c>
      <c r="I111" s="250">
        <v>17.512981573369338</v>
      </c>
      <c r="J111" s="250">
        <v>1.2355761002867862</v>
      </c>
      <c r="K111" s="250">
        <v>68.34253864729861</v>
      </c>
      <c r="L111" s="250">
        <v>0</v>
      </c>
      <c r="M111" s="250">
        <v>0</v>
      </c>
      <c r="N111" s="250">
        <v>1.8136125438122068</v>
      </c>
      <c r="O111" s="250">
        <v>0</v>
      </c>
      <c r="P111" s="250">
        <v>0</v>
      </c>
      <c r="Q111" s="250">
        <v>1.0502779925903094</v>
      </c>
      <c r="R111" s="250">
        <v>0</v>
      </c>
      <c r="S111" s="250">
        <v>0.3328497052835378</v>
      </c>
      <c r="T111" s="250">
        <v>0</v>
      </c>
      <c r="U111" s="250">
        <v>0</v>
      </c>
      <c r="V111" s="250">
        <v>0</v>
      </c>
      <c r="W111" s="250">
        <v>0</v>
      </c>
      <c r="X111" s="250">
        <v>0</v>
      </c>
      <c r="Y111" s="250">
        <v>0</v>
      </c>
      <c r="Z111" s="250">
        <v>0</v>
      </c>
      <c r="AA111" s="250">
        <v>0</v>
      </c>
      <c r="AB111" s="250">
        <v>0</v>
      </c>
      <c r="AC111" s="250">
        <v>0</v>
      </c>
      <c r="AD111" s="250">
        <v>0</v>
      </c>
      <c r="AE111" s="250">
        <v>0</v>
      </c>
      <c r="AF111" s="250">
        <v>-139.01511483330577</v>
      </c>
      <c r="AG111" s="250">
        <v>-123.53565520208147</v>
      </c>
      <c r="AH111" s="250"/>
      <c r="AI111" s="250"/>
      <c r="AJ111" s="253">
        <v>2.5000000000000001E-2</v>
      </c>
      <c r="AK111" s="241" t="s">
        <v>245</v>
      </c>
      <c r="AL111" s="241" t="s">
        <v>247</v>
      </c>
      <c r="AM111" s="241"/>
      <c r="AN111" s="241">
        <v>5</v>
      </c>
      <c r="AO111" s="241"/>
      <c r="AP111" s="241"/>
      <c r="AQ111" s="241"/>
      <c r="AR111" s="241"/>
      <c r="AS111" s="241"/>
      <c r="AT111" s="241"/>
      <c r="AU111" s="241"/>
      <c r="AV111" s="241"/>
      <c r="AW111" s="241"/>
      <c r="AX111" s="241"/>
      <c r="AY111" s="241"/>
      <c r="AZ111" s="241"/>
      <c r="BA111" s="241"/>
      <c r="BB111" s="241"/>
      <c r="BC111" s="241"/>
      <c r="BD111" s="241"/>
      <c r="BE111" s="241"/>
      <c r="BF111" s="241"/>
      <c r="BG111" s="241"/>
      <c r="BH111" s="241"/>
      <c r="BI111" s="241"/>
      <c r="BJ111" s="241"/>
      <c r="BK111" s="241"/>
      <c r="BL111" s="241"/>
      <c r="BM111" s="241"/>
      <c r="BN111" s="241"/>
      <c r="BO111" s="241"/>
      <c r="BP111" s="241"/>
      <c r="BQ111" s="241"/>
      <c r="BR111" s="241"/>
      <c r="BS111" s="241"/>
      <c r="BT111" s="241"/>
      <c r="BU111" s="241"/>
      <c r="BV111" s="241"/>
      <c r="BW111" s="241"/>
      <c r="BX111" s="241"/>
      <c r="BY111" s="241"/>
      <c r="BZ111" s="241"/>
      <c r="CA111" s="241"/>
      <c r="CB111" s="241"/>
      <c r="CC111" s="241"/>
      <c r="CD111" s="241">
        <v>0</v>
      </c>
      <c r="CE111" s="241"/>
      <c r="CF111" s="241">
        <v>-3.4</v>
      </c>
      <c r="CG111" s="241"/>
      <c r="CH111" s="241">
        <v>110</v>
      </c>
    </row>
    <row r="112" spans="1:86" x14ac:dyDescent="0.25">
      <c r="A112" s="159" t="s">
        <v>723</v>
      </c>
      <c r="B112" s="159">
        <v>0</v>
      </c>
      <c r="C112" s="159">
        <v>650</v>
      </c>
      <c r="D112" s="159">
        <v>8</v>
      </c>
      <c r="E112" s="159" t="s">
        <v>48</v>
      </c>
      <c r="F112" s="159" t="s">
        <v>227</v>
      </c>
      <c r="G112" s="264">
        <v>7980000</v>
      </c>
      <c r="H112" s="249">
        <v>9.7121634373592212</v>
      </c>
      <c r="I112" s="249">
        <v>17.512981573369338</v>
      </c>
      <c r="J112" s="249">
        <v>1.2355761002867862</v>
      </c>
      <c r="K112" s="249">
        <v>68.34253864729861</v>
      </c>
      <c r="L112" s="249">
        <v>0</v>
      </c>
      <c r="M112" s="249">
        <v>0</v>
      </c>
      <c r="N112" s="249">
        <v>1.8136125438122068</v>
      </c>
      <c r="O112" s="249">
        <v>0</v>
      </c>
      <c r="P112" s="249">
        <v>0</v>
      </c>
      <c r="Q112" s="249">
        <v>1.0502779925903094</v>
      </c>
      <c r="R112" s="249">
        <v>0</v>
      </c>
      <c r="S112" s="249">
        <v>0.3328497052835378</v>
      </c>
      <c r="T112" s="249">
        <v>0</v>
      </c>
      <c r="U112" s="249">
        <v>0</v>
      </c>
      <c r="V112" s="249">
        <v>0</v>
      </c>
      <c r="W112" s="249">
        <v>0</v>
      </c>
      <c r="X112" s="249">
        <v>0</v>
      </c>
      <c r="Y112" s="249">
        <v>0</v>
      </c>
      <c r="Z112" s="249">
        <v>0</v>
      </c>
      <c r="AA112" s="249">
        <v>0</v>
      </c>
      <c r="AB112" s="249">
        <v>0</v>
      </c>
      <c r="AC112" s="249">
        <v>0</v>
      </c>
      <c r="AD112" s="249">
        <v>0</v>
      </c>
      <c r="AE112" s="249">
        <v>0</v>
      </c>
      <c r="AF112" s="249">
        <v>-139.01511483330577</v>
      </c>
      <c r="AG112" s="249">
        <v>-123.53565520208147</v>
      </c>
      <c r="AH112" s="249"/>
      <c r="AI112" s="249"/>
      <c r="AJ112" s="254">
        <v>2.5000000000000001E-2</v>
      </c>
      <c r="AK112" s="159" t="s">
        <v>245</v>
      </c>
      <c r="AL112" s="159" t="s">
        <v>247</v>
      </c>
      <c r="AM112" s="159"/>
      <c r="AN112" s="159">
        <v>5</v>
      </c>
      <c r="AO112" s="159"/>
      <c r="AP112" s="159"/>
      <c r="AQ112" s="159"/>
      <c r="AR112" s="159"/>
      <c r="AS112" s="159"/>
      <c r="AT112" s="159"/>
      <c r="AU112" s="159"/>
      <c r="AV112" s="159"/>
      <c r="AW112" s="159"/>
      <c r="AX112" s="159"/>
      <c r="AY112" s="159"/>
      <c r="AZ112" s="159"/>
      <c r="BA112" s="159"/>
      <c r="BB112" s="159"/>
      <c r="BC112" s="159"/>
      <c r="BD112" s="159"/>
      <c r="BE112" s="159"/>
      <c r="BF112" s="159"/>
      <c r="BG112" s="159"/>
      <c r="BH112" s="159"/>
      <c r="BI112" s="159"/>
      <c r="BJ112" s="159"/>
      <c r="BK112" s="159"/>
      <c r="BL112" s="159"/>
      <c r="BM112" s="159"/>
      <c r="BN112" s="159"/>
      <c r="BO112" s="159"/>
      <c r="BP112" s="159"/>
      <c r="BQ112" s="159"/>
      <c r="BR112" s="159"/>
      <c r="BS112" s="159"/>
      <c r="BT112" s="159"/>
      <c r="BU112" s="159"/>
      <c r="BV112" s="159"/>
      <c r="BW112" s="159"/>
      <c r="BX112" s="159"/>
      <c r="BY112" s="159"/>
      <c r="BZ112" s="159"/>
      <c r="CA112" s="159"/>
      <c r="CB112" s="159"/>
      <c r="CC112" s="159"/>
      <c r="CD112" s="159">
        <v>0</v>
      </c>
      <c r="CE112" s="159"/>
      <c r="CF112" s="159">
        <v>-15.5</v>
      </c>
      <c r="CG112" s="159"/>
      <c r="CH112" s="159">
        <v>111</v>
      </c>
    </row>
    <row r="113" spans="1:86" x14ac:dyDescent="0.25">
      <c r="A113" s="241" t="s">
        <v>724</v>
      </c>
      <c r="B113" s="241">
        <v>0</v>
      </c>
      <c r="C113" s="241">
        <v>650</v>
      </c>
      <c r="D113" s="241">
        <v>1</v>
      </c>
      <c r="E113" s="241" t="s">
        <v>48</v>
      </c>
      <c r="F113" s="241" t="s">
        <v>227</v>
      </c>
      <c r="G113" s="265">
        <v>7980000</v>
      </c>
      <c r="H113" s="250">
        <v>9.7121634373592212</v>
      </c>
      <c r="I113" s="250">
        <v>17.512981573369338</v>
      </c>
      <c r="J113" s="250">
        <v>1.2355761002867862</v>
      </c>
      <c r="K113" s="250">
        <v>68.34253864729861</v>
      </c>
      <c r="L113" s="250">
        <v>0</v>
      </c>
      <c r="M113" s="250">
        <v>0</v>
      </c>
      <c r="N113" s="250">
        <v>1.8136125438122068</v>
      </c>
      <c r="O113" s="250">
        <v>0</v>
      </c>
      <c r="P113" s="250">
        <v>0</v>
      </c>
      <c r="Q113" s="250">
        <v>1.0502779925903094</v>
      </c>
      <c r="R113" s="250">
        <v>0</v>
      </c>
      <c r="S113" s="250">
        <v>0.3328497052835378</v>
      </c>
      <c r="T113" s="250">
        <v>0</v>
      </c>
      <c r="U113" s="250">
        <v>0</v>
      </c>
      <c r="V113" s="250">
        <v>0</v>
      </c>
      <c r="W113" s="250">
        <v>0</v>
      </c>
      <c r="X113" s="250">
        <v>0</v>
      </c>
      <c r="Y113" s="250">
        <v>0</v>
      </c>
      <c r="Z113" s="250">
        <v>0</v>
      </c>
      <c r="AA113" s="250">
        <v>0</v>
      </c>
      <c r="AB113" s="250">
        <v>0</v>
      </c>
      <c r="AC113" s="250">
        <v>0</v>
      </c>
      <c r="AD113" s="250">
        <v>0</v>
      </c>
      <c r="AE113" s="250">
        <v>0</v>
      </c>
      <c r="AF113" s="250">
        <v>-139.01511483330577</v>
      </c>
      <c r="AG113" s="250">
        <v>-123.53565520208147</v>
      </c>
      <c r="AH113" s="250"/>
      <c r="AI113" s="250"/>
      <c r="AJ113" s="253">
        <v>2.5000000000000001E-2</v>
      </c>
      <c r="AK113" s="241" t="s">
        <v>245</v>
      </c>
      <c r="AL113" s="241" t="s">
        <v>247</v>
      </c>
      <c r="AM113" s="241"/>
      <c r="AN113" s="241">
        <v>5</v>
      </c>
      <c r="AO113" s="241"/>
      <c r="AP113" s="241"/>
      <c r="AQ113" s="241"/>
      <c r="AR113" s="241"/>
      <c r="AS113" s="241"/>
      <c r="AT113" s="241"/>
      <c r="AU113" s="241"/>
      <c r="AV113" s="241"/>
      <c r="AW113" s="241"/>
      <c r="AX113" s="241"/>
      <c r="AY113" s="241"/>
      <c r="AZ113" s="241"/>
      <c r="BA113" s="241"/>
      <c r="BB113" s="241"/>
      <c r="BC113" s="241"/>
      <c r="BD113" s="241"/>
      <c r="BE113" s="241"/>
      <c r="BF113" s="241"/>
      <c r="BG113" s="241"/>
      <c r="BH113" s="241"/>
      <c r="BI113" s="241"/>
      <c r="BJ113" s="241"/>
      <c r="BK113" s="241"/>
      <c r="BL113" s="241"/>
      <c r="BM113" s="241"/>
      <c r="BN113" s="241"/>
      <c r="BO113" s="241"/>
      <c r="BP113" s="241"/>
      <c r="BQ113" s="241"/>
      <c r="BR113" s="241"/>
      <c r="BS113" s="241"/>
      <c r="BT113" s="241"/>
      <c r="BU113" s="241"/>
      <c r="BV113" s="241"/>
      <c r="BW113" s="241"/>
      <c r="BX113" s="241"/>
      <c r="BY113" s="241"/>
      <c r="BZ113" s="241"/>
      <c r="CA113" s="241"/>
      <c r="CB113" s="241"/>
      <c r="CC113" s="241"/>
      <c r="CD113" s="241">
        <v>3</v>
      </c>
      <c r="CE113" s="241"/>
      <c r="CF113" s="241">
        <v>-5.8</v>
      </c>
      <c r="CG113" s="241"/>
      <c r="CH113" s="241">
        <v>112</v>
      </c>
    </row>
    <row r="114" spans="1:86" x14ac:dyDescent="0.25">
      <c r="A114" s="159" t="s">
        <v>725</v>
      </c>
      <c r="B114" s="159">
        <v>0</v>
      </c>
      <c r="C114" s="159">
        <v>650</v>
      </c>
      <c r="D114" s="159">
        <v>8</v>
      </c>
      <c r="E114" s="159" t="s">
        <v>48</v>
      </c>
      <c r="F114" s="159" t="s">
        <v>227</v>
      </c>
      <c r="G114" s="264">
        <v>7980000</v>
      </c>
      <c r="H114" s="249">
        <v>9.7121634373592212</v>
      </c>
      <c r="I114" s="249">
        <v>17.512981573369338</v>
      </c>
      <c r="J114" s="249">
        <v>1.2355761002867862</v>
      </c>
      <c r="K114" s="249">
        <v>68.34253864729861</v>
      </c>
      <c r="L114" s="249">
        <v>0</v>
      </c>
      <c r="M114" s="249">
        <v>0</v>
      </c>
      <c r="N114" s="249">
        <v>1.8136125438122068</v>
      </c>
      <c r="O114" s="249">
        <v>0</v>
      </c>
      <c r="P114" s="249">
        <v>0</v>
      </c>
      <c r="Q114" s="249">
        <v>1.0502779925903094</v>
      </c>
      <c r="R114" s="249">
        <v>0</v>
      </c>
      <c r="S114" s="249">
        <v>0.3328497052835378</v>
      </c>
      <c r="T114" s="249">
        <v>0</v>
      </c>
      <c r="U114" s="249">
        <v>0</v>
      </c>
      <c r="V114" s="249">
        <v>0</v>
      </c>
      <c r="W114" s="249">
        <v>0</v>
      </c>
      <c r="X114" s="249">
        <v>0</v>
      </c>
      <c r="Y114" s="249">
        <v>0</v>
      </c>
      <c r="Z114" s="249">
        <v>0</v>
      </c>
      <c r="AA114" s="249">
        <v>0</v>
      </c>
      <c r="AB114" s="249">
        <v>0</v>
      </c>
      <c r="AC114" s="249">
        <v>0</v>
      </c>
      <c r="AD114" s="249">
        <v>0</v>
      </c>
      <c r="AE114" s="249">
        <v>0</v>
      </c>
      <c r="AF114" s="249">
        <v>-139.01511483330577</v>
      </c>
      <c r="AG114" s="249">
        <v>-123.53565520208147</v>
      </c>
      <c r="AH114" s="249"/>
      <c r="AI114" s="249"/>
      <c r="AJ114" s="254">
        <v>2.5000000000000001E-2</v>
      </c>
      <c r="AK114" s="159" t="s">
        <v>245</v>
      </c>
      <c r="AL114" s="159" t="s">
        <v>247</v>
      </c>
      <c r="AM114" s="159"/>
      <c r="AN114" s="159">
        <v>5</v>
      </c>
      <c r="AO114" s="159"/>
      <c r="AP114" s="159"/>
      <c r="AQ114" s="159"/>
      <c r="AR114" s="159"/>
      <c r="AS114" s="159"/>
      <c r="AT114" s="159"/>
      <c r="AU114" s="159"/>
      <c r="AV114" s="159"/>
      <c r="AW114" s="159"/>
      <c r="AX114" s="159"/>
      <c r="AY114" s="159"/>
      <c r="AZ114" s="159"/>
      <c r="BA114" s="159"/>
      <c r="BB114" s="159"/>
      <c r="BC114" s="159"/>
      <c r="BD114" s="159"/>
      <c r="BE114" s="159"/>
      <c r="BF114" s="159"/>
      <c r="BG114" s="159"/>
      <c r="BH114" s="159"/>
      <c r="BI114" s="159"/>
      <c r="BJ114" s="159"/>
      <c r="BK114" s="159"/>
      <c r="BL114" s="159"/>
      <c r="BM114" s="159"/>
      <c r="BN114" s="159"/>
      <c r="BO114" s="159"/>
      <c r="BP114" s="159"/>
      <c r="BQ114" s="159"/>
      <c r="BR114" s="159"/>
      <c r="BS114" s="159"/>
      <c r="BT114" s="159"/>
      <c r="BU114" s="159"/>
      <c r="BV114" s="159"/>
      <c r="BW114" s="159"/>
      <c r="BX114" s="159"/>
      <c r="BY114" s="159"/>
      <c r="BZ114" s="159"/>
      <c r="CA114" s="159"/>
      <c r="CB114" s="159"/>
      <c r="CC114" s="159"/>
      <c r="CD114" s="159">
        <v>3</v>
      </c>
      <c r="CE114" s="159"/>
      <c r="CF114" s="159">
        <v>-22.4</v>
      </c>
      <c r="CG114" s="159"/>
      <c r="CH114" s="159">
        <v>113</v>
      </c>
    </row>
    <row r="115" spans="1:86" x14ac:dyDescent="0.25">
      <c r="A115" s="241" t="s">
        <v>726</v>
      </c>
      <c r="B115" s="241">
        <v>0</v>
      </c>
      <c r="C115" s="241">
        <v>650</v>
      </c>
      <c r="D115" s="241">
        <v>4</v>
      </c>
      <c r="E115" s="241" t="s">
        <v>48</v>
      </c>
      <c r="F115" s="241" t="s">
        <v>250</v>
      </c>
      <c r="G115" s="265">
        <v>7940000</v>
      </c>
      <c r="H115" s="250">
        <v>28.832043279482132</v>
      </c>
      <c r="I115" s="250">
        <v>22.228079919944875</v>
      </c>
      <c r="J115" s="250">
        <v>0</v>
      </c>
      <c r="K115" s="250">
        <v>45.924386801544522</v>
      </c>
      <c r="L115" s="250">
        <v>0</v>
      </c>
      <c r="M115" s="250">
        <v>0</v>
      </c>
      <c r="N115" s="250">
        <v>0.61640442535044904</v>
      </c>
      <c r="O115" s="250">
        <v>1.1111594459482426</v>
      </c>
      <c r="P115" s="250">
        <v>0.60306550003773574</v>
      </c>
      <c r="Q115" s="250">
        <v>0.63244506365378117</v>
      </c>
      <c r="R115" s="250">
        <v>0</v>
      </c>
      <c r="S115" s="250">
        <v>5.241556403826135E-2</v>
      </c>
      <c r="T115" s="250">
        <v>0</v>
      </c>
      <c r="U115" s="250">
        <v>0</v>
      </c>
      <c r="V115" s="250">
        <v>0</v>
      </c>
      <c r="W115" s="250">
        <v>0</v>
      </c>
      <c r="X115" s="250">
        <v>0</v>
      </c>
      <c r="Y115" s="250">
        <v>0</v>
      </c>
      <c r="Z115" s="250">
        <v>0</v>
      </c>
      <c r="AA115" s="250">
        <v>0</v>
      </c>
      <c r="AB115" s="250">
        <v>0</v>
      </c>
      <c r="AC115" s="250">
        <v>0</v>
      </c>
      <c r="AD115" s="250">
        <v>0</v>
      </c>
      <c r="AE115" s="250">
        <v>0</v>
      </c>
      <c r="AF115" s="250">
        <v>-137.5909646769515</v>
      </c>
      <c r="AG115" s="250">
        <v>-123.53565520208147</v>
      </c>
      <c r="AH115" s="250"/>
      <c r="AI115" s="250"/>
      <c r="AJ115" s="253">
        <v>2.7E-2</v>
      </c>
      <c r="AK115" s="241" t="s">
        <v>245</v>
      </c>
      <c r="AL115" s="241" t="s">
        <v>247</v>
      </c>
      <c r="AM115" s="241"/>
      <c r="AN115" s="241">
        <v>5</v>
      </c>
      <c r="AO115" s="241"/>
      <c r="AP115" s="241"/>
      <c r="AQ115" s="241"/>
      <c r="AR115" s="241"/>
      <c r="AS115" s="241"/>
      <c r="AT115" s="241"/>
      <c r="AU115" s="241"/>
      <c r="AV115" s="241"/>
      <c r="AW115" s="241"/>
      <c r="AX115" s="241"/>
      <c r="AY115" s="241"/>
      <c r="AZ115" s="241"/>
      <c r="BA115" s="241"/>
      <c r="BB115" s="241"/>
      <c r="BC115" s="241"/>
      <c r="BD115" s="241"/>
      <c r="BE115" s="241"/>
      <c r="BF115" s="241"/>
      <c r="BG115" s="241"/>
      <c r="BH115" s="241"/>
      <c r="BI115" s="241"/>
      <c r="BJ115" s="241"/>
      <c r="BK115" s="241"/>
      <c r="BL115" s="241"/>
      <c r="BM115" s="241"/>
      <c r="BN115" s="241"/>
      <c r="BO115" s="241"/>
      <c r="BP115" s="241"/>
      <c r="BQ115" s="241"/>
      <c r="BR115" s="241"/>
      <c r="BS115" s="241"/>
      <c r="BT115" s="241"/>
      <c r="BU115" s="241"/>
      <c r="BV115" s="241"/>
      <c r="BW115" s="241"/>
      <c r="BX115" s="241"/>
      <c r="BY115" s="241"/>
      <c r="BZ115" s="241"/>
      <c r="CA115" s="241"/>
      <c r="CB115" s="241"/>
      <c r="CC115" s="241"/>
      <c r="CD115" s="241">
        <v>0</v>
      </c>
      <c r="CE115" s="241"/>
      <c r="CF115" s="241">
        <v>-8.5</v>
      </c>
      <c r="CG115" s="241"/>
      <c r="CH115" s="241">
        <v>114</v>
      </c>
    </row>
    <row r="116" spans="1:86" x14ac:dyDescent="0.25">
      <c r="A116" s="159" t="s">
        <v>727</v>
      </c>
      <c r="B116" s="159">
        <v>0</v>
      </c>
      <c r="C116" s="159">
        <v>650</v>
      </c>
      <c r="D116" s="159">
        <v>8</v>
      </c>
      <c r="E116" s="159" t="s">
        <v>48</v>
      </c>
      <c r="F116" s="159" t="s">
        <v>250</v>
      </c>
      <c r="G116" s="264">
        <v>7940000</v>
      </c>
      <c r="H116" s="249">
        <v>28.832043279482132</v>
      </c>
      <c r="I116" s="249">
        <v>22.228079919944875</v>
      </c>
      <c r="J116" s="249">
        <v>0</v>
      </c>
      <c r="K116" s="249">
        <v>45.924386801544522</v>
      </c>
      <c r="L116" s="249">
        <v>0</v>
      </c>
      <c r="M116" s="249">
        <v>0</v>
      </c>
      <c r="N116" s="249">
        <v>0.61640442535044904</v>
      </c>
      <c r="O116" s="249">
        <v>1.1111594459482426</v>
      </c>
      <c r="P116" s="249">
        <v>0.60306550003773574</v>
      </c>
      <c r="Q116" s="249">
        <v>0.63244506365378117</v>
      </c>
      <c r="R116" s="249">
        <v>0</v>
      </c>
      <c r="S116" s="249">
        <v>5.241556403826135E-2</v>
      </c>
      <c r="T116" s="249">
        <v>0</v>
      </c>
      <c r="U116" s="249">
        <v>0</v>
      </c>
      <c r="V116" s="249">
        <v>0</v>
      </c>
      <c r="W116" s="249">
        <v>0</v>
      </c>
      <c r="X116" s="249">
        <v>0</v>
      </c>
      <c r="Y116" s="249">
        <v>0</v>
      </c>
      <c r="Z116" s="249">
        <v>0</v>
      </c>
      <c r="AA116" s="249">
        <v>0</v>
      </c>
      <c r="AB116" s="249">
        <v>0</v>
      </c>
      <c r="AC116" s="249">
        <v>0</v>
      </c>
      <c r="AD116" s="249">
        <v>0</v>
      </c>
      <c r="AE116" s="249">
        <v>0</v>
      </c>
      <c r="AF116" s="249">
        <v>-137.5909646769515</v>
      </c>
      <c r="AG116" s="249">
        <v>-123.53565520208147</v>
      </c>
      <c r="AH116" s="249"/>
      <c r="AI116" s="249"/>
      <c r="AJ116" s="254">
        <v>2.7E-2</v>
      </c>
      <c r="AK116" s="159" t="s">
        <v>245</v>
      </c>
      <c r="AL116" s="159" t="s">
        <v>247</v>
      </c>
      <c r="AM116" s="159"/>
      <c r="AN116" s="159">
        <v>5</v>
      </c>
      <c r="AO116" s="159"/>
      <c r="AP116" s="159"/>
      <c r="AQ116" s="159"/>
      <c r="AR116" s="159"/>
      <c r="AS116" s="159"/>
      <c r="AT116" s="159"/>
      <c r="AU116" s="159"/>
      <c r="AV116" s="159"/>
      <c r="AW116" s="159"/>
      <c r="AX116" s="159"/>
      <c r="AY116" s="159"/>
      <c r="AZ116" s="159"/>
      <c r="BA116" s="159"/>
      <c r="BB116" s="159"/>
      <c r="BC116" s="159"/>
      <c r="BD116" s="159"/>
      <c r="BE116" s="159"/>
      <c r="BF116" s="159"/>
      <c r="BG116" s="159"/>
      <c r="BH116" s="159"/>
      <c r="BI116" s="159"/>
      <c r="BJ116" s="159"/>
      <c r="BK116" s="159"/>
      <c r="BL116" s="159"/>
      <c r="BM116" s="159"/>
      <c r="BN116" s="159"/>
      <c r="BO116" s="159"/>
      <c r="BP116" s="159"/>
      <c r="BQ116" s="159"/>
      <c r="BR116" s="159"/>
      <c r="BS116" s="159"/>
      <c r="BT116" s="159"/>
      <c r="BU116" s="159"/>
      <c r="BV116" s="159"/>
      <c r="BW116" s="159"/>
      <c r="BX116" s="159"/>
      <c r="BY116" s="159"/>
      <c r="BZ116" s="159"/>
      <c r="CA116" s="159"/>
      <c r="CB116" s="159"/>
      <c r="CC116" s="159"/>
      <c r="CD116" s="159">
        <v>0</v>
      </c>
      <c r="CE116" s="159"/>
      <c r="CF116" s="159">
        <v>-15.9</v>
      </c>
      <c r="CG116" s="159"/>
      <c r="CH116" s="159">
        <v>115</v>
      </c>
    </row>
    <row r="117" spans="1:86" x14ac:dyDescent="0.25">
      <c r="A117" s="241" t="s">
        <v>728</v>
      </c>
      <c r="B117" s="241">
        <v>0</v>
      </c>
      <c r="C117" s="241">
        <v>650</v>
      </c>
      <c r="D117" s="241">
        <v>4</v>
      </c>
      <c r="E117" s="241" t="s">
        <v>48</v>
      </c>
      <c r="F117" s="241" t="s">
        <v>250</v>
      </c>
      <c r="G117" s="265">
        <v>7940000</v>
      </c>
      <c r="H117" s="250">
        <v>28.832043279482132</v>
      </c>
      <c r="I117" s="250">
        <v>22.228079919944875</v>
      </c>
      <c r="J117" s="250">
        <v>0</v>
      </c>
      <c r="K117" s="250">
        <v>45.924386801544522</v>
      </c>
      <c r="L117" s="250">
        <v>0</v>
      </c>
      <c r="M117" s="250">
        <v>0</v>
      </c>
      <c r="N117" s="250">
        <v>0.61640442535044904</v>
      </c>
      <c r="O117" s="250">
        <v>1.1111594459482426</v>
      </c>
      <c r="P117" s="250">
        <v>0.60306550003773574</v>
      </c>
      <c r="Q117" s="250">
        <v>0.63244506365378117</v>
      </c>
      <c r="R117" s="250">
        <v>0</v>
      </c>
      <c r="S117" s="250">
        <v>5.241556403826135E-2</v>
      </c>
      <c r="T117" s="250">
        <v>0</v>
      </c>
      <c r="U117" s="250">
        <v>0</v>
      </c>
      <c r="V117" s="250">
        <v>0</v>
      </c>
      <c r="W117" s="250">
        <v>0</v>
      </c>
      <c r="X117" s="250">
        <v>0</v>
      </c>
      <c r="Y117" s="250">
        <v>0</v>
      </c>
      <c r="Z117" s="250">
        <v>0</v>
      </c>
      <c r="AA117" s="250">
        <v>0</v>
      </c>
      <c r="AB117" s="250">
        <v>0</v>
      </c>
      <c r="AC117" s="250">
        <v>0</v>
      </c>
      <c r="AD117" s="250">
        <v>0</v>
      </c>
      <c r="AE117" s="250">
        <v>0</v>
      </c>
      <c r="AF117" s="250">
        <v>-137.5909646769515</v>
      </c>
      <c r="AG117" s="250">
        <v>-123.53565520208147</v>
      </c>
      <c r="AH117" s="250"/>
      <c r="AI117" s="250"/>
      <c r="AJ117" s="253">
        <v>2.7E-2</v>
      </c>
      <c r="AK117" s="241" t="s">
        <v>245</v>
      </c>
      <c r="AL117" s="241" t="s">
        <v>247</v>
      </c>
      <c r="AM117" s="241"/>
      <c r="AN117" s="241">
        <v>5</v>
      </c>
      <c r="AO117" s="241"/>
      <c r="AP117" s="241"/>
      <c r="AQ117" s="241"/>
      <c r="AR117" s="241"/>
      <c r="AS117" s="241"/>
      <c r="AT117" s="241"/>
      <c r="AU117" s="241"/>
      <c r="AV117" s="241"/>
      <c r="AW117" s="241"/>
      <c r="AX117" s="241"/>
      <c r="AY117" s="241"/>
      <c r="AZ117" s="241"/>
      <c r="BA117" s="241"/>
      <c r="BB117" s="241"/>
      <c r="BC117" s="241"/>
      <c r="BD117" s="241"/>
      <c r="BE117" s="241"/>
      <c r="BF117" s="241"/>
      <c r="BG117" s="241"/>
      <c r="BH117" s="241"/>
      <c r="BI117" s="241"/>
      <c r="BJ117" s="241"/>
      <c r="BK117" s="241"/>
      <c r="BL117" s="241"/>
      <c r="BM117" s="241"/>
      <c r="BN117" s="241"/>
      <c r="BO117" s="241"/>
      <c r="BP117" s="241"/>
      <c r="BQ117" s="241"/>
      <c r="BR117" s="241"/>
      <c r="BS117" s="241"/>
      <c r="BT117" s="241"/>
      <c r="BU117" s="241"/>
      <c r="BV117" s="241"/>
      <c r="BW117" s="241"/>
      <c r="BX117" s="241"/>
      <c r="BY117" s="241"/>
      <c r="BZ117" s="241"/>
      <c r="CA117" s="241"/>
      <c r="CB117" s="241"/>
      <c r="CC117" s="241"/>
      <c r="CD117" s="241">
        <v>3</v>
      </c>
      <c r="CE117" s="241"/>
      <c r="CF117" s="241">
        <v>-13</v>
      </c>
      <c r="CG117" s="241"/>
      <c r="CH117" s="241">
        <v>116</v>
      </c>
    </row>
    <row r="118" spans="1:86" x14ac:dyDescent="0.25">
      <c r="A118" s="159" t="s">
        <v>729</v>
      </c>
      <c r="B118" s="159">
        <v>0</v>
      </c>
      <c r="C118" s="159">
        <v>650</v>
      </c>
      <c r="D118" s="159">
        <v>8</v>
      </c>
      <c r="E118" s="159" t="s">
        <v>48</v>
      </c>
      <c r="F118" s="159" t="s">
        <v>250</v>
      </c>
      <c r="G118" s="264">
        <v>7940000</v>
      </c>
      <c r="H118" s="249">
        <v>28.832043279482132</v>
      </c>
      <c r="I118" s="249">
        <v>22.228079919944875</v>
      </c>
      <c r="J118" s="249">
        <v>0</v>
      </c>
      <c r="K118" s="249">
        <v>45.924386801544522</v>
      </c>
      <c r="L118" s="249">
        <v>0</v>
      </c>
      <c r="M118" s="249">
        <v>0</v>
      </c>
      <c r="N118" s="249">
        <v>0.61640442535044904</v>
      </c>
      <c r="O118" s="249">
        <v>1.1111594459482426</v>
      </c>
      <c r="P118" s="249">
        <v>0.60306550003773574</v>
      </c>
      <c r="Q118" s="249">
        <v>0.63244506365378117</v>
      </c>
      <c r="R118" s="249">
        <v>0</v>
      </c>
      <c r="S118" s="249">
        <v>5.241556403826135E-2</v>
      </c>
      <c r="T118" s="249">
        <v>0</v>
      </c>
      <c r="U118" s="249">
        <v>0</v>
      </c>
      <c r="V118" s="249">
        <v>0</v>
      </c>
      <c r="W118" s="249">
        <v>0</v>
      </c>
      <c r="X118" s="249">
        <v>0</v>
      </c>
      <c r="Y118" s="249">
        <v>0</v>
      </c>
      <c r="Z118" s="249">
        <v>0</v>
      </c>
      <c r="AA118" s="249">
        <v>0</v>
      </c>
      <c r="AB118" s="249">
        <v>0</v>
      </c>
      <c r="AC118" s="249">
        <v>0</v>
      </c>
      <c r="AD118" s="249">
        <v>0</v>
      </c>
      <c r="AE118" s="249">
        <v>0</v>
      </c>
      <c r="AF118" s="249">
        <v>-137.5909646769515</v>
      </c>
      <c r="AG118" s="249">
        <v>-123.53565520208147</v>
      </c>
      <c r="AH118" s="249"/>
      <c r="AI118" s="249"/>
      <c r="AJ118" s="254">
        <v>2.7E-2</v>
      </c>
      <c r="AK118" s="159" t="s">
        <v>245</v>
      </c>
      <c r="AL118" s="159" t="s">
        <v>247</v>
      </c>
      <c r="AM118" s="159"/>
      <c r="AN118" s="159">
        <v>5</v>
      </c>
      <c r="AO118" s="159"/>
      <c r="AP118" s="159"/>
      <c r="AQ118" s="159"/>
      <c r="AR118" s="159"/>
      <c r="AS118" s="159"/>
      <c r="AT118" s="159"/>
      <c r="AU118" s="159"/>
      <c r="AV118" s="159"/>
      <c r="AW118" s="159"/>
      <c r="AX118" s="159"/>
      <c r="AY118" s="159"/>
      <c r="AZ118" s="159"/>
      <c r="BA118" s="159"/>
      <c r="BB118" s="159"/>
      <c r="BC118" s="159"/>
      <c r="BD118" s="159"/>
      <c r="BE118" s="159"/>
      <c r="BF118" s="159"/>
      <c r="BG118" s="159"/>
      <c r="BH118" s="159"/>
      <c r="BI118" s="159"/>
      <c r="BJ118" s="159"/>
      <c r="BK118" s="159"/>
      <c r="BL118" s="159"/>
      <c r="BM118" s="159"/>
      <c r="BN118" s="159"/>
      <c r="BO118" s="159"/>
      <c r="BP118" s="159"/>
      <c r="BQ118" s="159"/>
      <c r="BR118" s="159"/>
      <c r="BS118" s="159"/>
      <c r="BT118" s="159"/>
      <c r="BU118" s="159"/>
      <c r="BV118" s="159"/>
      <c r="BW118" s="159"/>
      <c r="BX118" s="159"/>
      <c r="BY118" s="159"/>
      <c r="BZ118" s="159"/>
      <c r="CA118" s="159"/>
      <c r="CB118" s="159"/>
      <c r="CC118" s="159"/>
      <c r="CD118" s="159">
        <v>3</v>
      </c>
      <c r="CE118" s="159"/>
      <c r="CF118" s="159">
        <v>-18.8</v>
      </c>
      <c r="CG118" s="159"/>
      <c r="CH118" s="159">
        <v>117</v>
      </c>
    </row>
    <row r="119" spans="1:86" x14ac:dyDescent="0.25">
      <c r="A119" s="241" t="s">
        <v>730</v>
      </c>
      <c r="B119" s="241">
        <v>0</v>
      </c>
      <c r="C119" s="241">
        <v>650</v>
      </c>
      <c r="D119" s="241">
        <v>8</v>
      </c>
      <c r="E119" s="241" t="s">
        <v>48</v>
      </c>
      <c r="F119" s="241" t="s">
        <v>312</v>
      </c>
      <c r="G119" s="265">
        <v>8470000</v>
      </c>
      <c r="H119" s="250">
        <v>71.724834841375042</v>
      </c>
      <c r="I119" s="250">
        <v>17.589301797770876</v>
      </c>
      <c r="J119" s="250">
        <v>0</v>
      </c>
      <c r="K119" s="250">
        <v>9.5275704197770672</v>
      </c>
      <c r="L119" s="250">
        <v>0</v>
      </c>
      <c r="M119" s="250">
        <v>0</v>
      </c>
      <c r="N119" s="250">
        <v>0.29097709835715008</v>
      </c>
      <c r="O119" s="250">
        <v>0.25393860717582051</v>
      </c>
      <c r="P119" s="250">
        <v>0.23853713604914834</v>
      </c>
      <c r="Q119" s="250">
        <v>0.36585601396957829</v>
      </c>
      <c r="R119" s="250">
        <v>0</v>
      </c>
      <c r="S119" s="250">
        <v>8.9840855253129261E-3</v>
      </c>
      <c r="T119" s="250">
        <v>0</v>
      </c>
      <c r="U119" s="250">
        <v>0</v>
      </c>
      <c r="V119" s="250">
        <v>0</v>
      </c>
      <c r="W119" s="250">
        <v>0</v>
      </c>
      <c r="X119" s="250">
        <v>0</v>
      </c>
      <c r="Y119" s="250">
        <v>0</v>
      </c>
      <c r="Z119" s="250">
        <v>0</v>
      </c>
      <c r="AA119" s="250">
        <v>0</v>
      </c>
      <c r="AB119" s="250">
        <v>0</v>
      </c>
      <c r="AC119" s="250">
        <v>0</v>
      </c>
      <c r="AD119" s="250">
        <v>0</v>
      </c>
      <c r="AE119" s="250">
        <v>0</v>
      </c>
      <c r="AF119" s="250">
        <v>-130.30060511946388</v>
      </c>
      <c r="AG119" s="250">
        <v>-123.53565520208147</v>
      </c>
      <c r="AH119" s="250"/>
      <c r="AI119" s="250"/>
      <c r="AJ119" s="253">
        <v>2.5999999999999999E-2</v>
      </c>
      <c r="AK119" s="241" t="s">
        <v>245</v>
      </c>
      <c r="AL119" s="241" t="s">
        <v>247</v>
      </c>
      <c r="AM119" s="241"/>
      <c r="AN119" s="241">
        <v>5</v>
      </c>
      <c r="AO119" s="241"/>
      <c r="AP119" s="241"/>
      <c r="AQ119" s="241"/>
      <c r="AR119" s="241"/>
      <c r="AS119" s="241"/>
      <c r="AT119" s="241"/>
      <c r="AU119" s="241"/>
      <c r="AV119" s="241"/>
      <c r="AW119" s="241"/>
      <c r="AX119" s="241"/>
      <c r="AY119" s="241"/>
      <c r="AZ119" s="241"/>
      <c r="BA119" s="241"/>
      <c r="BB119" s="241"/>
      <c r="BC119" s="241"/>
      <c r="BD119" s="241"/>
      <c r="BE119" s="241"/>
      <c r="BF119" s="241"/>
      <c r="BG119" s="241"/>
      <c r="BH119" s="241"/>
      <c r="BI119" s="241"/>
      <c r="BJ119" s="241"/>
      <c r="BK119" s="241"/>
      <c r="BL119" s="241"/>
      <c r="BM119" s="241"/>
      <c r="BN119" s="241"/>
      <c r="BO119" s="241"/>
      <c r="BP119" s="241"/>
      <c r="BQ119" s="241"/>
      <c r="BR119" s="241"/>
      <c r="BS119" s="241"/>
      <c r="BT119" s="241"/>
      <c r="BU119" s="241"/>
      <c r="BV119" s="241"/>
      <c r="BW119" s="241"/>
      <c r="BX119" s="241"/>
      <c r="BY119" s="241"/>
      <c r="BZ119" s="241"/>
      <c r="CA119" s="241"/>
      <c r="CB119" s="241"/>
      <c r="CC119" s="241"/>
      <c r="CD119" s="241">
        <v>0</v>
      </c>
      <c r="CE119" s="241"/>
      <c r="CF119" s="241">
        <v>-5.8</v>
      </c>
      <c r="CG119" s="241"/>
      <c r="CH119" s="241">
        <v>118</v>
      </c>
    </row>
    <row r="120" spans="1:86" x14ac:dyDescent="0.25">
      <c r="A120" s="159" t="s">
        <v>731</v>
      </c>
      <c r="B120" s="159">
        <v>0</v>
      </c>
      <c r="C120" s="159">
        <v>650</v>
      </c>
      <c r="D120" s="159">
        <v>16</v>
      </c>
      <c r="E120" s="159" t="s">
        <v>48</v>
      </c>
      <c r="F120" s="159" t="s">
        <v>312</v>
      </c>
      <c r="G120" s="264">
        <v>8470000</v>
      </c>
      <c r="H120" s="249">
        <v>71.724834841375042</v>
      </c>
      <c r="I120" s="249">
        <v>17.589301797770876</v>
      </c>
      <c r="J120" s="249">
        <v>0</v>
      </c>
      <c r="K120" s="249">
        <v>9.5275704197770672</v>
      </c>
      <c r="L120" s="249">
        <v>0</v>
      </c>
      <c r="M120" s="249">
        <v>0</v>
      </c>
      <c r="N120" s="249">
        <v>0.29097709835715008</v>
      </c>
      <c r="O120" s="249">
        <v>0.25393860717582051</v>
      </c>
      <c r="P120" s="249">
        <v>0.23853713604914834</v>
      </c>
      <c r="Q120" s="249">
        <v>0.36585601396957829</v>
      </c>
      <c r="R120" s="249">
        <v>0</v>
      </c>
      <c r="S120" s="249">
        <v>8.9840855253129261E-3</v>
      </c>
      <c r="T120" s="249">
        <v>0</v>
      </c>
      <c r="U120" s="249">
        <v>0</v>
      </c>
      <c r="V120" s="249">
        <v>0</v>
      </c>
      <c r="W120" s="249">
        <v>0</v>
      </c>
      <c r="X120" s="249">
        <v>0</v>
      </c>
      <c r="Y120" s="249">
        <v>0</v>
      </c>
      <c r="Z120" s="249">
        <v>0</v>
      </c>
      <c r="AA120" s="249">
        <v>0</v>
      </c>
      <c r="AB120" s="249">
        <v>0</v>
      </c>
      <c r="AC120" s="249">
        <v>0</v>
      </c>
      <c r="AD120" s="249">
        <v>0</v>
      </c>
      <c r="AE120" s="249">
        <v>0</v>
      </c>
      <c r="AF120" s="249">
        <v>-130.30060511946388</v>
      </c>
      <c r="AG120" s="249">
        <v>-123.53565520208147</v>
      </c>
      <c r="AH120" s="249"/>
      <c r="AI120" s="249"/>
      <c r="AJ120" s="254">
        <v>2.5999999999999999E-2</v>
      </c>
      <c r="AK120" s="159" t="s">
        <v>245</v>
      </c>
      <c r="AL120" s="159" t="s">
        <v>247</v>
      </c>
      <c r="AM120" s="159"/>
      <c r="AN120" s="159">
        <v>5</v>
      </c>
      <c r="AO120" s="159"/>
      <c r="AP120" s="159"/>
      <c r="AQ120" s="159"/>
      <c r="AR120" s="159"/>
      <c r="AS120" s="159"/>
      <c r="AT120" s="159"/>
      <c r="AU120" s="159"/>
      <c r="AV120" s="159"/>
      <c r="AW120" s="159"/>
      <c r="AX120" s="159"/>
      <c r="AY120" s="159"/>
      <c r="AZ120" s="159"/>
      <c r="BA120" s="159"/>
      <c r="BB120" s="159"/>
      <c r="BC120" s="159"/>
      <c r="BD120" s="159"/>
      <c r="BE120" s="159"/>
      <c r="BF120" s="159"/>
      <c r="BG120" s="159"/>
      <c r="BH120" s="159"/>
      <c r="BI120" s="159"/>
      <c r="BJ120" s="159"/>
      <c r="BK120" s="159"/>
      <c r="BL120" s="159"/>
      <c r="BM120" s="159"/>
      <c r="BN120" s="159"/>
      <c r="BO120" s="159"/>
      <c r="BP120" s="159"/>
      <c r="BQ120" s="159"/>
      <c r="BR120" s="159"/>
      <c r="BS120" s="159"/>
      <c r="BT120" s="159"/>
      <c r="BU120" s="159"/>
      <c r="BV120" s="159"/>
      <c r="BW120" s="159"/>
      <c r="BX120" s="159"/>
      <c r="BY120" s="159"/>
      <c r="BZ120" s="159"/>
      <c r="CA120" s="159"/>
      <c r="CB120" s="159"/>
      <c r="CC120" s="159"/>
      <c r="CD120" s="159">
        <v>0</v>
      </c>
      <c r="CE120" s="159"/>
      <c r="CF120" s="159">
        <v>-9.1999999999999993</v>
      </c>
      <c r="CG120" s="159"/>
      <c r="CH120" s="159">
        <v>119</v>
      </c>
    </row>
    <row r="121" spans="1:86" x14ac:dyDescent="0.25">
      <c r="A121" s="241" t="s">
        <v>732</v>
      </c>
      <c r="B121" s="241">
        <v>0</v>
      </c>
      <c r="C121" s="241">
        <v>650</v>
      </c>
      <c r="D121" s="241">
        <v>8</v>
      </c>
      <c r="E121" s="241" t="s">
        <v>48</v>
      </c>
      <c r="F121" s="241" t="s">
        <v>312</v>
      </c>
      <c r="G121" s="265">
        <v>8470000</v>
      </c>
      <c r="H121" s="250">
        <v>71.724834841375042</v>
      </c>
      <c r="I121" s="250">
        <v>17.589301797770876</v>
      </c>
      <c r="J121" s="250">
        <v>0</v>
      </c>
      <c r="K121" s="250">
        <v>9.5275704197770672</v>
      </c>
      <c r="L121" s="250">
        <v>0</v>
      </c>
      <c r="M121" s="250">
        <v>0</v>
      </c>
      <c r="N121" s="250">
        <v>0.29097709835715008</v>
      </c>
      <c r="O121" s="250">
        <v>0.25393860717582051</v>
      </c>
      <c r="P121" s="250">
        <v>0.23853713604914834</v>
      </c>
      <c r="Q121" s="250">
        <v>0.36585601396957829</v>
      </c>
      <c r="R121" s="250">
        <v>0</v>
      </c>
      <c r="S121" s="250">
        <v>8.9840855253129261E-3</v>
      </c>
      <c r="T121" s="250">
        <v>0</v>
      </c>
      <c r="U121" s="250">
        <v>0</v>
      </c>
      <c r="V121" s="250">
        <v>0</v>
      </c>
      <c r="W121" s="250">
        <v>0</v>
      </c>
      <c r="X121" s="250">
        <v>0</v>
      </c>
      <c r="Y121" s="250">
        <v>0</v>
      </c>
      <c r="Z121" s="250">
        <v>0</v>
      </c>
      <c r="AA121" s="250">
        <v>0</v>
      </c>
      <c r="AB121" s="250">
        <v>0</v>
      </c>
      <c r="AC121" s="250">
        <v>0</v>
      </c>
      <c r="AD121" s="250">
        <v>0</v>
      </c>
      <c r="AE121" s="250">
        <v>0</v>
      </c>
      <c r="AF121" s="250">
        <v>-130.30060511946388</v>
      </c>
      <c r="AG121" s="250">
        <v>-123.53565520208147</v>
      </c>
      <c r="AH121" s="250"/>
      <c r="AI121" s="250"/>
      <c r="AJ121" s="253">
        <v>2.5999999999999999E-2</v>
      </c>
      <c r="AK121" s="241" t="s">
        <v>245</v>
      </c>
      <c r="AL121" s="241" t="s">
        <v>247</v>
      </c>
      <c r="AM121" s="241"/>
      <c r="AN121" s="241">
        <v>5</v>
      </c>
      <c r="AO121" s="241"/>
      <c r="AP121" s="241"/>
      <c r="AQ121" s="241"/>
      <c r="AR121" s="241"/>
      <c r="AS121" s="241"/>
      <c r="AT121" s="241"/>
      <c r="AU121" s="241"/>
      <c r="AV121" s="241"/>
      <c r="AW121" s="241"/>
      <c r="AX121" s="241"/>
      <c r="AY121" s="241"/>
      <c r="AZ121" s="241"/>
      <c r="BA121" s="241"/>
      <c r="BB121" s="241"/>
      <c r="BC121" s="241"/>
      <c r="BD121" s="241"/>
      <c r="BE121" s="241"/>
      <c r="BF121" s="241"/>
      <c r="BG121" s="241"/>
      <c r="BH121" s="241"/>
      <c r="BI121" s="241"/>
      <c r="BJ121" s="241"/>
      <c r="BK121" s="241"/>
      <c r="BL121" s="241"/>
      <c r="BM121" s="241"/>
      <c r="BN121" s="241"/>
      <c r="BO121" s="241"/>
      <c r="BP121" s="241"/>
      <c r="BQ121" s="241"/>
      <c r="BR121" s="241"/>
      <c r="BS121" s="241"/>
      <c r="BT121" s="241"/>
      <c r="BU121" s="241"/>
      <c r="BV121" s="241"/>
      <c r="BW121" s="241"/>
      <c r="BX121" s="241"/>
      <c r="BY121" s="241"/>
      <c r="BZ121" s="241"/>
      <c r="CA121" s="241"/>
      <c r="CB121" s="241"/>
      <c r="CC121" s="241"/>
      <c r="CD121" s="241">
        <v>3</v>
      </c>
      <c r="CE121" s="241"/>
      <c r="CF121" s="241">
        <v>-5.8</v>
      </c>
      <c r="CG121" s="241"/>
      <c r="CH121" s="241">
        <v>120</v>
      </c>
    </row>
    <row r="122" spans="1:86" ht="16.5" thickBot="1" x14ac:dyDescent="0.3">
      <c r="A122" s="160" t="s">
        <v>733</v>
      </c>
      <c r="B122" s="160">
        <v>0</v>
      </c>
      <c r="C122" s="160">
        <v>650</v>
      </c>
      <c r="D122" s="160">
        <v>16</v>
      </c>
      <c r="E122" s="160" t="s">
        <v>48</v>
      </c>
      <c r="F122" s="160" t="s">
        <v>312</v>
      </c>
      <c r="G122" s="267">
        <v>8470000</v>
      </c>
      <c r="H122" s="252">
        <v>71.724834841375042</v>
      </c>
      <c r="I122" s="252">
        <v>17.589301797770876</v>
      </c>
      <c r="J122" s="252">
        <v>0</v>
      </c>
      <c r="K122" s="252">
        <v>9.5275704197770672</v>
      </c>
      <c r="L122" s="252">
        <v>0</v>
      </c>
      <c r="M122" s="252">
        <v>0</v>
      </c>
      <c r="N122" s="252">
        <v>0.29097709835715008</v>
      </c>
      <c r="O122" s="252">
        <v>0.25393860717582051</v>
      </c>
      <c r="P122" s="252">
        <v>0.23853713604914834</v>
      </c>
      <c r="Q122" s="252">
        <v>0.36585601396957829</v>
      </c>
      <c r="R122" s="252">
        <v>0</v>
      </c>
      <c r="S122" s="252">
        <v>8.9840855253129261E-3</v>
      </c>
      <c r="T122" s="252">
        <v>0</v>
      </c>
      <c r="U122" s="252">
        <v>0</v>
      </c>
      <c r="V122" s="252">
        <v>0</v>
      </c>
      <c r="W122" s="252">
        <v>0</v>
      </c>
      <c r="X122" s="252">
        <v>0</v>
      </c>
      <c r="Y122" s="252">
        <v>0</v>
      </c>
      <c r="Z122" s="252">
        <v>0</v>
      </c>
      <c r="AA122" s="252">
        <v>0</v>
      </c>
      <c r="AB122" s="252">
        <v>0</v>
      </c>
      <c r="AC122" s="252">
        <v>0</v>
      </c>
      <c r="AD122" s="252">
        <v>0</v>
      </c>
      <c r="AE122" s="252">
        <v>0</v>
      </c>
      <c r="AF122" s="252">
        <v>-130.30060511946388</v>
      </c>
      <c r="AG122" s="252">
        <v>-123.53565520208147</v>
      </c>
      <c r="AH122" s="252"/>
      <c r="AI122" s="252"/>
      <c r="AJ122" s="255">
        <v>2.5999999999999999E-2</v>
      </c>
      <c r="AK122" s="160" t="s">
        <v>245</v>
      </c>
      <c r="AL122" s="160" t="s">
        <v>247</v>
      </c>
      <c r="AM122" s="160"/>
      <c r="AN122" s="160">
        <v>5</v>
      </c>
      <c r="AO122" s="160"/>
      <c r="AP122" s="160"/>
      <c r="AQ122" s="160"/>
      <c r="AR122" s="160"/>
      <c r="AS122" s="160"/>
      <c r="AT122" s="160"/>
      <c r="AU122" s="160"/>
      <c r="AV122" s="160"/>
      <c r="AW122" s="160"/>
      <c r="AX122" s="160"/>
      <c r="AY122" s="160"/>
      <c r="AZ122" s="160"/>
      <c r="BA122" s="160"/>
      <c r="BB122" s="160"/>
      <c r="BC122" s="160"/>
      <c r="BD122" s="160"/>
      <c r="BE122" s="160"/>
      <c r="BF122" s="160"/>
      <c r="BG122" s="160"/>
      <c r="BH122" s="160"/>
      <c r="BI122" s="160"/>
      <c r="BJ122" s="160"/>
      <c r="BK122" s="160"/>
      <c r="BL122" s="160"/>
      <c r="BM122" s="160"/>
      <c r="BN122" s="160"/>
      <c r="BO122" s="160"/>
      <c r="BP122" s="160"/>
      <c r="BQ122" s="160"/>
      <c r="BR122" s="160"/>
      <c r="BS122" s="160"/>
      <c r="BT122" s="160"/>
      <c r="BU122" s="160"/>
      <c r="BV122" s="160"/>
      <c r="BW122" s="160"/>
      <c r="BX122" s="160"/>
      <c r="BY122" s="160"/>
      <c r="BZ122" s="160"/>
      <c r="CA122" s="160"/>
      <c r="CB122" s="160"/>
      <c r="CC122" s="160"/>
      <c r="CD122" s="160">
        <v>3</v>
      </c>
      <c r="CE122" s="160"/>
      <c r="CF122" s="160">
        <v>-9.9</v>
      </c>
      <c r="CG122" s="160"/>
      <c r="CH122" s="160">
        <v>121</v>
      </c>
    </row>
    <row r="123" spans="1:86" x14ac:dyDescent="0.25">
      <c r="A123" s="241" t="s">
        <v>734</v>
      </c>
      <c r="B123" s="241">
        <v>0</v>
      </c>
      <c r="C123" s="241">
        <v>650</v>
      </c>
      <c r="D123" s="241">
        <v>1000</v>
      </c>
      <c r="E123" s="241" t="s">
        <v>264</v>
      </c>
      <c r="F123" s="241" t="s">
        <v>264</v>
      </c>
      <c r="G123" s="265">
        <v>7980000</v>
      </c>
      <c r="H123" s="250">
        <v>9.9609769197369875</v>
      </c>
      <c r="I123" s="250">
        <v>17.836650581397006</v>
      </c>
      <c r="J123" s="250">
        <v>1.1130023099536577</v>
      </c>
      <c r="K123" s="250">
        <v>68.441329812886053</v>
      </c>
      <c r="L123" s="250">
        <v>0</v>
      </c>
      <c r="M123" s="250">
        <v>0</v>
      </c>
      <c r="N123" s="250">
        <v>1.5347417517169877</v>
      </c>
      <c r="O123" s="250">
        <v>0</v>
      </c>
      <c r="P123" s="250">
        <v>0</v>
      </c>
      <c r="Q123" s="250">
        <v>0.6003468269087312</v>
      </c>
      <c r="R123" s="250">
        <v>0.15913606453162724</v>
      </c>
      <c r="S123" s="250">
        <v>0.35381573286894863</v>
      </c>
      <c r="T123" s="250">
        <v>0</v>
      </c>
      <c r="U123" s="250">
        <v>0</v>
      </c>
      <c r="V123" s="250">
        <v>0</v>
      </c>
      <c r="W123" s="250">
        <v>0</v>
      </c>
      <c r="X123" s="250">
        <v>0</v>
      </c>
      <c r="Y123" s="250">
        <v>0</v>
      </c>
      <c r="Z123" s="250">
        <v>0</v>
      </c>
      <c r="AA123" s="250">
        <v>0</v>
      </c>
      <c r="AB123" s="250">
        <v>0</v>
      </c>
      <c r="AC123" s="250">
        <v>0</v>
      </c>
      <c r="AD123" s="250">
        <v>0</v>
      </c>
      <c r="AE123" s="250">
        <v>0</v>
      </c>
      <c r="AF123" s="250">
        <v>-138.72039523538314</v>
      </c>
      <c r="AG123" s="250">
        <v>-138.72039523538314</v>
      </c>
      <c r="AH123" s="250">
        <v>125</v>
      </c>
      <c r="AI123" s="250">
        <v>65</v>
      </c>
      <c r="AJ123" s="250">
        <v>20</v>
      </c>
      <c r="AK123" s="241" t="s">
        <v>228</v>
      </c>
      <c r="AL123" s="241" t="s">
        <v>230</v>
      </c>
      <c r="AM123" s="241"/>
      <c r="AN123" s="241">
        <v>0</v>
      </c>
      <c r="AO123" s="241">
        <v>21</v>
      </c>
      <c r="AP123" s="241"/>
      <c r="AQ123" s="241"/>
      <c r="AR123" s="241">
        <v>23</v>
      </c>
      <c r="AS123" s="241">
        <v>6.5</v>
      </c>
      <c r="AT123" s="241">
        <v>1</v>
      </c>
      <c r="AU123" s="241">
        <v>3.9</v>
      </c>
      <c r="AV123" s="241"/>
      <c r="AW123" s="241"/>
      <c r="AX123" s="241">
        <v>9.4</v>
      </c>
      <c r="AY123" s="241">
        <v>1.8</v>
      </c>
      <c r="AZ123" s="241"/>
      <c r="BA123" s="241"/>
      <c r="BB123" s="241"/>
      <c r="BC123" s="241"/>
      <c r="BD123" s="241"/>
      <c r="BE123" s="241"/>
      <c r="BF123" s="241">
        <v>0.5</v>
      </c>
      <c r="BG123" s="241"/>
      <c r="BH123" s="241"/>
      <c r="BI123" s="241"/>
      <c r="BJ123" s="241"/>
      <c r="BK123" s="241"/>
      <c r="BL123" s="241"/>
      <c r="BM123" s="241"/>
      <c r="BN123" s="241"/>
      <c r="BO123" s="241"/>
      <c r="BP123" s="241"/>
      <c r="BQ123" s="241"/>
      <c r="BR123" s="241"/>
      <c r="BS123" s="241"/>
      <c r="BT123" s="241"/>
      <c r="BU123" s="241"/>
      <c r="BV123" s="241"/>
      <c r="BW123" s="241"/>
      <c r="BX123" s="241"/>
      <c r="BY123" s="241"/>
      <c r="BZ123" s="241"/>
      <c r="CA123" s="241">
        <v>3.6</v>
      </c>
      <c r="CB123" s="241"/>
      <c r="CC123" s="241"/>
      <c r="CD123" s="241">
        <v>0</v>
      </c>
      <c r="CE123" s="241"/>
      <c r="CF123" s="241"/>
      <c r="CG123" s="241">
        <v>-0.38</v>
      </c>
      <c r="CH123" s="241">
        <v>122</v>
      </c>
    </row>
    <row r="124" spans="1:86" x14ac:dyDescent="0.25">
      <c r="A124" s="159" t="s">
        <v>735</v>
      </c>
      <c r="B124" s="159">
        <v>0</v>
      </c>
      <c r="C124" s="159">
        <v>550</v>
      </c>
      <c r="D124" s="159">
        <v>1000</v>
      </c>
      <c r="E124" s="159" t="s">
        <v>264</v>
      </c>
      <c r="F124" s="159" t="s">
        <v>264</v>
      </c>
      <c r="G124" s="264">
        <v>7980000</v>
      </c>
      <c r="H124" s="249">
        <v>9.9609769197369875</v>
      </c>
      <c r="I124" s="249">
        <v>17.836650581397006</v>
      </c>
      <c r="J124" s="249">
        <v>1.1130023099536577</v>
      </c>
      <c r="K124" s="249">
        <v>68.441329812886053</v>
      </c>
      <c r="L124" s="249">
        <v>0</v>
      </c>
      <c r="M124" s="249">
        <v>0</v>
      </c>
      <c r="N124" s="249">
        <v>1.5347417517169877</v>
      </c>
      <c r="O124" s="249">
        <v>0</v>
      </c>
      <c r="P124" s="249">
        <v>0</v>
      </c>
      <c r="Q124" s="249">
        <v>0.6003468269087312</v>
      </c>
      <c r="R124" s="249">
        <v>0.15913606453162724</v>
      </c>
      <c r="S124" s="249">
        <v>0.35381573286894863</v>
      </c>
      <c r="T124" s="249">
        <v>0</v>
      </c>
      <c r="U124" s="249">
        <v>0</v>
      </c>
      <c r="V124" s="249">
        <v>0</v>
      </c>
      <c r="W124" s="249">
        <v>0</v>
      </c>
      <c r="X124" s="249">
        <v>0</v>
      </c>
      <c r="Y124" s="249">
        <v>0</v>
      </c>
      <c r="Z124" s="249">
        <v>0</v>
      </c>
      <c r="AA124" s="249">
        <v>0</v>
      </c>
      <c r="AB124" s="249">
        <v>0</v>
      </c>
      <c r="AC124" s="249">
        <v>0</v>
      </c>
      <c r="AD124" s="249">
        <v>0</v>
      </c>
      <c r="AE124" s="249">
        <v>0</v>
      </c>
      <c r="AF124" s="249">
        <v>-141.96938378108504</v>
      </c>
      <c r="AG124" s="249">
        <v>-141.96938378108504</v>
      </c>
      <c r="AH124" s="249">
        <v>125</v>
      </c>
      <c r="AI124" s="249">
        <v>65</v>
      </c>
      <c r="AJ124" s="249">
        <v>20</v>
      </c>
      <c r="AK124" s="159" t="s">
        <v>228</v>
      </c>
      <c r="AL124" s="159" t="s">
        <v>230</v>
      </c>
      <c r="AM124" s="159"/>
      <c r="AN124" s="159">
        <v>0</v>
      </c>
      <c r="AO124" s="159">
        <v>21</v>
      </c>
      <c r="AP124" s="159"/>
      <c r="AQ124" s="159"/>
      <c r="AR124" s="159">
        <v>23</v>
      </c>
      <c r="AS124" s="159">
        <v>6.5</v>
      </c>
      <c r="AT124" s="159">
        <v>1</v>
      </c>
      <c r="AU124" s="159">
        <v>3.9</v>
      </c>
      <c r="AV124" s="159"/>
      <c r="AW124" s="159"/>
      <c r="AX124" s="159">
        <v>9.4</v>
      </c>
      <c r="AY124" s="159">
        <v>1.8</v>
      </c>
      <c r="AZ124" s="159"/>
      <c r="BA124" s="159"/>
      <c r="BB124" s="159"/>
      <c r="BC124" s="159"/>
      <c r="BD124" s="159"/>
      <c r="BE124" s="159"/>
      <c r="BF124" s="159">
        <v>0.5</v>
      </c>
      <c r="BG124" s="159"/>
      <c r="BH124" s="159"/>
      <c r="BI124" s="159"/>
      <c r="BJ124" s="159"/>
      <c r="BK124" s="159"/>
      <c r="BL124" s="159"/>
      <c r="BM124" s="159"/>
      <c r="BN124" s="159"/>
      <c r="BO124" s="159"/>
      <c r="BP124" s="159"/>
      <c r="BQ124" s="159"/>
      <c r="BR124" s="159"/>
      <c r="BS124" s="159"/>
      <c r="BT124" s="159"/>
      <c r="BU124" s="159"/>
      <c r="BV124" s="159"/>
      <c r="BW124" s="159"/>
      <c r="BX124" s="159"/>
      <c r="BY124" s="159"/>
      <c r="BZ124" s="159"/>
      <c r="CA124" s="159">
        <v>3.6</v>
      </c>
      <c r="CB124" s="159"/>
      <c r="CC124" s="159"/>
      <c r="CD124" s="159">
        <v>0</v>
      </c>
      <c r="CE124" s="159"/>
      <c r="CF124" s="159"/>
      <c r="CG124" s="159">
        <v>-0.28999999999999998</v>
      </c>
      <c r="CH124" s="159">
        <v>123</v>
      </c>
    </row>
    <row r="125" spans="1:86" x14ac:dyDescent="0.25">
      <c r="A125" s="241" t="s">
        <v>736</v>
      </c>
      <c r="B125" s="241">
        <v>2</v>
      </c>
      <c r="C125" s="241">
        <v>650</v>
      </c>
      <c r="D125" s="241">
        <v>1000</v>
      </c>
      <c r="E125" s="241" t="s">
        <v>264</v>
      </c>
      <c r="F125" s="241" t="s">
        <v>264</v>
      </c>
      <c r="G125" s="265">
        <v>7980000</v>
      </c>
      <c r="H125" s="250">
        <v>9.9609769197369875</v>
      </c>
      <c r="I125" s="250">
        <v>17.836650581397006</v>
      </c>
      <c r="J125" s="250">
        <v>1.1130023099536577</v>
      </c>
      <c r="K125" s="250">
        <v>68.441329812886053</v>
      </c>
      <c r="L125" s="250">
        <v>0</v>
      </c>
      <c r="M125" s="250">
        <v>0</v>
      </c>
      <c r="N125" s="250">
        <v>1.5347417517169877</v>
      </c>
      <c r="O125" s="250">
        <v>0</v>
      </c>
      <c r="P125" s="250">
        <v>0</v>
      </c>
      <c r="Q125" s="250">
        <v>0.6003468269087312</v>
      </c>
      <c r="R125" s="250">
        <v>0.15913606453162724</v>
      </c>
      <c r="S125" s="250">
        <v>0.35381573286894863</v>
      </c>
      <c r="T125" s="250">
        <v>0</v>
      </c>
      <c r="U125" s="250">
        <v>0</v>
      </c>
      <c r="V125" s="250">
        <v>0</v>
      </c>
      <c r="W125" s="250">
        <v>0</v>
      </c>
      <c r="X125" s="250">
        <v>0</v>
      </c>
      <c r="Y125" s="250">
        <v>0</v>
      </c>
      <c r="Z125" s="250">
        <v>0</v>
      </c>
      <c r="AA125" s="250">
        <v>0</v>
      </c>
      <c r="AB125" s="250">
        <v>0</v>
      </c>
      <c r="AC125" s="250">
        <v>0</v>
      </c>
      <c r="AD125" s="250">
        <v>0</v>
      </c>
      <c r="AE125" s="250">
        <v>0</v>
      </c>
      <c r="AF125" s="250">
        <v>-138.72039523538314</v>
      </c>
      <c r="AG125" s="250">
        <v>-138.72039523538314</v>
      </c>
      <c r="AH125" s="250">
        <v>25</v>
      </c>
      <c r="AI125" s="250">
        <v>19</v>
      </c>
      <c r="AJ125" s="250">
        <v>1.8</v>
      </c>
      <c r="AK125" s="241" t="s">
        <v>228</v>
      </c>
      <c r="AL125" s="241" t="s">
        <v>230</v>
      </c>
      <c r="AM125" s="241"/>
      <c r="AN125" s="241">
        <v>0</v>
      </c>
      <c r="AO125" s="241">
        <v>21</v>
      </c>
      <c r="AP125" s="241"/>
      <c r="AQ125" s="241"/>
      <c r="AR125" s="241">
        <v>23</v>
      </c>
      <c r="AS125" s="241">
        <v>6.5</v>
      </c>
      <c r="AT125" s="241">
        <v>1</v>
      </c>
      <c r="AU125" s="241">
        <v>3.9</v>
      </c>
      <c r="AV125" s="241"/>
      <c r="AW125" s="241"/>
      <c r="AX125" s="241">
        <v>9.4</v>
      </c>
      <c r="AY125" s="241">
        <v>1.8</v>
      </c>
      <c r="AZ125" s="241"/>
      <c r="BA125" s="241"/>
      <c r="BB125" s="241"/>
      <c r="BC125" s="241"/>
      <c r="BD125" s="241"/>
      <c r="BE125" s="241"/>
      <c r="BF125" s="241">
        <v>0.5</v>
      </c>
      <c r="BG125" s="241"/>
      <c r="BH125" s="241"/>
      <c r="BI125" s="241"/>
      <c r="BJ125" s="241"/>
      <c r="BK125" s="241"/>
      <c r="BL125" s="241"/>
      <c r="BM125" s="241"/>
      <c r="BN125" s="241"/>
      <c r="BO125" s="241"/>
      <c r="BP125" s="241"/>
      <c r="BQ125" s="241"/>
      <c r="BR125" s="241"/>
      <c r="BS125" s="241"/>
      <c r="BT125" s="241"/>
      <c r="BU125" s="241"/>
      <c r="BV125" s="241"/>
      <c r="BW125" s="241"/>
      <c r="BX125" s="241"/>
      <c r="BY125" s="241"/>
      <c r="BZ125" s="241"/>
      <c r="CA125" s="241">
        <v>3.6</v>
      </c>
      <c r="CB125" s="241"/>
      <c r="CC125" s="241"/>
      <c r="CD125" s="241">
        <v>0</v>
      </c>
      <c r="CE125" s="241"/>
      <c r="CF125" s="241">
        <v>-13.57</v>
      </c>
      <c r="CG125" s="241">
        <v>-3</v>
      </c>
      <c r="CH125" s="241">
        <v>124</v>
      </c>
    </row>
    <row r="126" spans="1:86" x14ac:dyDescent="0.25">
      <c r="A126" s="159" t="s">
        <v>858</v>
      </c>
      <c r="B126" s="159">
        <v>2</v>
      </c>
      <c r="C126" s="159">
        <v>636</v>
      </c>
      <c r="D126" s="159">
        <v>1000</v>
      </c>
      <c r="E126" s="159" t="s">
        <v>264</v>
      </c>
      <c r="F126" s="159" t="s">
        <v>264</v>
      </c>
      <c r="G126" s="264">
        <v>7980000</v>
      </c>
      <c r="H126" s="249">
        <v>9.9609769197369875</v>
      </c>
      <c r="I126" s="249">
        <v>17.836650581397006</v>
      </c>
      <c r="J126" s="249">
        <v>1.1130023099536577</v>
      </c>
      <c r="K126" s="249">
        <v>68.441329812886053</v>
      </c>
      <c r="L126" s="249">
        <v>0</v>
      </c>
      <c r="M126" s="249">
        <v>0</v>
      </c>
      <c r="N126" s="249">
        <v>1.5347417517169877</v>
      </c>
      <c r="O126" s="249">
        <v>0</v>
      </c>
      <c r="P126" s="249">
        <v>0</v>
      </c>
      <c r="Q126" s="249">
        <v>0.6003468269087312</v>
      </c>
      <c r="R126" s="249">
        <v>0.15913606453162724</v>
      </c>
      <c r="S126" s="249">
        <v>0.35381573286894863</v>
      </c>
      <c r="T126" s="249">
        <v>0</v>
      </c>
      <c r="U126" s="249">
        <v>0</v>
      </c>
      <c r="V126" s="249">
        <v>0</v>
      </c>
      <c r="W126" s="249">
        <v>0</v>
      </c>
      <c r="X126" s="249">
        <v>0</v>
      </c>
      <c r="Y126" s="249">
        <v>0</v>
      </c>
      <c r="Z126" s="249">
        <v>0</v>
      </c>
      <c r="AA126" s="249">
        <v>0</v>
      </c>
      <c r="AB126" s="249">
        <v>0</v>
      </c>
      <c r="AC126" s="249">
        <v>0</v>
      </c>
      <c r="AD126" s="249">
        <v>0</v>
      </c>
      <c r="AE126" s="249">
        <v>0</v>
      </c>
      <c r="AF126" s="249">
        <v>-139.17525363178143</v>
      </c>
      <c r="AG126" s="249">
        <v>-139.17525363178143</v>
      </c>
      <c r="AH126" s="249">
        <v>25</v>
      </c>
      <c r="AI126" s="249">
        <v>19</v>
      </c>
      <c r="AJ126" s="249">
        <v>1.8</v>
      </c>
      <c r="AK126" s="159" t="s">
        <v>228</v>
      </c>
      <c r="AL126" s="159" t="s">
        <v>230</v>
      </c>
      <c r="AM126" s="159"/>
      <c r="AN126" s="159">
        <v>0</v>
      </c>
      <c r="AO126" s="159">
        <v>21</v>
      </c>
      <c r="AP126" s="159"/>
      <c r="AQ126" s="159"/>
      <c r="AR126" s="159">
        <v>23</v>
      </c>
      <c r="AS126" s="159">
        <v>6.5</v>
      </c>
      <c r="AT126" s="159">
        <v>1</v>
      </c>
      <c r="AU126" s="159">
        <v>3.9</v>
      </c>
      <c r="AV126" s="159"/>
      <c r="AW126" s="159"/>
      <c r="AX126" s="159">
        <v>9.4</v>
      </c>
      <c r="AY126" s="159">
        <v>1.8</v>
      </c>
      <c r="AZ126" s="159"/>
      <c r="BA126" s="159"/>
      <c r="BB126" s="159"/>
      <c r="BC126" s="159"/>
      <c r="BD126" s="159"/>
      <c r="BE126" s="159"/>
      <c r="BF126" s="159">
        <v>0.5</v>
      </c>
      <c r="BG126" s="159"/>
      <c r="BH126" s="159"/>
      <c r="BI126" s="159"/>
      <c r="BJ126" s="159"/>
      <c r="BK126" s="159"/>
      <c r="BL126" s="159"/>
      <c r="BM126" s="159"/>
      <c r="BN126" s="159"/>
      <c r="BO126" s="159"/>
      <c r="BP126" s="159"/>
      <c r="BQ126" s="159"/>
      <c r="BR126" s="159"/>
      <c r="BS126" s="159"/>
      <c r="BT126" s="159"/>
      <c r="BU126" s="159"/>
      <c r="BV126" s="159"/>
      <c r="BW126" s="159"/>
      <c r="BX126" s="159"/>
      <c r="BY126" s="159"/>
      <c r="BZ126" s="159"/>
      <c r="CA126" s="159">
        <v>3.6</v>
      </c>
      <c r="CB126" s="159"/>
      <c r="CC126" s="159"/>
      <c r="CD126" s="159">
        <v>0</v>
      </c>
      <c r="CE126" s="159"/>
      <c r="CF126" s="159">
        <v>2</v>
      </c>
      <c r="CG126" s="159">
        <v>-1.5</v>
      </c>
      <c r="CH126" s="159">
        <v>125</v>
      </c>
    </row>
    <row r="127" spans="1:86" x14ac:dyDescent="0.25">
      <c r="A127" s="241" t="s">
        <v>859</v>
      </c>
      <c r="B127" s="241">
        <v>2</v>
      </c>
      <c r="C127" s="241">
        <v>575</v>
      </c>
      <c r="D127" s="241">
        <v>1000</v>
      </c>
      <c r="E127" s="241" t="s">
        <v>264</v>
      </c>
      <c r="F127" s="241" t="s">
        <v>264</v>
      </c>
      <c r="G127" s="265">
        <v>7980000</v>
      </c>
      <c r="H127" s="250">
        <v>9.9609769197369875</v>
      </c>
      <c r="I127" s="250">
        <v>17.836650581397006</v>
      </c>
      <c r="J127" s="250">
        <v>1.1130023099536577</v>
      </c>
      <c r="K127" s="250">
        <v>68.441329812886053</v>
      </c>
      <c r="L127" s="250">
        <v>0</v>
      </c>
      <c r="M127" s="250">
        <v>0</v>
      </c>
      <c r="N127" s="250">
        <v>1.5347417517169877</v>
      </c>
      <c r="O127" s="250">
        <v>0</v>
      </c>
      <c r="P127" s="250">
        <v>0</v>
      </c>
      <c r="Q127" s="250">
        <v>0.6003468269087312</v>
      </c>
      <c r="R127" s="250">
        <v>0.15913606453162724</v>
      </c>
      <c r="S127" s="250">
        <v>0.35381573286894863</v>
      </c>
      <c r="T127" s="250">
        <v>0</v>
      </c>
      <c r="U127" s="250">
        <v>0</v>
      </c>
      <c r="V127" s="250">
        <v>0</v>
      </c>
      <c r="W127" s="250">
        <v>0</v>
      </c>
      <c r="X127" s="250">
        <v>0</v>
      </c>
      <c r="Y127" s="250">
        <v>0</v>
      </c>
      <c r="Z127" s="250">
        <v>0</v>
      </c>
      <c r="AA127" s="250">
        <v>0</v>
      </c>
      <c r="AB127" s="250">
        <v>0</v>
      </c>
      <c r="AC127" s="250">
        <v>0</v>
      </c>
      <c r="AD127" s="250">
        <v>0</v>
      </c>
      <c r="AE127" s="250">
        <v>0</v>
      </c>
      <c r="AF127" s="250">
        <v>-141.15713664465957</v>
      </c>
      <c r="AG127" s="250">
        <v>-141.15713664465957</v>
      </c>
      <c r="AH127" s="250">
        <v>25</v>
      </c>
      <c r="AI127" s="250">
        <v>19</v>
      </c>
      <c r="AJ127" s="250">
        <v>1.8</v>
      </c>
      <c r="AK127" s="241" t="s">
        <v>228</v>
      </c>
      <c r="AL127" s="241" t="s">
        <v>230</v>
      </c>
      <c r="AM127" s="241"/>
      <c r="AN127" s="241">
        <v>0</v>
      </c>
      <c r="AO127" s="241">
        <v>21</v>
      </c>
      <c r="AP127" s="241"/>
      <c r="AQ127" s="241"/>
      <c r="AR127" s="241">
        <v>23</v>
      </c>
      <c r="AS127" s="241">
        <v>6.5</v>
      </c>
      <c r="AT127" s="241">
        <v>1</v>
      </c>
      <c r="AU127" s="241">
        <v>3.9</v>
      </c>
      <c r="AV127" s="241"/>
      <c r="AW127" s="241"/>
      <c r="AX127" s="241">
        <v>9.4</v>
      </c>
      <c r="AY127" s="241">
        <v>1.8</v>
      </c>
      <c r="AZ127" s="241"/>
      <c r="BA127" s="241"/>
      <c r="BB127" s="241"/>
      <c r="BC127" s="241"/>
      <c r="BD127" s="241"/>
      <c r="BE127" s="241"/>
      <c r="BF127" s="241">
        <v>0.5</v>
      </c>
      <c r="BG127" s="241"/>
      <c r="BH127" s="241"/>
      <c r="BI127" s="241"/>
      <c r="BJ127" s="241"/>
      <c r="BK127" s="241"/>
      <c r="BL127" s="241"/>
      <c r="BM127" s="241"/>
      <c r="BN127" s="241"/>
      <c r="BO127" s="241"/>
      <c r="BP127" s="241"/>
      <c r="BQ127" s="241"/>
      <c r="BR127" s="241"/>
      <c r="BS127" s="241"/>
      <c r="BT127" s="241"/>
      <c r="BU127" s="241"/>
      <c r="BV127" s="241"/>
      <c r="BW127" s="241"/>
      <c r="BX127" s="241"/>
      <c r="BY127" s="241"/>
      <c r="BZ127" s="241"/>
      <c r="CA127" s="241">
        <v>3.6</v>
      </c>
      <c r="CB127" s="241"/>
      <c r="CC127" s="241"/>
      <c r="CD127" s="241">
        <v>0</v>
      </c>
      <c r="CE127" s="241"/>
      <c r="CF127" s="241">
        <v>6</v>
      </c>
      <c r="CG127" s="241">
        <v>-1</v>
      </c>
      <c r="CH127" s="241">
        <v>126</v>
      </c>
    </row>
    <row r="128" spans="1:86" x14ac:dyDescent="0.25">
      <c r="A128" s="159" t="s">
        <v>860</v>
      </c>
      <c r="B128" s="159">
        <v>2</v>
      </c>
      <c r="C128" s="159">
        <v>565</v>
      </c>
      <c r="D128" s="159">
        <v>1000</v>
      </c>
      <c r="E128" s="159" t="s">
        <v>264</v>
      </c>
      <c r="F128" s="159" t="s">
        <v>264</v>
      </c>
      <c r="G128" s="264">
        <v>7980000</v>
      </c>
      <c r="H128" s="249">
        <v>9.9609769197369875</v>
      </c>
      <c r="I128" s="249">
        <v>17.836650581397006</v>
      </c>
      <c r="J128" s="249">
        <v>1.1130023099536577</v>
      </c>
      <c r="K128" s="249">
        <v>68.441329812886053</v>
      </c>
      <c r="L128" s="249">
        <v>0</v>
      </c>
      <c r="M128" s="249">
        <v>0</v>
      </c>
      <c r="N128" s="249">
        <v>1.5347417517169877</v>
      </c>
      <c r="O128" s="249">
        <v>0</v>
      </c>
      <c r="P128" s="249">
        <v>0</v>
      </c>
      <c r="Q128" s="249">
        <v>0.6003468269087312</v>
      </c>
      <c r="R128" s="249">
        <v>0.15913606453162724</v>
      </c>
      <c r="S128" s="249">
        <v>0.35381573286894863</v>
      </c>
      <c r="T128" s="249">
        <v>0</v>
      </c>
      <c r="U128" s="249">
        <v>0</v>
      </c>
      <c r="V128" s="249">
        <v>0</v>
      </c>
      <c r="W128" s="249">
        <v>0</v>
      </c>
      <c r="X128" s="249">
        <v>0</v>
      </c>
      <c r="Y128" s="249">
        <v>0</v>
      </c>
      <c r="Z128" s="249">
        <v>0</v>
      </c>
      <c r="AA128" s="249">
        <v>0</v>
      </c>
      <c r="AB128" s="249">
        <v>0</v>
      </c>
      <c r="AC128" s="249">
        <v>0</v>
      </c>
      <c r="AD128" s="249">
        <v>0</v>
      </c>
      <c r="AE128" s="249">
        <v>0</v>
      </c>
      <c r="AF128" s="249">
        <v>-141.48203549922974</v>
      </c>
      <c r="AG128" s="249">
        <v>-141.48203549922974</v>
      </c>
      <c r="AH128" s="249">
        <v>25</v>
      </c>
      <c r="AI128" s="249">
        <v>19</v>
      </c>
      <c r="AJ128" s="249">
        <v>1.8</v>
      </c>
      <c r="AK128" s="159" t="s">
        <v>228</v>
      </c>
      <c r="AL128" s="159" t="s">
        <v>230</v>
      </c>
      <c r="AM128" s="159"/>
      <c r="AN128" s="159">
        <v>0</v>
      </c>
      <c r="AO128" s="159">
        <v>21</v>
      </c>
      <c r="AP128" s="159"/>
      <c r="AQ128" s="159"/>
      <c r="AR128" s="159">
        <v>23</v>
      </c>
      <c r="AS128" s="159">
        <v>6.5</v>
      </c>
      <c r="AT128" s="159">
        <v>1</v>
      </c>
      <c r="AU128" s="159">
        <v>3.9</v>
      </c>
      <c r="AV128" s="159"/>
      <c r="AW128" s="159"/>
      <c r="AX128" s="159">
        <v>9.4</v>
      </c>
      <c r="AY128" s="159">
        <v>1.8</v>
      </c>
      <c r="AZ128" s="159"/>
      <c r="BA128" s="159"/>
      <c r="BB128" s="159"/>
      <c r="BC128" s="159"/>
      <c r="BD128" s="159"/>
      <c r="BE128" s="159"/>
      <c r="BF128" s="159">
        <v>0.5</v>
      </c>
      <c r="BG128" s="159"/>
      <c r="BH128" s="159"/>
      <c r="BI128" s="159"/>
      <c r="BJ128" s="159"/>
      <c r="BK128" s="159"/>
      <c r="BL128" s="159"/>
      <c r="BM128" s="159"/>
      <c r="BN128" s="159"/>
      <c r="BO128" s="159"/>
      <c r="BP128" s="159"/>
      <c r="BQ128" s="159"/>
      <c r="BR128" s="159"/>
      <c r="BS128" s="159"/>
      <c r="BT128" s="159"/>
      <c r="BU128" s="159"/>
      <c r="BV128" s="159"/>
      <c r="BW128" s="159"/>
      <c r="BX128" s="159"/>
      <c r="BY128" s="159"/>
      <c r="BZ128" s="159"/>
      <c r="CA128" s="159">
        <v>3.6</v>
      </c>
      <c r="CB128" s="159"/>
      <c r="CC128" s="159"/>
      <c r="CD128" s="159">
        <v>0</v>
      </c>
      <c r="CE128" s="159"/>
      <c r="CF128" s="159">
        <v>2.98</v>
      </c>
      <c r="CG128" s="159">
        <v>-0.53</v>
      </c>
      <c r="CH128" s="159">
        <v>127</v>
      </c>
    </row>
    <row r="129" spans="1:86" x14ac:dyDescent="0.25">
      <c r="A129" s="241" t="s">
        <v>861</v>
      </c>
      <c r="B129" s="241">
        <v>2</v>
      </c>
      <c r="C129" s="241">
        <v>556</v>
      </c>
      <c r="D129" s="241">
        <v>1000</v>
      </c>
      <c r="E129" s="241" t="s">
        <v>264</v>
      </c>
      <c r="F129" s="241" t="s">
        <v>264</v>
      </c>
      <c r="G129" s="265">
        <v>7980000</v>
      </c>
      <c r="H129" s="250">
        <v>9.9609769197369875</v>
      </c>
      <c r="I129" s="250">
        <v>17.836650581397006</v>
      </c>
      <c r="J129" s="250">
        <v>1.1130023099536577</v>
      </c>
      <c r="K129" s="250">
        <v>68.441329812886053</v>
      </c>
      <c r="L129" s="250">
        <v>0</v>
      </c>
      <c r="M129" s="250">
        <v>0</v>
      </c>
      <c r="N129" s="250">
        <v>1.5347417517169877</v>
      </c>
      <c r="O129" s="250">
        <v>0</v>
      </c>
      <c r="P129" s="250">
        <v>0</v>
      </c>
      <c r="Q129" s="250">
        <v>0.6003468269087312</v>
      </c>
      <c r="R129" s="250">
        <v>0.15913606453162724</v>
      </c>
      <c r="S129" s="250">
        <v>0.35381573286894863</v>
      </c>
      <c r="T129" s="250">
        <v>0</v>
      </c>
      <c r="U129" s="250">
        <v>0</v>
      </c>
      <c r="V129" s="250">
        <v>0</v>
      </c>
      <c r="W129" s="250">
        <v>0</v>
      </c>
      <c r="X129" s="250">
        <v>0</v>
      </c>
      <c r="Y129" s="250">
        <v>0</v>
      </c>
      <c r="Z129" s="250">
        <v>0</v>
      </c>
      <c r="AA129" s="250">
        <v>0</v>
      </c>
      <c r="AB129" s="250">
        <v>0</v>
      </c>
      <c r="AC129" s="250">
        <v>0</v>
      </c>
      <c r="AD129" s="250">
        <v>0</v>
      </c>
      <c r="AE129" s="250">
        <v>0</v>
      </c>
      <c r="AF129" s="250">
        <v>-141.77444446834292</v>
      </c>
      <c r="AG129" s="250">
        <v>-141.77444446834292</v>
      </c>
      <c r="AH129" s="250">
        <v>25</v>
      </c>
      <c r="AI129" s="250">
        <v>19</v>
      </c>
      <c r="AJ129" s="250">
        <v>1.8</v>
      </c>
      <c r="AK129" s="241" t="s">
        <v>228</v>
      </c>
      <c r="AL129" s="241" t="s">
        <v>230</v>
      </c>
      <c r="AM129" s="241"/>
      <c r="AN129" s="241">
        <v>0</v>
      </c>
      <c r="AO129" s="241">
        <v>21</v>
      </c>
      <c r="AP129" s="241"/>
      <c r="AQ129" s="241"/>
      <c r="AR129" s="241">
        <v>23</v>
      </c>
      <c r="AS129" s="241">
        <v>6.5</v>
      </c>
      <c r="AT129" s="241">
        <v>1</v>
      </c>
      <c r="AU129" s="241">
        <v>3.9</v>
      </c>
      <c r="AV129" s="241"/>
      <c r="AW129" s="241"/>
      <c r="AX129" s="241">
        <v>9.4</v>
      </c>
      <c r="AY129" s="241">
        <v>1.8</v>
      </c>
      <c r="AZ129" s="241"/>
      <c r="BA129" s="241"/>
      <c r="BB129" s="241"/>
      <c r="BC129" s="241"/>
      <c r="BD129" s="241"/>
      <c r="BE129" s="241"/>
      <c r="BF129" s="241">
        <v>0.5</v>
      </c>
      <c r="BG129" s="241"/>
      <c r="BH129" s="241"/>
      <c r="BI129" s="241"/>
      <c r="BJ129" s="241"/>
      <c r="BK129" s="241"/>
      <c r="BL129" s="241"/>
      <c r="BM129" s="241"/>
      <c r="BN129" s="241"/>
      <c r="BO129" s="241"/>
      <c r="BP129" s="241"/>
      <c r="BQ129" s="241"/>
      <c r="BR129" s="241"/>
      <c r="BS129" s="241"/>
      <c r="BT129" s="241"/>
      <c r="BU129" s="241"/>
      <c r="BV129" s="241"/>
      <c r="BW129" s="241"/>
      <c r="BX129" s="241"/>
      <c r="BY129" s="241"/>
      <c r="BZ129" s="241"/>
      <c r="CA129" s="241">
        <v>3.6</v>
      </c>
      <c r="CB129" s="241"/>
      <c r="CC129" s="241"/>
      <c r="CD129" s="241">
        <v>0</v>
      </c>
      <c r="CE129" s="241"/>
      <c r="CF129" s="241">
        <v>4</v>
      </c>
      <c r="CG129" s="241">
        <v>-0.62</v>
      </c>
      <c r="CH129" s="241">
        <v>128</v>
      </c>
    </row>
    <row r="130" spans="1:86" ht="16.5" thickBot="1" x14ac:dyDescent="0.3">
      <c r="A130" s="160" t="s">
        <v>862</v>
      </c>
      <c r="B130" s="160">
        <v>2</v>
      </c>
      <c r="C130" s="160">
        <v>535</v>
      </c>
      <c r="D130" s="160">
        <v>1000</v>
      </c>
      <c r="E130" s="160" t="s">
        <v>264</v>
      </c>
      <c r="F130" s="160" t="s">
        <v>264</v>
      </c>
      <c r="G130" s="267">
        <v>7980000</v>
      </c>
      <c r="H130" s="252">
        <v>9.9609769197369875</v>
      </c>
      <c r="I130" s="252">
        <v>17.836650581397006</v>
      </c>
      <c r="J130" s="252">
        <v>1.1130023099536577</v>
      </c>
      <c r="K130" s="252">
        <v>68.441329812886053</v>
      </c>
      <c r="L130" s="252">
        <v>0</v>
      </c>
      <c r="M130" s="252">
        <v>0</v>
      </c>
      <c r="N130" s="252">
        <v>1.5347417517169877</v>
      </c>
      <c r="O130" s="252">
        <v>0</v>
      </c>
      <c r="P130" s="252">
        <v>0</v>
      </c>
      <c r="Q130" s="252">
        <v>0.6003468269087312</v>
      </c>
      <c r="R130" s="252">
        <v>0.15913606453162724</v>
      </c>
      <c r="S130" s="252">
        <v>0.35381573286894863</v>
      </c>
      <c r="T130" s="252">
        <v>0</v>
      </c>
      <c r="U130" s="252">
        <v>0</v>
      </c>
      <c r="V130" s="252">
        <v>0</v>
      </c>
      <c r="W130" s="252">
        <v>0</v>
      </c>
      <c r="X130" s="252">
        <v>0</v>
      </c>
      <c r="Y130" s="252">
        <v>0</v>
      </c>
      <c r="Z130" s="252">
        <v>0</v>
      </c>
      <c r="AA130" s="252">
        <v>0</v>
      </c>
      <c r="AB130" s="252">
        <v>0</v>
      </c>
      <c r="AC130" s="252">
        <v>0</v>
      </c>
      <c r="AD130" s="252">
        <v>0</v>
      </c>
      <c r="AE130" s="252">
        <v>0</v>
      </c>
      <c r="AF130" s="252">
        <v>-142.45673206294032</v>
      </c>
      <c r="AG130" s="252">
        <v>-142.45673206294032</v>
      </c>
      <c r="AH130" s="252">
        <v>25</v>
      </c>
      <c r="AI130" s="252">
        <v>19</v>
      </c>
      <c r="AJ130" s="252">
        <v>1.8</v>
      </c>
      <c r="AK130" s="160" t="s">
        <v>228</v>
      </c>
      <c r="AL130" s="160" t="s">
        <v>230</v>
      </c>
      <c r="AM130" s="160"/>
      <c r="AN130" s="160">
        <v>0</v>
      </c>
      <c r="AO130" s="160">
        <v>21</v>
      </c>
      <c r="AP130" s="160"/>
      <c r="AQ130" s="160"/>
      <c r="AR130" s="160">
        <v>23</v>
      </c>
      <c r="AS130" s="160">
        <v>6.5</v>
      </c>
      <c r="AT130" s="160">
        <v>1</v>
      </c>
      <c r="AU130" s="160">
        <v>3.9</v>
      </c>
      <c r="AV130" s="160"/>
      <c r="AW130" s="160"/>
      <c r="AX130" s="160">
        <v>9.4</v>
      </c>
      <c r="AY130" s="160">
        <v>1.8</v>
      </c>
      <c r="AZ130" s="160"/>
      <c r="BA130" s="160"/>
      <c r="BB130" s="160"/>
      <c r="BC130" s="160"/>
      <c r="BD130" s="160"/>
      <c r="BE130" s="160"/>
      <c r="BF130" s="160">
        <v>0.5</v>
      </c>
      <c r="BG130" s="160"/>
      <c r="BH130" s="160"/>
      <c r="BI130" s="160"/>
      <c r="BJ130" s="160"/>
      <c r="BK130" s="160"/>
      <c r="BL130" s="160"/>
      <c r="BM130" s="160"/>
      <c r="BN130" s="160"/>
      <c r="BO130" s="160"/>
      <c r="BP130" s="160"/>
      <c r="BQ130" s="160"/>
      <c r="BR130" s="160"/>
      <c r="BS130" s="160"/>
      <c r="BT130" s="160"/>
      <c r="BU130" s="160"/>
      <c r="BV130" s="160"/>
      <c r="BW130" s="160"/>
      <c r="BX130" s="160"/>
      <c r="BY130" s="160"/>
      <c r="BZ130" s="160"/>
      <c r="CA130" s="160">
        <v>3.6</v>
      </c>
      <c r="CB130" s="160"/>
      <c r="CC130" s="160"/>
      <c r="CD130" s="160">
        <v>0</v>
      </c>
      <c r="CE130" s="160"/>
      <c r="CF130" s="160">
        <v>4.9800000000000004</v>
      </c>
      <c r="CG130" s="160">
        <v>-1.34</v>
      </c>
      <c r="CH130" s="160">
        <v>129</v>
      </c>
    </row>
    <row r="131" spans="1:86" x14ac:dyDescent="0.25">
      <c r="A131" s="241" t="s">
        <v>863</v>
      </c>
      <c r="B131" s="241">
        <v>1.8</v>
      </c>
      <c r="C131" s="241">
        <v>583</v>
      </c>
      <c r="D131" s="241">
        <v>1000</v>
      </c>
      <c r="E131" s="241" t="s">
        <v>264</v>
      </c>
      <c r="F131" s="241" t="s">
        <v>264</v>
      </c>
      <c r="G131" s="265">
        <v>7980000</v>
      </c>
      <c r="H131" s="250">
        <v>12.60982844496213</v>
      </c>
      <c r="I131" s="250">
        <v>18.405463129958108</v>
      </c>
      <c r="J131" s="250">
        <v>1.3337033540761836</v>
      </c>
      <c r="K131" s="250">
        <v>64.262583891527882</v>
      </c>
      <c r="L131" s="250">
        <v>0</v>
      </c>
      <c r="M131" s="250">
        <v>0</v>
      </c>
      <c r="N131" s="250">
        <v>1.9243612029612234</v>
      </c>
      <c r="O131" s="250">
        <v>0</v>
      </c>
      <c r="P131" s="250">
        <v>0</v>
      </c>
      <c r="Q131" s="250">
        <v>1.0697041169356465</v>
      </c>
      <c r="R131" s="250">
        <v>0.26872410975327571</v>
      </c>
      <c r="S131" s="250">
        <v>7.0048054654479844E-2</v>
      </c>
      <c r="T131" s="250">
        <v>0</v>
      </c>
      <c r="U131" s="250">
        <v>0</v>
      </c>
      <c r="V131" s="250">
        <v>0</v>
      </c>
      <c r="W131" s="250">
        <v>2.7761483463000898E-2</v>
      </c>
      <c r="X131" s="250">
        <v>0</v>
      </c>
      <c r="Y131" s="250">
        <v>0</v>
      </c>
      <c r="Z131" s="250">
        <v>0</v>
      </c>
      <c r="AA131" s="250">
        <v>0</v>
      </c>
      <c r="AB131" s="250">
        <v>2.7822211708076215E-2</v>
      </c>
      <c r="AC131" s="250">
        <v>0</v>
      </c>
      <c r="AD131" s="250">
        <v>0</v>
      </c>
      <c r="AE131" s="250">
        <v>0</v>
      </c>
      <c r="AF131" s="250">
        <v>-140.80220853989465</v>
      </c>
      <c r="AG131" s="250">
        <v>-140.80220853989465</v>
      </c>
      <c r="AH131" s="250">
        <v>25.4</v>
      </c>
      <c r="AI131" s="250">
        <v>19</v>
      </c>
      <c r="AJ131" s="250">
        <v>2</v>
      </c>
      <c r="AK131" s="241" t="s">
        <v>245</v>
      </c>
      <c r="AL131" s="241" t="s">
        <v>247</v>
      </c>
      <c r="AM131" s="241"/>
      <c r="AN131" s="241">
        <v>0</v>
      </c>
      <c r="AO131" s="241">
        <v>7.17</v>
      </c>
      <c r="AP131" s="241">
        <v>4.5599999999999996</v>
      </c>
      <c r="AQ131" s="241">
        <v>0.22</v>
      </c>
      <c r="AR131" s="241">
        <v>75.013000000000005</v>
      </c>
      <c r="AS131" s="241">
        <v>12.46</v>
      </c>
      <c r="AT131" s="241">
        <v>6.66</v>
      </c>
      <c r="AU131" s="241">
        <v>4.57</v>
      </c>
      <c r="AV131" s="241">
        <v>56.17</v>
      </c>
      <c r="AW131" s="241">
        <v>0.16</v>
      </c>
      <c r="AX131" s="241">
        <v>20.93</v>
      </c>
      <c r="AY131" s="241">
        <v>0.88</v>
      </c>
      <c r="AZ131" s="241"/>
      <c r="BA131" s="241"/>
      <c r="BB131" s="241">
        <v>366.31</v>
      </c>
      <c r="BC131" s="241"/>
      <c r="BD131" s="241"/>
      <c r="BE131" s="241"/>
      <c r="BF131" s="241"/>
      <c r="BG131" s="241"/>
      <c r="BH131" s="241"/>
      <c r="BI131" s="241"/>
      <c r="BJ131" s="241">
        <v>76</v>
      </c>
      <c r="BK131" s="241">
        <v>4.5599999999999996</v>
      </c>
      <c r="BL131" s="241">
        <v>0.22</v>
      </c>
      <c r="BM131" s="241">
        <v>75.013000000000005</v>
      </c>
      <c r="BN131" s="241">
        <v>12.46</v>
      </c>
      <c r="BO131" s="241">
        <v>8</v>
      </c>
      <c r="BP131" s="241">
        <v>280</v>
      </c>
      <c r="BQ131" s="241">
        <v>56.17</v>
      </c>
      <c r="BR131" s="241">
        <v>0.16</v>
      </c>
      <c r="BS131" s="241"/>
      <c r="BT131" s="241">
        <v>25</v>
      </c>
      <c r="BU131" s="241"/>
      <c r="BV131" s="241"/>
      <c r="BW131" s="241">
        <v>366.31</v>
      </c>
      <c r="BX131" s="241"/>
      <c r="BY131" s="241"/>
      <c r="BZ131" s="241"/>
      <c r="CA131" s="241"/>
      <c r="CB131" s="241"/>
      <c r="CC131" s="241"/>
      <c r="CD131" s="241">
        <v>0</v>
      </c>
      <c r="CE131" s="241"/>
      <c r="CF131" s="241">
        <v>2.71</v>
      </c>
      <c r="CG131" s="241">
        <v>0.21</v>
      </c>
      <c r="CH131" s="241">
        <v>130</v>
      </c>
    </row>
    <row r="132" spans="1:86" x14ac:dyDescent="0.25">
      <c r="A132" s="159" t="s">
        <v>864</v>
      </c>
      <c r="B132" s="159">
        <v>1.8</v>
      </c>
      <c r="C132" s="159">
        <v>562</v>
      </c>
      <c r="D132" s="159">
        <v>1000</v>
      </c>
      <c r="E132" s="159" t="s">
        <v>264</v>
      </c>
      <c r="F132" s="159" t="s">
        <v>264</v>
      </c>
      <c r="G132" s="264">
        <v>7980000</v>
      </c>
      <c r="H132" s="249">
        <v>12.60982844496213</v>
      </c>
      <c r="I132" s="249">
        <v>18.405463129958108</v>
      </c>
      <c r="J132" s="249">
        <v>1.3337033540761836</v>
      </c>
      <c r="K132" s="249">
        <v>64.262583891527882</v>
      </c>
      <c r="L132" s="249">
        <v>0</v>
      </c>
      <c r="M132" s="249">
        <v>0</v>
      </c>
      <c r="N132" s="249">
        <v>1.9243612029612234</v>
      </c>
      <c r="O132" s="249">
        <v>0</v>
      </c>
      <c r="P132" s="249">
        <v>0</v>
      </c>
      <c r="Q132" s="249">
        <v>1.0697041169356465</v>
      </c>
      <c r="R132" s="249">
        <v>0.26872410975327571</v>
      </c>
      <c r="S132" s="249">
        <v>7.0048054654479844E-2</v>
      </c>
      <c r="T132" s="249">
        <v>0</v>
      </c>
      <c r="U132" s="249">
        <v>0</v>
      </c>
      <c r="V132" s="249">
        <v>0</v>
      </c>
      <c r="W132" s="249">
        <v>2.7761483463000898E-2</v>
      </c>
      <c r="X132" s="249">
        <v>0</v>
      </c>
      <c r="Y132" s="249">
        <v>0</v>
      </c>
      <c r="Z132" s="249">
        <v>0</v>
      </c>
      <c r="AA132" s="249">
        <v>0</v>
      </c>
      <c r="AB132" s="249">
        <v>2.7822211708076215E-2</v>
      </c>
      <c r="AC132" s="249">
        <v>0</v>
      </c>
      <c r="AD132" s="249">
        <v>0</v>
      </c>
      <c r="AE132" s="249">
        <v>0</v>
      </c>
      <c r="AF132" s="249">
        <v>-141.48460856734457</v>
      </c>
      <c r="AG132" s="249">
        <v>-141.48460856734457</v>
      </c>
      <c r="AH132" s="249">
        <v>25.4</v>
      </c>
      <c r="AI132" s="249">
        <v>19</v>
      </c>
      <c r="AJ132" s="249">
        <v>2</v>
      </c>
      <c r="AK132" s="159" t="s">
        <v>245</v>
      </c>
      <c r="AL132" s="159" t="s">
        <v>247</v>
      </c>
      <c r="AM132" s="159"/>
      <c r="AN132" s="159">
        <v>0</v>
      </c>
      <c r="AO132" s="159">
        <v>7.17</v>
      </c>
      <c r="AP132" s="159">
        <v>4.5599999999999996</v>
      </c>
      <c r="AQ132" s="159">
        <v>0.22</v>
      </c>
      <c r="AR132" s="159">
        <v>75.013000000000005</v>
      </c>
      <c r="AS132" s="159">
        <v>12.46</v>
      </c>
      <c r="AT132" s="159">
        <v>6.66</v>
      </c>
      <c r="AU132" s="159">
        <v>4.57</v>
      </c>
      <c r="AV132" s="159">
        <v>56.17</v>
      </c>
      <c r="AW132" s="159">
        <v>0.16</v>
      </c>
      <c r="AX132" s="159">
        <v>20.93</v>
      </c>
      <c r="AY132" s="159">
        <v>0.88</v>
      </c>
      <c r="AZ132" s="159"/>
      <c r="BA132" s="159"/>
      <c r="BB132" s="159">
        <v>366.31</v>
      </c>
      <c r="BC132" s="159"/>
      <c r="BD132" s="159"/>
      <c r="BE132" s="159"/>
      <c r="BF132" s="159"/>
      <c r="BG132" s="159"/>
      <c r="BH132" s="159"/>
      <c r="BI132" s="159"/>
      <c r="BJ132" s="159">
        <v>76</v>
      </c>
      <c r="BK132" s="159">
        <v>4.5599999999999996</v>
      </c>
      <c r="BL132" s="159">
        <v>0.22</v>
      </c>
      <c r="BM132" s="159">
        <v>75.013000000000005</v>
      </c>
      <c r="BN132" s="159">
        <v>12.46</v>
      </c>
      <c r="BO132" s="159">
        <v>8</v>
      </c>
      <c r="BP132" s="159">
        <v>280</v>
      </c>
      <c r="BQ132" s="159">
        <v>56.17</v>
      </c>
      <c r="BR132" s="159">
        <v>0.16</v>
      </c>
      <c r="BS132" s="159"/>
      <c r="BT132" s="159">
        <v>25</v>
      </c>
      <c r="BU132" s="159"/>
      <c r="BV132" s="159"/>
      <c r="BW132" s="159">
        <v>366.31</v>
      </c>
      <c r="BX132" s="159"/>
      <c r="BY132" s="159"/>
      <c r="BZ132" s="159"/>
      <c r="CA132" s="159"/>
      <c r="CB132" s="159"/>
      <c r="CC132" s="159"/>
      <c r="CD132" s="159">
        <v>0</v>
      </c>
      <c r="CE132" s="159"/>
      <c r="CF132" s="159">
        <v>-1.1000000000000001</v>
      </c>
      <c r="CG132" s="159">
        <v>0.81</v>
      </c>
      <c r="CH132" s="159">
        <v>131</v>
      </c>
    </row>
    <row r="133" spans="1:86" x14ac:dyDescent="0.25">
      <c r="A133" s="241" t="s">
        <v>865</v>
      </c>
      <c r="B133" s="241">
        <v>1.8</v>
      </c>
      <c r="C133" s="241">
        <v>552</v>
      </c>
      <c r="D133" s="241">
        <v>1000</v>
      </c>
      <c r="E133" s="241" t="s">
        <v>264</v>
      </c>
      <c r="F133" s="241" t="s">
        <v>264</v>
      </c>
      <c r="G133" s="265">
        <v>7980000</v>
      </c>
      <c r="H133" s="250">
        <v>12.60982844496213</v>
      </c>
      <c r="I133" s="250">
        <v>18.405463129958108</v>
      </c>
      <c r="J133" s="250">
        <v>1.3337033540761836</v>
      </c>
      <c r="K133" s="250">
        <v>64.262583891527882</v>
      </c>
      <c r="L133" s="250">
        <v>0</v>
      </c>
      <c r="M133" s="250">
        <v>0</v>
      </c>
      <c r="N133" s="250">
        <v>1.9243612029612234</v>
      </c>
      <c r="O133" s="250">
        <v>0</v>
      </c>
      <c r="P133" s="250">
        <v>0</v>
      </c>
      <c r="Q133" s="250">
        <v>1.0697041169356465</v>
      </c>
      <c r="R133" s="250">
        <v>0.26872410975327571</v>
      </c>
      <c r="S133" s="250">
        <v>7.0048054654479844E-2</v>
      </c>
      <c r="T133" s="250">
        <v>0</v>
      </c>
      <c r="U133" s="250">
        <v>0</v>
      </c>
      <c r="V133" s="250">
        <v>0</v>
      </c>
      <c r="W133" s="250">
        <v>2.7761483463000898E-2</v>
      </c>
      <c r="X133" s="250">
        <v>0</v>
      </c>
      <c r="Y133" s="250">
        <v>0</v>
      </c>
      <c r="Z133" s="250">
        <v>0</v>
      </c>
      <c r="AA133" s="250">
        <v>0</v>
      </c>
      <c r="AB133" s="250">
        <v>2.7822211708076215E-2</v>
      </c>
      <c r="AC133" s="250">
        <v>0</v>
      </c>
      <c r="AD133" s="250">
        <v>0</v>
      </c>
      <c r="AE133" s="250">
        <v>0</v>
      </c>
      <c r="AF133" s="250">
        <v>-141.80956096136833</v>
      </c>
      <c r="AG133" s="250">
        <v>-141.80956096136833</v>
      </c>
      <c r="AH133" s="250">
        <v>25.4</v>
      </c>
      <c r="AI133" s="250">
        <v>19</v>
      </c>
      <c r="AJ133" s="250">
        <v>2</v>
      </c>
      <c r="AK133" s="241" t="s">
        <v>245</v>
      </c>
      <c r="AL133" s="241" t="s">
        <v>247</v>
      </c>
      <c r="AM133" s="241"/>
      <c r="AN133" s="241">
        <v>0</v>
      </c>
      <c r="AO133" s="241">
        <v>7.17</v>
      </c>
      <c r="AP133" s="241">
        <v>4.5599999999999996</v>
      </c>
      <c r="AQ133" s="241">
        <v>0.22</v>
      </c>
      <c r="AR133" s="241">
        <v>75.013000000000005</v>
      </c>
      <c r="AS133" s="241">
        <v>12.46</v>
      </c>
      <c r="AT133" s="241">
        <v>6.66</v>
      </c>
      <c r="AU133" s="241">
        <v>4.57</v>
      </c>
      <c r="AV133" s="241">
        <v>56.17</v>
      </c>
      <c r="AW133" s="241">
        <v>0.16</v>
      </c>
      <c r="AX133" s="241">
        <v>20.93</v>
      </c>
      <c r="AY133" s="241">
        <v>0.88</v>
      </c>
      <c r="AZ133" s="241"/>
      <c r="BA133" s="241"/>
      <c r="BB133" s="241">
        <v>366.31</v>
      </c>
      <c r="BC133" s="241"/>
      <c r="BD133" s="241"/>
      <c r="BE133" s="241"/>
      <c r="BF133" s="241"/>
      <c r="BG133" s="241"/>
      <c r="BH133" s="241"/>
      <c r="BI133" s="241"/>
      <c r="BJ133" s="241">
        <v>76</v>
      </c>
      <c r="BK133" s="241">
        <v>4.5599999999999996</v>
      </c>
      <c r="BL133" s="241">
        <v>0.22</v>
      </c>
      <c r="BM133" s="241">
        <v>75.013000000000005</v>
      </c>
      <c r="BN133" s="241">
        <v>12.46</v>
      </c>
      <c r="BO133" s="241">
        <v>8</v>
      </c>
      <c r="BP133" s="241">
        <v>280</v>
      </c>
      <c r="BQ133" s="241">
        <v>56.17</v>
      </c>
      <c r="BR133" s="241">
        <v>0.16</v>
      </c>
      <c r="BS133" s="241"/>
      <c r="BT133" s="241">
        <v>25</v>
      </c>
      <c r="BU133" s="241"/>
      <c r="BV133" s="241"/>
      <c r="BW133" s="241">
        <v>366.31</v>
      </c>
      <c r="BX133" s="241"/>
      <c r="BY133" s="241"/>
      <c r="BZ133" s="241"/>
      <c r="CA133" s="241"/>
      <c r="CB133" s="241"/>
      <c r="CC133" s="241"/>
      <c r="CD133" s="241">
        <v>0</v>
      </c>
      <c r="CE133" s="241"/>
      <c r="CF133" s="241">
        <v>2.35</v>
      </c>
      <c r="CG133" s="241">
        <v>1.05</v>
      </c>
      <c r="CH133" s="241">
        <v>132</v>
      </c>
    </row>
    <row r="134" spans="1:86" x14ac:dyDescent="0.25">
      <c r="A134" s="159" t="s">
        <v>866</v>
      </c>
      <c r="B134" s="159">
        <v>1.8</v>
      </c>
      <c r="C134" s="159">
        <v>542</v>
      </c>
      <c r="D134" s="159">
        <v>1000</v>
      </c>
      <c r="E134" s="159" t="s">
        <v>264</v>
      </c>
      <c r="F134" s="159" t="s">
        <v>264</v>
      </c>
      <c r="G134" s="264">
        <v>7980000</v>
      </c>
      <c r="H134" s="249">
        <v>12.60982844496213</v>
      </c>
      <c r="I134" s="249">
        <v>18.405463129958108</v>
      </c>
      <c r="J134" s="249">
        <v>1.3337033540761836</v>
      </c>
      <c r="K134" s="249">
        <v>64.262583891527882</v>
      </c>
      <c r="L134" s="249">
        <v>0</v>
      </c>
      <c r="M134" s="249">
        <v>0</v>
      </c>
      <c r="N134" s="249">
        <v>1.9243612029612234</v>
      </c>
      <c r="O134" s="249">
        <v>0</v>
      </c>
      <c r="P134" s="249">
        <v>0</v>
      </c>
      <c r="Q134" s="249">
        <v>1.0697041169356465</v>
      </c>
      <c r="R134" s="249">
        <v>0.26872410975327571</v>
      </c>
      <c r="S134" s="249">
        <v>7.0048054654479844E-2</v>
      </c>
      <c r="T134" s="249">
        <v>0</v>
      </c>
      <c r="U134" s="249">
        <v>0</v>
      </c>
      <c r="V134" s="249">
        <v>0</v>
      </c>
      <c r="W134" s="249">
        <v>2.7761483463000898E-2</v>
      </c>
      <c r="X134" s="249">
        <v>0</v>
      </c>
      <c r="Y134" s="249">
        <v>0</v>
      </c>
      <c r="Z134" s="249">
        <v>0</v>
      </c>
      <c r="AA134" s="249">
        <v>0</v>
      </c>
      <c r="AB134" s="249">
        <v>2.7822211708076215E-2</v>
      </c>
      <c r="AC134" s="249">
        <v>0</v>
      </c>
      <c r="AD134" s="249">
        <v>0</v>
      </c>
      <c r="AE134" s="249">
        <v>0</v>
      </c>
      <c r="AF134" s="249">
        <v>-142.13451335539207</v>
      </c>
      <c r="AG134" s="249">
        <v>-142.13451335539207</v>
      </c>
      <c r="AH134" s="249">
        <v>25.4</v>
      </c>
      <c r="AI134" s="249">
        <v>19</v>
      </c>
      <c r="AJ134" s="249">
        <v>2</v>
      </c>
      <c r="AK134" s="159" t="s">
        <v>245</v>
      </c>
      <c r="AL134" s="159" t="s">
        <v>247</v>
      </c>
      <c r="AM134" s="159"/>
      <c r="AN134" s="159">
        <v>0</v>
      </c>
      <c r="AO134" s="159">
        <v>7.17</v>
      </c>
      <c r="AP134" s="159">
        <v>4.5599999999999996</v>
      </c>
      <c r="AQ134" s="159">
        <v>0.22</v>
      </c>
      <c r="AR134" s="159">
        <v>75.013000000000005</v>
      </c>
      <c r="AS134" s="159">
        <v>12.46</v>
      </c>
      <c r="AT134" s="159">
        <v>6.66</v>
      </c>
      <c r="AU134" s="159">
        <v>4.57</v>
      </c>
      <c r="AV134" s="159">
        <v>56.17</v>
      </c>
      <c r="AW134" s="159">
        <v>0.16</v>
      </c>
      <c r="AX134" s="159">
        <v>20.93</v>
      </c>
      <c r="AY134" s="159">
        <v>0.88</v>
      </c>
      <c r="AZ134" s="159"/>
      <c r="BA134" s="159"/>
      <c r="BB134" s="159">
        <v>366.31</v>
      </c>
      <c r="BC134" s="159"/>
      <c r="BD134" s="159"/>
      <c r="BE134" s="159"/>
      <c r="BF134" s="159"/>
      <c r="BG134" s="159"/>
      <c r="BH134" s="159"/>
      <c r="BI134" s="159"/>
      <c r="BJ134" s="159">
        <v>76</v>
      </c>
      <c r="BK134" s="159">
        <v>4.5599999999999996</v>
      </c>
      <c r="BL134" s="159">
        <v>0.22</v>
      </c>
      <c r="BM134" s="159">
        <v>75.013000000000005</v>
      </c>
      <c r="BN134" s="159">
        <v>12.46</v>
      </c>
      <c r="BO134" s="159">
        <v>8</v>
      </c>
      <c r="BP134" s="159">
        <v>280</v>
      </c>
      <c r="BQ134" s="159">
        <v>56.17</v>
      </c>
      <c r="BR134" s="159">
        <v>0.16</v>
      </c>
      <c r="BS134" s="159"/>
      <c r="BT134" s="159">
        <v>25</v>
      </c>
      <c r="BU134" s="159"/>
      <c r="BV134" s="159"/>
      <c r="BW134" s="159">
        <v>366.31</v>
      </c>
      <c r="BX134" s="159"/>
      <c r="BY134" s="159"/>
      <c r="BZ134" s="159"/>
      <c r="CA134" s="159"/>
      <c r="CB134" s="159"/>
      <c r="CC134" s="159"/>
      <c r="CD134" s="159">
        <v>0</v>
      </c>
      <c r="CE134" s="159"/>
      <c r="CF134" s="159">
        <v>4.42</v>
      </c>
      <c r="CG134" s="159">
        <v>1.03</v>
      </c>
      <c r="CH134" s="159">
        <v>133</v>
      </c>
    </row>
    <row r="135" spans="1:86" x14ac:dyDescent="0.25">
      <c r="A135" s="241" t="s">
        <v>737</v>
      </c>
      <c r="B135" s="241">
        <v>0</v>
      </c>
      <c r="C135" s="241">
        <v>650</v>
      </c>
      <c r="D135" s="241">
        <v>1000</v>
      </c>
      <c r="E135" s="241" t="s">
        <v>55</v>
      </c>
      <c r="F135" s="241" t="s">
        <v>264</v>
      </c>
      <c r="G135" s="265">
        <v>7980000</v>
      </c>
      <c r="H135" s="250">
        <v>12.60982844496213</v>
      </c>
      <c r="I135" s="250">
        <v>18.405463129958108</v>
      </c>
      <c r="J135" s="250">
        <v>1.3337033540761836</v>
      </c>
      <c r="K135" s="250">
        <v>64.262583891527882</v>
      </c>
      <c r="L135" s="250">
        <v>0</v>
      </c>
      <c r="M135" s="250">
        <v>0</v>
      </c>
      <c r="N135" s="250">
        <v>1.9243612029612234</v>
      </c>
      <c r="O135" s="250">
        <v>0</v>
      </c>
      <c r="P135" s="250">
        <v>0</v>
      </c>
      <c r="Q135" s="250">
        <v>1.0697041169356465</v>
      </c>
      <c r="R135" s="250">
        <v>0.26872410975327571</v>
      </c>
      <c r="S135" s="250">
        <v>7.0048054654479844E-2</v>
      </c>
      <c r="T135" s="250">
        <v>0</v>
      </c>
      <c r="U135" s="250">
        <v>0</v>
      </c>
      <c r="V135" s="250">
        <v>0</v>
      </c>
      <c r="W135" s="250">
        <v>2.7761483463000898E-2</v>
      </c>
      <c r="X135" s="250">
        <v>0</v>
      </c>
      <c r="Y135" s="250">
        <v>0</v>
      </c>
      <c r="Z135" s="250">
        <v>0</v>
      </c>
      <c r="AA135" s="250">
        <v>0</v>
      </c>
      <c r="AB135" s="250">
        <v>2.7822211708076215E-2</v>
      </c>
      <c r="AC135" s="250">
        <v>0</v>
      </c>
      <c r="AD135" s="250">
        <v>0</v>
      </c>
      <c r="AE135" s="250">
        <v>0</v>
      </c>
      <c r="AF135" s="250">
        <v>-138.62502749993544</v>
      </c>
      <c r="AG135" s="250">
        <v>-115.93813288350846</v>
      </c>
      <c r="AH135" s="250">
        <v>25.4</v>
      </c>
      <c r="AI135" s="250">
        <v>19</v>
      </c>
      <c r="AJ135" s="250">
        <v>2</v>
      </c>
      <c r="AK135" s="241" t="s">
        <v>245</v>
      </c>
      <c r="AL135" s="241" t="s">
        <v>247</v>
      </c>
      <c r="AM135" s="241"/>
      <c r="AN135" s="241">
        <v>0</v>
      </c>
      <c r="AO135" s="241">
        <v>7.17</v>
      </c>
      <c r="AP135" s="241">
        <v>4.5599999999999996</v>
      </c>
      <c r="AQ135" s="241">
        <v>0.22</v>
      </c>
      <c r="AR135" s="241">
        <v>75.013000000000005</v>
      </c>
      <c r="AS135" s="241">
        <v>12.46</v>
      </c>
      <c r="AT135" s="241">
        <v>6.66</v>
      </c>
      <c r="AU135" s="241">
        <v>4.57</v>
      </c>
      <c r="AV135" s="241">
        <v>56.17</v>
      </c>
      <c r="AW135" s="241">
        <v>0.16</v>
      </c>
      <c r="AX135" s="241">
        <v>20.93</v>
      </c>
      <c r="AY135" s="241">
        <v>0.88</v>
      </c>
      <c r="AZ135" s="241"/>
      <c r="BA135" s="241"/>
      <c r="BB135" s="241">
        <v>366.31</v>
      </c>
      <c r="BC135" s="241"/>
      <c r="BD135" s="241"/>
      <c r="BE135" s="241"/>
      <c r="BF135" s="241"/>
      <c r="BG135" s="241"/>
      <c r="BH135" s="241"/>
      <c r="BI135" s="241"/>
      <c r="BJ135" s="241">
        <v>76</v>
      </c>
      <c r="BK135" s="241">
        <v>4.5599999999999996</v>
      </c>
      <c r="BL135" s="241">
        <v>0.22</v>
      </c>
      <c r="BM135" s="241">
        <v>75.013000000000005</v>
      </c>
      <c r="BN135" s="241">
        <v>12.46</v>
      </c>
      <c r="BO135" s="241">
        <v>8</v>
      </c>
      <c r="BP135" s="241">
        <v>280</v>
      </c>
      <c r="BQ135" s="241">
        <v>56.17</v>
      </c>
      <c r="BR135" s="241">
        <v>0.16</v>
      </c>
      <c r="BS135" s="241"/>
      <c r="BT135" s="241">
        <v>25</v>
      </c>
      <c r="BU135" s="241"/>
      <c r="BV135" s="241"/>
      <c r="BW135" s="241">
        <v>366.31</v>
      </c>
      <c r="BX135" s="241"/>
      <c r="BY135" s="241"/>
      <c r="BZ135" s="241"/>
      <c r="CA135" s="241"/>
      <c r="CB135" s="241"/>
      <c r="CC135" s="241"/>
      <c r="CD135" s="241">
        <v>0</v>
      </c>
      <c r="CE135" s="241"/>
      <c r="CF135" s="241"/>
      <c r="CG135" s="241">
        <v>-0.64</v>
      </c>
      <c r="CH135" s="241">
        <v>134</v>
      </c>
    </row>
    <row r="136" spans="1:86" x14ac:dyDescent="0.25">
      <c r="A136" s="159" t="s">
        <v>738</v>
      </c>
      <c r="B136" s="159">
        <v>0</v>
      </c>
      <c r="C136" s="159">
        <v>650</v>
      </c>
      <c r="D136" s="159">
        <v>1000</v>
      </c>
      <c r="E136" s="159" t="s">
        <v>55</v>
      </c>
      <c r="F136" s="159" t="s">
        <v>264</v>
      </c>
      <c r="G136" s="264">
        <v>7980000</v>
      </c>
      <c r="H136" s="249">
        <v>12.60982844496213</v>
      </c>
      <c r="I136" s="249">
        <v>18.405463129958108</v>
      </c>
      <c r="J136" s="249">
        <v>1.3337033540761836</v>
      </c>
      <c r="K136" s="249">
        <v>64.262583891527882</v>
      </c>
      <c r="L136" s="249">
        <v>0</v>
      </c>
      <c r="M136" s="249">
        <v>0</v>
      </c>
      <c r="N136" s="249">
        <v>1.9243612029612234</v>
      </c>
      <c r="O136" s="249">
        <v>0</v>
      </c>
      <c r="P136" s="249">
        <v>0</v>
      </c>
      <c r="Q136" s="249">
        <v>1.0697041169356465</v>
      </c>
      <c r="R136" s="249">
        <v>0.26872410975327571</v>
      </c>
      <c r="S136" s="249">
        <v>7.0048054654479844E-2</v>
      </c>
      <c r="T136" s="249">
        <v>0</v>
      </c>
      <c r="U136" s="249">
        <v>0</v>
      </c>
      <c r="V136" s="249">
        <v>0</v>
      </c>
      <c r="W136" s="249">
        <v>2.7761483463000898E-2</v>
      </c>
      <c r="X136" s="249">
        <v>0</v>
      </c>
      <c r="Y136" s="249">
        <v>0</v>
      </c>
      <c r="Z136" s="249">
        <v>0</v>
      </c>
      <c r="AA136" s="249">
        <v>0</v>
      </c>
      <c r="AB136" s="249">
        <v>2.7822211708076215E-2</v>
      </c>
      <c r="AC136" s="249">
        <v>0</v>
      </c>
      <c r="AD136" s="249">
        <v>0</v>
      </c>
      <c r="AE136" s="249">
        <v>0</v>
      </c>
      <c r="AF136" s="249">
        <v>-138.62502749993544</v>
      </c>
      <c r="AG136" s="249">
        <v>-115.93813288350846</v>
      </c>
      <c r="AH136" s="249">
        <v>25.4</v>
      </c>
      <c r="AI136" s="249">
        <v>19</v>
      </c>
      <c r="AJ136" s="249">
        <v>2</v>
      </c>
      <c r="AK136" s="159" t="s">
        <v>245</v>
      </c>
      <c r="AL136" s="159" t="s">
        <v>247</v>
      </c>
      <c r="AM136" s="159"/>
      <c r="AN136" s="159">
        <v>0</v>
      </c>
      <c r="AO136" s="159">
        <v>7.17</v>
      </c>
      <c r="AP136" s="159">
        <v>4.5599999999999996</v>
      </c>
      <c r="AQ136" s="159">
        <v>0.22</v>
      </c>
      <c r="AR136" s="159">
        <v>75.013000000000005</v>
      </c>
      <c r="AS136" s="159">
        <v>12.46</v>
      </c>
      <c r="AT136" s="159">
        <v>6.66</v>
      </c>
      <c r="AU136" s="159">
        <v>4.57</v>
      </c>
      <c r="AV136" s="159">
        <v>56.17</v>
      </c>
      <c r="AW136" s="159">
        <v>0.16</v>
      </c>
      <c r="AX136" s="159">
        <v>20.93</v>
      </c>
      <c r="AY136" s="159">
        <v>0.88</v>
      </c>
      <c r="AZ136" s="159"/>
      <c r="BA136" s="159"/>
      <c r="BB136" s="159">
        <v>366.31</v>
      </c>
      <c r="BC136" s="159"/>
      <c r="BD136" s="159"/>
      <c r="BE136" s="159"/>
      <c r="BF136" s="159"/>
      <c r="BG136" s="159"/>
      <c r="BH136" s="159"/>
      <c r="BI136" s="159"/>
      <c r="BJ136" s="159">
        <v>76</v>
      </c>
      <c r="BK136" s="159">
        <v>4.5599999999999996</v>
      </c>
      <c r="BL136" s="159">
        <v>0.22</v>
      </c>
      <c r="BM136" s="159">
        <v>75.013000000000005</v>
      </c>
      <c r="BN136" s="159">
        <v>12.46</v>
      </c>
      <c r="BO136" s="159">
        <v>8</v>
      </c>
      <c r="BP136" s="159">
        <v>280</v>
      </c>
      <c r="BQ136" s="159">
        <v>56.17</v>
      </c>
      <c r="BR136" s="159">
        <v>0.16</v>
      </c>
      <c r="BS136" s="159"/>
      <c r="BT136" s="159">
        <v>25</v>
      </c>
      <c r="BU136" s="159"/>
      <c r="BV136" s="159"/>
      <c r="BW136" s="159">
        <v>366.31</v>
      </c>
      <c r="BX136" s="159"/>
      <c r="BY136" s="159"/>
      <c r="BZ136" s="159"/>
      <c r="CA136" s="159"/>
      <c r="CB136" s="159"/>
      <c r="CC136" s="159"/>
      <c r="CD136" s="159">
        <v>0</v>
      </c>
      <c r="CE136" s="159"/>
      <c r="CF136" s="159"/>
      <c r="CG136" s="159">
        <v>-1.7</v>
      </c>
      <c r="CH136" s="159">
        <v>135</v>
      </c>
    </row>
    <row r="137" spans="1:86" x14ac:dyDescent="0.25">
      <c r="A137" s="241" t="s">
        <v>739</v>
      </c>
      <c r="B137" s="241">
        <v>0</v>
      </c>
      <c r="C137" s="241">
        <v>550</v>
      </c>
      <c r="D137" s="241">
        <v>1000</v>
      </c>
      <c r="E137" s="241" t="s">
        <v>264</v>
      </c>
      <c r="F137" s="241" t="s">
        <v>264</v>
      </c>
      <c r="G137" s="265">
        <v>7980000</v>
      </c>
      <c r="H137" s="250">
        <v>12.60982844496213</v>
      </c>
      <c r="I137" s="250">
        <v>18.405463129958108</v>
      </c>
      <c r="J137" s="250">
        <v>1.3337033540761836</v>
      </c>
      <c r="K137" s="250">
        <v>64.262583891527882</v>
      </c>
      <c r="L137" s="250">
        <v>0</v>
      </c>
      <c r="M137" s="250">
        <v>0</v>
      </c>
      <c r="N137" s="250">
        <v>1.9243612029612234</v>
      </c>
      <c r="O137" s="250">
        <v>0</v>
      </c>
      <c r="P137" s="250">
        <v>0</v>
      </c>
      <c r="Q137" s="250">
        <v>1.0697041169356465</v>
      </c>
      <c r="R137" s="250">
        <v>0.26872410975327571</v>
      </c>
      <c r="S137" s="250">
        <v>7.0048054654479844E-2</v>
      </c>
      <c r="T137" s="250">
        <v>0</v>
      </c>
      <c r="U137" s="250">
        <v>0</v>
      </c>
      <c r="V137" s="250">
        <v>0</v>
      </c>
      <c r="W137" s="250">
        <v>2.7761483463000898E-2</v>
      </c>
      <c r="X137" s="250">
        <v>0</v>
      </c>
      <c r="Y137" s="250">
        <v>0</v>
      </c>
      <c r="Z137" s="250">
        <v>0</v>
      </c>
      <c r="AA137" s="250">
        <v>0</v>
      </c>
      <c r="AB137" s="250">
        <v>2.7822211708076215E-2</v>
      </c>
      <c r="AC137" s="250">
        <v>0</v>
      </c>
      <c r="AD137" s="250">
        <v>0</v>
      </c>
      <c r="AE137" s="250">
        <v>0</v>
      </c>
      <c r="AF137" s="250">
        <v>-141.87455144017309</v>
      </c>
      <c r="AG137" s="250">
        <v>-141.87455144017309</v>
      </c>
      <c r="AH137" s="250">
        <v>25.4</v>
      </c>
      <c r="AI137" s="250">
        <v>19</v>
      </c>
      <c r="AJ137" s="250">
        <v>2</v>
      </c>
      <c r="AK137" s="241" t="s">
        <v>245</v>
      </c>
      <c r="AL137" s="241" t="s">
        <v>247</v>
      </c>
      <c r="AM137" s="241"/>
      <c r="AN137" s="241">
        <v>0</v>
      </c>
      <c r="AO137" s="241">
        <v>7.17</v>
      </c>
      <c r="AP137" s="241">
        <v>4.5599999999999996</v>
      </c>
      <c r="AQ137" s="241">
        <v>0.22</v>
      </c>
      <c r="AR137" s="241">
        <v>75.013000000000005</v>
      </c>
      <c r="AS137" s="241">
        <v>12.46</v>
      </c>
      <c r="AT137" s="241">
        <v>6.66</v>
      </c>
      <c r="AU137" s="241">
        <v>4.57</v>
      </c>
      <c r="AV137" s="241">
        <v>56.17</v>
      </c>
      <c r="AW137" s="241">
        <v>0.16</v>
      </c>
      <c r="AX137" s="241">
        <v>20.93</v>
      </c>
      <c r="AY137" s="241">
        <v>0.88</v>
      </c>
      <c r="AZ137" s="241"/>
      <c r="BA137" s="241"/>
      <c r="BB137" s="241">
        <v>366.31</v>
      </c>
      <c r="BC137" s="241"/>
      <c r="BD137" s="241"/>
      <c r="BE137" s="241"/>
      <c r="BF137" s="241"/>
      <c r="BG137" s="241"/>
      <c r="BH137" s="241"/>
      <c r="BI137" s="241"/>
      <c r="BJ137" s="241">
        <v>76</v>
      </c>
      <c r="BK137" s="241">
        <v>4.5599999999999996</v>
      </c>
      <c r="BL137" s="241">
        <v>0.22</v>
      </c>
      <c r="BM137" s="241">
        <v>75.013000000000005</v>
      </c>
      <c r="BN137" s="241">
        <v>12.46</v>
      </c>
      <c r="BO137" s="241">
        <v>8</v>
      </c>
      <c r="BP137" s="241">
        <v>280</v>
      </c>
      <c r="BQ137" s="241">
        <v>56.17</v>
      </c>
      <c r="BR137" s="241">
        <v>0.16</v>
      </c>
      <c r="BS137" s="241"/>
      <c r="BT137" s="241">
        <v>25</v>
      </c>
      <c r="BU137" s="241"/>
      <c r="BV137" s="241"/>
      <c r="BW137" s="241">
        <v>366.31</v>
      </c>
      <c r="BX137" s="241"/>
      <c r="BY137" s="241"/>
      <c r="BZ137" s="241"/>
      <c r="CA137" s="241"/>
      <c r="CB137" s="241"/>
      <c r="CC137" s="241"/>
      <c r="CD137" s="241">
        <v>0</v>
      </c>
      <c r="CE137" s="241"/>
      <c r="CF137" s="241"/>
      <c r="CG137" s="241">
        <v>-0.2</v>
      </c>
      <c r="CH137" s="241">
        <v>136</v>
      </c>
    </row>
    <row r="138" spans="1:86" x14ac:dyDescent="0.25">
      <c r="A138" s="159" t="s">
        <v>740</v>
      </c>
      <c r="B138" s="159">
        <v>0</v>
      </c>
      <c r="C138" s="159">
        <v>650</v>
      </c>
      <c r="D138" s="159">
        <v>1000</v>
      </c>
      <c r="E138" s="159" t="s">
        <v>264</v>
      </c>
      <c r="F138" s="159" t="s">
        <v>264</v>
      </c>
      <c r="G138" s="264">
        <v>7980000</v>
      </c>
      <c r="H138" s="249">
        <v>12.60982844496213</v>
      </c>
      <c r="I138" s="249">
        <v>18.405463129958108</v>
      </c>
      <c r="J138" s="249">
        <v>1.3337033540761836</v>
      </c>
      <c r="K138" s="249">
        <v>64.262583891527882</v>
      </c>
      <c r="L138" s="249">
        <v>0</v>
      </c>
      <c r="M138" s="249">
        <v>0</v>
      </c>
      <c r="N138" s="249">
        <v>1.9243612029612234</v>
      </c>
      <c r="O138" s="249">
        <v>0</v>
      </c>
      <c r="P138" s="249">
        <v>0</v>
      </c>
      <c r="Q138" s="249">
        <v>1.0697041169356465</v>
      </c>
      <c r="R138" s="249">
        <v>0.26872410975327571</v>
      </c>
      <c r="S138" s="249">
        <v>7.0048054654479844E-2</v>
      </c>
      <c r="T138" s="249">
        <v>0</v>
      </c>
      <c r="U138" s="249">
        <v>0</v>
      </c>
      <c r="V138" s="249">
        <v>0</v>
      </c>
      <c r="W138" s="249">
        <v>2.7761483463000898E-2</v>
      </c>
      <c r="X138" s="249">
        <v>0</v>
      </c>
      <c r="Y138" s="249">
        <v>0</v>
      </c>
      <c r="Z138" s="249">
        <v>0</v>
      </c>
      <c r="AA138" s="249">
        <v>0</v>
      </c>
      <c r="AB138" s="249">
        <v>2.7822211708076215E-2</v>
      </c>
      <c r="AC138" s="249">
        <v>0</v>
      </c>
      <c r="AD138" s="249">
        <v>0</v>
      </c>
      <c r="AE138" s="249">
        <v>0</v>
      </c>
      <c r="AF138" s="249">
        <v>-138.62502749993544</v>
      </c>
      <c r="AG138" s="249">
        <v>-138.62502749993544</v>
      </c>
      <c r="AH138" s="249">
        <v>25.4</v>
      </c>
      <c r="AI138" s="249">
        <v>19</v>
      </c>
      <c r="AJ138" s="249">
        <v>2</v>
      </c>
      <c r="AK138" s="159" t="s">
        <v>245</v>
      </c>
      <c r="AL138" s="159" t="s">
        <v>247</v>
      </c>
      <c r="AM138" s="159"/>
      <c r="AN138" s="159">
        <v>0</v>
      </c>
      <c r="AO138" s="159">
        <v>7.17</v>
      </c>
      <c r="AP138" s="159">
        <v>4.5599999999999996</v>
      </c>
      <c r="AQ138" s="159">
        <v>0.22</v>
      </c>
      <c r="AR138" s="159">
        <v>75.013000000000005</v>
      </c>
      <c r="AS138" s="159">
        <v>12.46</v>
      </c>
      <c r="AT138" s="159">
        <v>6.66</v>
      </c>
      <c r="AU138" s="159">
        <v>4.57</v>
      </c>
      <c r="AV138" s="159">
        <v>56.17</v>
      </c>
      <c r="AW138" s="159">
        <v>0.16</v>
      </c>
      <c r="AX138" s="159">
        <v>20.93</v>
      </c>
      <c r="AY138" s="159">
        <v>0.88</v>
      </c>
      <c r="AZ138" s="159"/>
      <c r="BA138" s="159"/>
      <c r="BB138" s="159">
        <v>366.31</v>
      </c>
      <c r="BC138" s="159"/>
      <c r="BD138" s="159"/>
      <c r="BE138" s="159"/>
      <c r="BF138" s="159"/>
      <c r="BG138" s="159"/>
      <c r="BH138" s="159"/>
      <c r="BI138" s="159"/>
      <c r="BJ138" s="159">
        <v>76</v>
      </c>
      <c r="BK138" s="159">
        <v>4.5599999999999996</v>
      </c>
      <c r="BL138" s="159">
        <v>0.22</v>
      </c>
      <c r="BM138" s="159">
        <v>75.013000000000005</v>
      </c>
      <c r="BN138" s="159">
        <v>12.46</v>
      </c>
      <c r="BO138" s="159">
        <v>8</v>
      </c>
      <c r="BP138" s="159">
        <v>280</v>
      </c>
      <c r="BQ138" s="159">
        <v>56.17</v>
      </c>
      <c r="BR138" s="159">
        <v>0.16</v>
      </c>
      <c r="BS138" s="159"/>
      <c r="BT138" s="159">
        <v>25</v>
      </c>
      <c r="BU138" s="159"/>
      <c r="BV138" s="159"/>
      <c r="BW138" s="159">
        <v>366.31</v>
      </c>
      <c r="BX138" s="159"/>
      <c r="BY138" s="159"/>
      <c r="BZ138" s="159"/>
      <c r="CA138" s="159"/>
      <c r="CB138" s="159"/>
      <c r="CC138" s="159"/>
      <c r="CD138" s="159">
        <v>0</v>
      </c>
      <c r="CE138" s="159"/>
      <c r="CF138" s="159"/>
      <c r="CG138" s="159">
        <v>-0.24</v>
      </c>
      <c r="CH138" s="159">
        <v>137</v>
      </c>
    </row>
    <row r="139" spans="1:86" x14ac:dyDescent="0.25">
      <c r="A139" s="241" t="s">
        <v>741</v>
      </c>
      <c r="B139" s="241">
        <v>1.8</v>
      </c>
      <c r="C139" s="241">
        <v>647</v>
      </c>
      <c r="D139" s="241">
        <v>1000</v>
      </c>
      <c r="E139" s="241" t="s">
        <v>264</v>
      </c>
      <c r="F139" s="241" t="s">
        <v>264</v>
      </c>
      <c r="G139" s="265">
        <v>7980000</v>
      </c>
      <c r="H139" s="250">
        <v>12.60982844496213</v>
      </c>
      <c r="I139" s="250">
        <v>18.405463129958108</v>
      </c>
      <c r="J139" s="250">
        <v>1.3337033540761836</v>
      </c>
      <c r="K139" s="250">
        <v>64.262583891527882</v>
      </c>
      <c r="L139" s="250">
        <v>0</v>
      </c>
      <c r="M139" s="250">
        <v>0</v>
      </c>
      <c r="N139" s="250">
        <v>1.9243612029612234</v>
      </c>
      <c r="O139" s="250">
        <v>0</v>
      </c>
      <c r="P139" s="250">
        <v>0</v>
      </c>
      <c r="Q139" s="250">
        <v>1.0697041169356465</v>
      </c>
      <c r="R139" s="250">
        <v>0.26872410975327571</v>
      </c>
      <c r="S139" s="250">
        <v>7.0048054654479844E-2</v>
      </c>
      <c r="T139" s="250">
        <v>0</v>
      </c>
      <c r="U139" s="250">
        <v>0</v>
      </c>
      <c r="V139" s="250">
        <v>0</v>
      </c>
      <c r="W139" s="250">
        <v>2.7761483463000898E-2</v>
      </c>
      <c r="X139" s="250">
        <v>0</v>
      </c>
      <c r="Y139" s="250">
        <v>0</v>
      </c>
      <c r="Z139" s="250">
        <v>0</v>
      </c>
      <c r="AA139" s="250">
        <v>0</v>
      </c>
      <c r="AB139" s="250">
        <v>2.7822211708076215E-2</v>
      </c>
      <c r="AC139" s="250">
        <v>0</v>
      </c>
      <c r="AD139" s="250">
        <v>0</v>
      </c>
      <c r="AE139" s="250">
        <v>0</v>
      </c>
      <c r="AF139" s="250">
        <v>-138.72251321814255</v>
      </c>
      <c r="AG139" s="250">
        <v>-138.72251321814255</v>
      </c>
      <c r="AH139" s="250">
        <v>25.4</v>
      </c>
      <c r="AI139" s="250">
        <v>19</v>
      </c>
      <c r="AJ139" s="250">
        <v>2</v>
      </c>
      <c r="AK139" s="241" t="s">
        <v>245</v>
      </c>
      <c r="AL139" s="241" t="s">
        <v>247</v>
      </c>
      <c r="AM139" s="241"/>
      <c r="AN139" s="241">
        <v>0</v>
      </c>
      <c r="AO139" s="241">
        <v>7.17</v>
      </c>
      <c r="AP139" s="241">
        <v>4.5599999999999996</v>
      </c>
      <c r="AQ139" s="241">
        <v>0.22</v>
      </c>
      <c r="AR139" s="241">
        <v>75.013000000000005</v>
      </c>
      <c r="AS139" s="241">
        <v>12.46</v>
      </c>
      <c r="AT139" s="241">
        <v>6.66</v>
      </c>
      <c r="AU139" s="241">
        <v>4.57</v>
      </c>
      <c r="AV139" s="241">
        <v>56.17</v>
      </c>
      <c r="AW139" s="241">
        <v>0.16</v>
      </c>
      <c r="AX139" s="241">
        <v>20.93</v>
      </c>
      <c r="AY139" s="241">
        <v>0.88</v>
      </c>
      <c r="AZ139" s="241"/>
      <c r="BA139" s="241"/>
      <c r="BB139" s="241">
        <v>366.31</v>
      </c>
      <c r="BC139" s="241"/>
      <c r="BD139" s="241"/>
      <c r="BE139" s="241"/>
      <c r="BF139" s="241"/>
      <c r="BG139" s="241"/>
      <c r="BH139" s="241"/>
      <c r="BI139" s="241"/>
      <c r="BJ139" s="241">
        <v>76</v>
      </c>
      <c r="BK139" s="241">
        <v>4.5599999999999996</v>
      </c>
      <c r="BL139" s="241">
        <v>0.22</v>
      </c>
      <c r="BM139" s="241">
        <v>75.013000000000005</v>
      </c>
      <c r="BN139" s="241">
        <v>12.46</v>
      </c>
      <c r="BO139" s="241">
        <v>8</v>
      </c>
      <c r="BP139" s="241">
        <v>280</v>
      </c>
      <c r="BQ139" s="241">
        <v>56.17</v>
      </c>
      <c r="BR139" s="241">
        <v>0.16</v>
      </c>
      <c r="BS139" s="241"/>
      <c r="BT139" s="241">
        <v>25</v>
      </c>
      <c r="BU139" s="241"/>
      <c r="BV139" s="241"/>
      <c r="BW139" s="241">
        <v>366.31</v>
      </c>
      <c r="BX139" s="241"/>
      <c r="BY139" s="241"/>
      <c r="BZ139" s="241"/>
      <c r="CA139" s="241"/>
      <c r="CB139" s="241"/>
      <c r="CC139" s="241"/>
      <c r="CD139" s="241">
        <v>0</v>
      </c>
      <c r="CE139" s="241"/>
      <c r="CF139" s="241">
        <v>-9.7799999999999994</v>
      </c>
      <c r="CG139" s="241">
        <v>-1.44</v>
      </c>
      <c r="CH139" s="241">
        <v>138</v>
      </c>
    </row>
    <row r="140" spans="1:86" x14ac:dyDescent="0.25">
      <c r="A140" s="159" t="s">
        <v>867</v>
      </c>
      <c r="B140" s="159">
        <v>1.8</v>
      </c>
      <c r="C140" s="159">
        <v>636</v>
      </c>
      <c r="D140" s="159">
        <v>1000</v>
      </c>
      <c r="E140" s="159" t="s">
        <v>264</v>
      </c>
      <c r="F140" s="159" t="s">
        <v>264</v>
      </c>
      <c r="G140" s="264">
        <v>7980000</v>
      </c>
      <c r="H140" s="249">
        <v>12.60982844496213</v>
      </c>
      <c r="I140" s="249">
        <v>18.405463129958108</v>
      </c>
      <c r="J140" s="249">
        <v>1.3337033540761836</v>
      </c>
      <c r="K140" s="249">
        <v>64.262583891527882</v>
      </c>
      <c r="L140" s="249">
        <v>0</v>
      </c>
      <c r="M140" s="249">
        <v>0</v>
      </c>
      <c r="N140" s="249">
        <v>1.9243612029612234</v>
      </c>
      <c r="O140" s="249">
        <v>0</v>
      </c>
      <c r="P140" s="249">
        <v>0</v>
      </c>
      <c r="Q140" s="249">
        <v>1.0697041169356465</v>
      </c>
      <c r="R140" s="249">
        <v>0.26872410975327571</v>
      </c>
      <c r="S140" s="249">
        <v>7.0048054654479844E-2</v>
      </c>
      <c r="T140" s="249">
        <v>0</v>
      </c>
      <c r="U140" s="249">
        <v>0</v>
      </c>
      <c r="V140" s="249">
        <v>0</v>
      </c>
      <c r="W140" s="249">
        <v>2.7761483463000898E-2</v>
      </c>
      <c r="X140" s="249">
        <v>0</v>
      </c>
      <c r="Y140" s="249">
        <v>0</v>
      </c>
      <c r="Z140" s="249">
        <v>0</v>
      </c>
      <c r="AA140" s="249">
        <v>0</v>
      </c>
      <c r="AB140" s="249">
        <v>2.7822211708076215E-2</v>
      </c>
      <c r="AC140" s="249">
        <v>0</v>
      </c>
      <c r="AD140" s="249">
        <v>0</v>
      </c>
      <c r="AE140" s="249">
        <v>0</v>
      </c>
      <c r="AF140" s="249">
        <v>-139.07996085156873</v>
      </c>
      <c r="AG140" s="249">
        <v>-139.07996085156873</v>
      </c>
      <c r="AH140" s="249">
        <v>25.4</v>
      </c>
      <c r="AI140" s="249">
        <v>19</v>
      </c>
      <c r="AJ140" s="249">
        <v>2</v>
      </c>
      <c r="AK140" s="159" t="s">
        <v>245</v>
      </c>
      <c r="AL140" s="159" t="s">
        <v>247</v>
      </c>
      <c r="AM140" s="159"/>
      <c r="AN140" s="159">
        <v>0</v>
      </c>
      <c r="AO140" s="159">
        <v>7.17</v>
      </c>
      <c r="AP140" s="159">
        <v>4.5599999999999996</v>
      </c>
      <c r="AQ140" s="159">
        <v>0.22</v>
      </c>
      <c r="AR140" s="159">
        <v>75.013000000000005</v>
      </c>
      <c r="AS140" s="159">
        <v>12.46</v>
      </c>
      <c r="AT140" s="159">
        <v>6.66</v>
      </c>
      <c r="AU140" s="159">
        <v>4.57</v>
      </c>
      <c r="AV140" s="159">
        <v>56.17</v>
      </c>
      <c r="AW140" s="159">
        <v>0.16</v>
      </c>
      <c r="AX140" s="159">
        <v>20.93</v>
      </c>
      <c r="AY140" s="159">
        <v>0.88</v>
      </c>
      <c r="AZ140" s="159"/>
      <c r="BA140" s="159"/>
      <c r="BB140" s="159">
        <v>366.31</v>
      </c>
      <c r="BC140" s="159"/>
      <c r="BD140" s="159"/>
      <c r="BE140" s="159"/>
      <c r="BF140" s="159"/>
      <c r="BG140" s="159"/>
      <c r="BH140" s="159"/>
      <c r="BI140" s="159"/>
      <c r="BJ140" s="159">
        <v>76</v>
      </c>
      <c r="BK140" s="159">
        <v>4.5599999999999996</v>
      </c>
      <c r="BL140" s="159">
        <v>0.22</v>
      </c>
      <c r="BM140" s="159">
        <v>75.013000000000005</v>
      </c>
      <c r="BN140" s="159">
        <v>12.46</v>
      </c>
      <c r="BO140" s="159">
        <v>8</v>
      </c>
      <c r="BP140" s="159">
        <v>280</v>
      </c>
      <c r="BQ140" s="159">
        <v>56.17</v>
      </c>
      <c r="BR140" s="159">
        <v>0.16</v>
      </c>
      <c r="BS140" s="159"/>
      <c r="BT140" s="159">
        <v>25</v>
      </c>
      <c r="BU140" s="159"/>
      <c r="BV140" s="159"/>
      <c r="BW140" s="159">
        <v>366.31</v>
      </c>
      <c r="BX140" s="159"/>
      <c r="BY140" s="159"/>
      <c r="BZ140" s="159"/>
      <c r="CA140" s="159"/>
      <c r="CB140" s="159"/>
      <c r="CC140" s="159"/>
      <c r="CD140" s="159">
        <v>0</v>
      </c>
      <c r="CE140" s="159"/>
      <c r="CF140" s="159">
        <v>-6.63</v>
      </c>
      <c r="CG140" s="159">
        <v>-1.33</v>
      </c>
      <c r="CH140" s="159">
        <v>139</v>
      </c>
    </row>
    <row r="141" spans="1:86" x14ac:dyDescent="0.25">
      <c r="A141" s="241" t="s">
        <v>868</v>
      </c>
      <c r="B141" s="241">
        <v>1.8</v>
      </c>
      <c r="C141" s="241">
        <v>626</v>
      </c>
      <c r="D141" s="241">
        <v>1000</v>
      </c>
      <c r="E141" s="241" t="s">
        <v>264</v>
      </c>
      <c r="F141" s="241" t="s">
        <v>264</v>
      </c>
      <c r="G141" s="265">
        <v>7980000</v>
      </c>
      <c r="H141" s="250">
        <v>12.60982844496213</v>
      </c>
      <c r="I141" s="250">
        <v>18.405463129958108</v>
      </c>
      <c r="J141" s="250">
        <v>1.3337033540761836</v>
      </c>
      <c r="K141" s="250">
        <v>64.262583891527882</v>
      </c>
      <c r="L141" s="250">
        <v>0</v>
      </c>
      <c r="M141" s="250">
        <v>0</v>
      </c>
      <c r="N141" s="250">
        <v>1.9243612029612234</v>
      </c>
      <c r="O141" s="250">
        <v>0</v>
      </c>
      <c r="P141" s="250">
        <v>0</v>
      </c>
      <c r="Q141" s="250">
        <v>1.0697041169356465</v>
      </c>
      <c r="R141" s="250">
        <v>0.26872410975327571</v>
      </c>
      <c r="S141" s="250">
        <v>7.0048054654479844E-2</v>
      </c>
      <c r="T141" s="250">
        <v>0</v>
      </c>
      <c r="U141" s="250">
        <v>0</v>
      </c>
      <c r="V141" s="250">
        <v>0</v>
      </c>
      <c r="W141" s="250">
        <v>2.7761483463000898E-2</v>
      </c>
      <c r="X141" s="250">
        <v>0</v>
      </c>
      <c r="Y141" s="250">
        <v>0</v>
      </c>
      <c r="Z141" s="250">
        <v>0</v>
      </c>
      <c r="AA141" s="250">
        <v>0</v>
      </c>
      <c r="AB141" s="250">
        <v>2.7822211708076215E-2</v>
      </c>
      <c r="AC141" s="250">
        <v>0</v>
      </c>
      <c r="AD141" s="250">
        <v>0</v>
      </c>
      <c r="AE141" s="250">
        <v>0</v>
      </c>
      <c r="AF141" s="250">
        <v>-139.4049132455925</v>
      </c>
      <c r="AG141" s="250">
        <v>-139.4049132455925</v>
      </c>
      <c r="AH141" s="250">
        <v>25.4</v>
      </c>
      <c r="AI141" s="250">
        <v>19</v>
      </c>
      <c r="AJ141" s="250">
        <v>2</v>
      </c>
      <c r="AK141" s="241" t="s">
        <v>245</v>
      </c>
      <c r="AL141" s="241" t="s">
        <v>247</v>
      </c>
      <c r="AM141" s="241"/>
      <c r="AN141" s="241">
        <v>0</v>
      </c>
      <c r="AO141" s="241">
        <v>7.17</v>
      </c>
      <c r="AP141" s="241">
        <v>4.5599999999999996</v>
      </c>
      <c r="AQ141" s="241">
        <v>0.22</v>
      </c>
      <c r="AR141" s="241">
        <v>75.013000000000005</v>
      </c>
      <c r="AS141" s="241">
        <v>12.46</v>
      </c>
      <c r="AT141" s="241">
        <v>6.66</v>
      </c>
      <c r="AU141" s="241">
        <v>4.57</v>
      </c>
      <c r="AV141" s="241">
        <v>56.17</v>
      </c>
      <c r="AW141" s="241">
        <v>0.16</v>
      </c>
      <c r="AX141" s="241">
        <v>20.93</v>
      </c>
      <c r="AY141" s="241">
        <v>0.88</v>
      </c>
      <c r="AZ141" s="241"/>
      <c r="BA141" s="241"/>
      <c r="BB141" s="241">
        <v>366.31</v>
      </c>
      <c r="BC141" s="241"/>
      <c r="BD141" s="241"/>
      <c r="BE141" s="241"/>
      <c r="BF141" s="241"/>
      <c r="BG141" s="241"/>
      <c r="BH141" s="241"/>
      <c r="BI141" s="241"/>
      <c r="BJ141" s="241">
        <v>76</v>
      </c>
      <c r="BK141" s="241">
        <v>4.5599999999999996</v>
      </c>
      <c r="BL141" s="241">
        <v>0.22</v>
      </c>
      <c r="BM141" s="241">
        <v>75.013000000000005</v>
      </c>
      <c r="BN141" s="241">
        <v>12.46</v>
      </c>
      <c r="BO141" s="241">
        <v>8</v>
      </c>
      <c r="BP141" s="241">
        <v>280</v>
      </c>
      <c r="BQ141" s="241">
        <v>56.17</v>
      </c>
      <c r="BR141" s="241">
        <v>0.16</v>
      </c>
      <c r="BS141" s="241"/>
      <c r="BT141" s="241">
        <v>25</v>
      </c>
      <c r="BU141" s="241"/>
      <c r="BV141" s="241"/>
      <c r="BW141" s="241">
        <v>366.31</v>
      </c>
      <c r="BX141" s="241"/>
      <c r="BY141" s="241"/>
      <c r="BZ141" s="241"/>
      <c r="CA141" s="241"/>
      <c r="CB141" s="241"/>
      <c r="CC141" s="241"/>
      <c r="CD141" s="241">
        <v>0</v>
      </c>
      <c r="CE141" s="241"/>
      <c r="CF141" s="241">
        <v>-5.55</v>
      </c>
      <c r="CG141" s="241">
        <v>-1.28</v>
      </c>
      <c r="CH141" s="241">
        <v>140</v>
      </c>
    </row>
    <row r="142" spans="1:86" x14ac:dyDescent="0.25">
      <c r="A142" s="159" t="s">
        <v>869</v>
      </c>
      <c r="B142" s="159">
        <v>1.8</v>
      </c>
      <c r="C142" s="159">
        <v>603</v>
      </c>
      <c r="D142" s="159">
        <v>1000</v>
      </c>
      <c r="E142" s="159" t="s">
        <v>264</v>
      </c>
      <c r="F142" s="159" t="s">
        <v>264</v>
      </c>
      <c r="G142" s="264">
        <v>7980000</v>
      </c>
      <c r="H142" s="249">
        <v>12.60982844496213</v>
      </c>
      <c r="I142" s="249">
        <v>18.405463129958108</v>
      </c>
      <c r="J142" s="249">
        <v>1.3337033540761836</v>
      </c>
      <c r="K142" s="249">
        <v>64.262583891527882</v>
      </c>
      <c r="L142" s="249">
        <v>0</v>
      </c>
      <c r="M142" s="249">
        <v>0</v>
      </c>
      <c r="N142" s="249">
        <v>1.9243612029612234</v>
      </c>
      <c r="O142" s="249">
        <v>0</v>
      </c>
      <c r="P142" s="249">
        <v>0</v>
      </c>
      <c r="Q142" s="249">
        <v>1.0697041169356465</v>
      </c>
      <c r="R142" s="249">
        <v>0.26872410975327571</v>
      </c>
      <c r="S142" s="249">
        <v>7.0048054654479844E-2</v>
      </c>
      <c r="T142" s="249">
        <v>0</v>
      </c>
      <c r="U142" s="249">
        <v>0</v>
      </c>
      <c r="V142" s="249">
        <v>0</v>
      </c>
      <c r="W142" s="249">
        <v>2.7761483463000898E-2</v>
      </c>
      <c r="X142" s="249">
        <v>0</v>
      </c>
      <c r="Y142" s="249">
        <v>0</v>
      </c>
      <c r="Z142" s="249">
        <v>0</v>
      </c>
      <c r="AA142" s="249">
        <v>0</v>
      </c>
      <c r="AB142" s="249">
        <v>2.7822211708076215E-2</v>
      </c>
      <c r="AC142" s="249">
        <v>0</v>
      </c>
      <c r="AD142" s="249">
        <v>0</v>
      </c>
      <c r="AE142" s="249">
        <v>0</v>
      </c>
      <c r="AF142" s="249">
        <v>-140.15230375184711</v>
      </c>
      <c r="AG142" s="249">
        <v>-140.15230375184711</v>
      </c>
      <c r="AH142" s="249">
        <v>25.4</v>
      </c>
      <c r="AI142" s="249">
        <v>19</v>
      </c>
      <c r="AJ142" s="249">
        <v>2</v>
      </c>
      <c r="AK142" s="159" t="s">
        <v>245</v>
      </c>
      <c r="AL142" s="159" t="s">
        <v>247</v>
      </c>
      <c r="AM142" s="159"/>
      <c r="AN142" s="159">
        <v>0</v>
      </c>
      <c r="AO142" s="159">
        <v>7.17</v>
      </c>
      <c r="AP142" s="159">
        <v>4.5599999999999996</v>
      </c>
      <c r="AQ142" s="159">
        <v>0.22</v>
      </c>
      <c r="AR142" s="159">
        <v>75.013000000000005</v>
      </c>
      <c r="AS142" s="159">
        <v>12.46</v>
      </c>
      <c r="AT142" s="159">
        <v>6.66</v>
      </c>
      <c r="AU142" s="159">
        <v>4.57</v>
      </c>
      <c r="AV142" s="159">
        <v>56.17</v>
      </c>
      <c r="AW142" s="159">
        <v>0.16</v>
      </c>
      <c r="AX142" s="159">
        <v>20.93</v>
      </c>
      <c r="AY142" s="159">
        <v>0.88</v>
      </c>
      <c r="AZ142" s="159"/>
      <c r="BA142" s="159"/>
      <c r="BB142" s="159">
        <v>366.31</v>
      </c>
      <c r="BC142" s="159"/>
      <c r="BD142" s="159"/>
      <c r="BE142" s="159"/>
      <c r="BF142" s="159"/>
      <c r="BG142" s="159"/>
      <c r="BH142" s="159"/>
      <c r="BI142" s="159"/>
      <c r="BJ142" s="159">
        <v>76</v>
      </c>
      <c r="BK142" s="159">
        <v>4.5599999999999996</v>
      </c>
      <c r="BL142" s="159">
        <v>0.22</v>
      </c>
      <c r="BM142" s="159">
        <v>75.013000000000005</v>
      </c>
      <c r="BN142" s="159">
        <v>12.46</v>
      </c>
      <c r="BO142" s="159">
        <v>8</v>
      </c>
      <c r="BP142" s="159">
        <v>280</v>
      </c>
      <c r="BQ142" s="159">
        <v>56.17</v>
      </c>
      <c r="BR142" s="159">
        <v>0.16</v>
      </c>
      <c r="BS142" s="159"/>
      <c r="BT142" s="159">
        <v>25</v>
      </c>
      <c r="BU142" s="159"/>
      <c r="BV142" s="159"/>
      <c r="BW142" s="159">
        <v>366.31</v>
      </c>
      <c r="BX142" s="159"/>
      <c r="BY142" s="159"/>
      <c r="BZ142" s="159"/>
      <c r="CA142" s="159"/>
      <c r="CB142" s="159"/>
      <c r="CC142" s="159"/>
      <c r="CD142" s="159">
        <v>0</v>
      </c>
      <c r="CE142" s="159"/>
      <c r="CF142" s="159">
        <v>-1.05</v>
      </c>
      <c r="CG142" s="159">
        <v>-0.75</v>
      </c>
      <c r="CH142" s="159">
        <v>141</v>
      </c>
    </row>
    <row r="143" spans="1:86" x14ac:dyDescent="0.25">
      <c r="A143" s="241" t="s">
        <v>870</v>
      </c>
      <c r="B143" s="241">
        <v>1.8</v>
      </c>
      <c r="C143" s="241">
        <v>592</v>
      </c>
      <c r="D143" s="241">
        <v>1000</v>
      </c>
      <c r="E143" s="241" t="s">
        <v>264</v>
      </c>
      <c r="F143" s="241" t="s">
        <v>264</v>
      </c>
      <c r="G143" s="265">
        <v>7980000</v>
      </c>
      <c r="H143" s="250">
        <v>12.60982844496213</v>
      </c>
      <c r="I143" s="250">
        <v>18.405463129958108</v>
      </c>
      <c r="J143" s="250">
        <v>1.3337033540761836</v>
      </c>
      <c r="K143" s="250">
        <v>64.262583891527882</v>
      </c>
      <c r="L143" s="250">
        <v>0</v>
      </c>
      <c r="M143" s="250">
        <v>0</v>
      </c>
      <c r="N143" s="250">
        <v>1.9243612029612234</v>
      </c>
      <c r="O143" s="250">
        <v>0</v>
      </c>
      <c r="P143" s="250">
        <v>0</v>
      </c>
      <c r="Q143" s="250">
        <v>1.0697041169356465</v>
      </c>
      <c r="R143" s="250">
        <v>0.26872410975327571</v>
      </c>
      <c r="S143" s="250">
        <v>7.0048054654479844E-2</v>
      </c>
      <c r="T143" s="250">
        <v>0</v>
      </c>
      <c r="U143" s="250">
        <v>0</v>
      </c>
      <c r="V143" s="250">
        <v>0</v>
      </c>
      <c r="W143" s="250">
        <v>2.7761483463000898E-2</v>
      </c>
      <c r="X143" s="250">
        <v>0</v>
      </c>
      <c r="Y143" s="250">
        <v>0</v>
      </c>
      <c r="Z143" s="250">
        <v>0</v>
      </c>
      <c r="AA143" s="250">
        <v>0</v>
      </c>
      <c r="AB143" s="250">
        <v>2.7822211708076215E-2</v>
      </c>
      <c r="AC143" s="250">
        <v>0</v>
      </c>
      <c r="AD143" s="250">
        <v>0</v>
      </c>
      <c r="AE143" s="250">
        <v>0</v>
      </c>
      <c r="AF143" s="250">
        <v>-140.50975138527329</v>
      </c>
      <c r="AG143" s="250">
        <v>-140.50975138527329</v>
      </c>
      <c r="AH143" s="250">
        <v>25.4</v>
      </c>
      <c r="AI143" s="250">
        <v>19</v>
      </c>
      <c r="AJ143" s="250">
        <v>2</v>
      </c>
      <c r="AK143" s="241" t="s">
        <v>245</v>
      </c>
      <c r="AL143" s="241" t="s">
        <v>247</v>
      </c>
      <c r="AM143" s="241"/>
      <c r="AN143" s="241">
        <v>0</v>
      </c>
      <c r="AO143" s="241">
        <v>7.17</v>
      </c>
      <c r="AP143" s="241">
        <v>4.5599999999999996</v>
      </c>
      <c r="AQ143" s="241">
        <v>0.22</v>
      </c>
      <c r="AR143" s="241">
        <v>75.013000000000005</v>
      </c>
      <c r="AS143" s="241">
        <v>12.46</v>
      </c>
      <c r="AT143" s="241">
        <v>6.66</v>
      </c>
      <c r="AU143" s="241">
        <v>4.57</v>
      </c>
      <c r="AV143" s="241">
        <v>56.17</v>
      </c>
      <c r="AW143" s="241">
        <v>0.16</v>
      </c>
      <c r="AX143" s="241">
        <v>20.93</v>
      </c>
      <c r="AY143" s="241">
        <v>0.88</v>
      </c>
      <c r="AZ143" s="241"/>
      <c r="BA143" s="241"/>
      <c r="BB143" s="241">
        <v>366.31</v>
      </c>
      <c r="BC143" s="241"/>
      <c r="BD143" s="241"/>
      <c r="BE143" s="241"/>
      <c r="BF143" s="241"/>
      <c r="BG143" s="241"/>
      <c r="BH143" s="241"/>
      <c r="BI143" s="241"/>
      <c r="BJ143" s="241">
        <v>76</v>
      </c>
      <c r="BK143" s="241">
        <v>4.5599999999999996</v>
      </c>
      <c r="BL143" s="241">
        <v>0.22</v>
      </c>
      <c r="BM143" s="241">
        <v>75.013000000000005</v>
      </c>
      <c r="BN143" s="241">
        <v>12.46</v>
      </c>
      <c r="BO143" s="241">
        <v>8</v>
      </c>
      <c r="BP143" s="241">
        <v>280</v>
      </c>
      <c r="BQ143" s="241">
        <v>56.17</v>
      </c>
      <c r="BR143" s="241">
        <v>0.16</v>
      </c>
      <c r="BS143" s="241"/>
      <c r="BT143" s="241">
        <v>25</v>
      </c>
      <c r="BU143" s="241"/>
      <c r="BV143" s="241"/>
      <c r="BW143" s="241">
        <v>366.31</v>
      </c>
      <c r="BX143" s="241"/>
      <c r="BY143" s="241"/>
      <c r="BZ143" s="241"/>
      <c r="CA143" s="241"/>
      <c r="CB143" s="241"/>
      <c r="CC143" s="241"/>
      <c r="CD143" s="241">
        <v>0</v>
      </c>
      <c r="CE143" s="241"/>
      <c r="CF143" s="241">
        <v>-2.14</v>
      </c>
      <c r="CG143" s="241">
        <v>-0.64</v>
      </c>
      <c r="CH143" s="241">
        <v>142</v>
      </c>
    </row>
    <row r="144" spans="1:86" x14ac:dyDescent="0.25">
      <c r="A144" s="159" t="s">
        <v>871</v>
      </c>
      <c r="B144" s="159">
        <v>1.8</v>
      </c>
      <c r="C144" s="159">
        <v>582</v>
      </c>
      <c r="D144" s="159">
        <v>1000</v>
      </c>
      <c r="E144" s="159" t="s">
        <v>264</v>
      </c>
      <c r="F144" s="159" t="s">
        <v>264</v>
      </c>
      <c r="G144" s="264">
        <v>7980000</v>
      </c>
      <c r="H144" s="249">
        <v>12.60982844496213</v>
      </c>
      <c r="I144" s="249">
        <v>18.405463129958108</v>
      </c>
      <c r="J144" s="249">
        <v>1.3337033540761836</v>
      </c>
      <c r="K144" s="249">
        <v>64.262583891527882</v>
      </c>
      <c r="L144" s="249">
        <v>0</v>
      </c>
      <c r="M144" s="249">
        <v>0</v>
      </c>
      <c r="N144" s="249">
        <v>1.9243612029612234</v>
      </c>
      <c r="O144" s="249">
        <v>0</v>
      </c>
      <c r="P144" s="249">
        <v>0</v>
      </c>
      <c r="Q144" s="249">
        <v>1.0697041169356465</v>
      </c>
      <c r="R144" s="249">
        <v>0.26872410975327571</v>
      </c>
      <c r="S144" s="249">
        <v>7.0048054654479844E-2</v>
      </c>
      <c r="T144" s="249">
        <v>0</v>
      </c>
      <c r="U144" s="249">
        <v>0</v>
      </c>
      <c r="V144" s="249">
        <v>0</v>
      </c>
      <c r="W144" s="249">
        <v>2.7761483463000898E-2</v>
      </c>
      <c r="X144" s="249">
        <v>0</v>
      </c>
      <c r="Y144" s="249">
        <v>0</v>
      </c>
      <c r="Z144" s="249">
        <v>0</v>
      </c>
      <c r="AA144" s="249">
        <v>0</v>
      </c>
      <c r="AB144" s="249">
        <v>2.7822211708076215E-2</v>
      </c>
      <c r="AC144" s="249">
        <v>0</v>
      </c>
      <c r="AD144" s="249">
        <v>0</v>
      </c>
      <c r="AE144" s="249">
        <v>0</v>
      </c>
      <c r="AF144" s="249">
        <v>-140.834703779297</v>
      </c>
      <c r="AG144" s="249">
        <v>-140.834703779297</v>
      </c>
      <c r="AH144" s="249">
        <v>25.4</v>
      </c>
      <c r="AI144" s="249">
        <v>19</v>
      </c>
      <c r="AJ144" s="249">
        <v>2</v>
      </c>
      <c r="AK144" s="159" t="s">
        <v>245</v>
      </c>
      <c r="AL144" s="159" t="s">
        <v>247</v>
      </c>
      <c r="AM144" s="159"/>
      <c r="AN144" s="159">
        <v>0</v>
      </c>
      <c r="AO144" s="159">
        <v>7.17</v>
      </c>
      <c r="AP144" s="159">
        <v>4.5599999999999996</v>
      </c>
      <c r="AQ144" s="159">
        <v>0.22</v>
      </c>
      <c r="AR144" s="159">
        <v>75.013000000000005</v>
      </c>
      <c r="AS144" s="159">
        <v>12.46</v>
      </c>
      <c r="AT144" s="159">
        <v>6.66</v>
      </c>
      <c r="AU144" s="159">
        <v>4.57</v>
      </c>
      <c r="AV144" s="159">
        <v>56.17</v>
      </c>
      <c r="AW144" s="159">
        <v>0.16</v>
      </c>
      <c r="AX144" s="159">
        <v>20.93</v>
      </c>
      <c r="AY144" s="159">
        <v>0.88</v>
      </c>
      <c r="AZ144" s="159"/>
      <c r="BA144" s="159"/>
      <c r="BB144" s="159">
        <v>366.31</v>
      </c>
      <c r="BC144" s="159"/>
      <c r="BD144" s="159"/>
      <c r="BE144" s="159"/>
      <c r="BF144" s="159"/>
      <c r="BG144" s="159"/>
      <c r="BH144" s="159"/>
      <c r="BI144" s="159"/>
      <c r="BJ144" s="159">
        <v>76</v>
      </c>
      <c r="BK144" s="159">
        <v>4.5599999999999996</v>
      </c>
      <c r="BL144" s="159">
        <v>0.22</v>
      </c>
      <c r="BM144" s="159">
        <v>75.013000000000005</v>
      </c>
      <c r="BN144" s="159">
        <v>12.46</v>
      </c>
      <c r="BO144" s="159">
        <v>8</v>
      </c>
      <c r="BP144" s="159">
        <v>280</v>
      </c>
      <c r="BQ144" s="159">
        <v>56.17</v>
      </c>
      <c r="BR144" s="159">
        <v>0.16</v>
      </c>
      <c r="BS144" s="159"/>
      <c r="BT144" s="159">
        <v>25</v>
      </c>
      <c r="BU144" s="159"/>
      <c r="BV144" s="159"/>
      <c r="BW144" s="159">
        <v>366.31</v>
      </c>
      <c r="BX144" s="159"/>
      <c r="BY144" s="159"/>
      <c r="BZ144" s="159"/>
      <c r="CA144" s="159"/>
      <c r="CB144" s="159"/>
      <c r="CC144" s="159"/>
      <c r="CD144" s="159">
        <v>0</v>
      </c>
      <c r="CE144" s="159"/>
      <c r="CF144" s="159">
        <v>-1.8</v>
      </c>
      <c r="CG144" s="159">
        <v>-0.5</v>
      </c>
      <c r="CH144" s="159">
        <v>143</v>
      </c>
    </row>
    <row r="145" spans="1:86" x14ac:dyDescent="0.25">
      <c r="A145" s="241" t="s">
        <v>872</v>
      </c>
      <c r="B145" s="241">
        <v>1.8</v>
      </c>
      <c r="C145" s="241">
        <v>604</v>
      </c>
      <c r="D145" s="241">
        <v>1000</v>
      </c>
      <c r="E145" s="241" t="s">
        <v>264</v>
      </c>
      <c r="F145" s="241" t="s">
        <v>264</v>
      </c>
      <c r="G145" s="265">
        <v>7980000</v>
      </c>
      <c r="H145" s="250">
        <v>12.60982844496213</v>
      </c>
      <c r="I145" s="250">
        <v>18.405463129958108</v>
      </c>
      <c r="J145" s="250">
        <v>1.3337033540761836</v>
      </c>
      <c r="K145" s="250">
        <v>64.262583891527882</v>
      </c>
      <c r="L145" s="250">
        <v>0</v>
      </c>
      <c r="M145" s="250">
        <v>0</v>
      </c>
      <c r="N145" s="250">
        <v>1.9243612029612234</v>
      </c>
      <c r="O145" s="250">
        <v>0</v>
      </c>
      <c r="P145" s="250">
        <v>0</v>
      </c>
      <c r="Q145" s="250">
        <v>1.0697041169356465</v>
      </c>
      <c r="R145" s="250">
        <v>0.26872410975327571</v>
      </c>
      <c r="S145" s="250">
        <v>7.0048054654479844E-2</v>
      </c>
      <c r="T145" s="250">
        <v>0</v>
      </c>
      <c r="U145" s="250">
        <v>0</v>
      </c>
      <c r="V145" s="250">
        <v>0</v>
      </c>
      <c r="W145" s="250">
        <v>2.7761483463000898E-2</v>
      </c>
      <c r="X145" s="250">
        <v>0</v>
      </c>
      <c r="Y145" s="250">
        <v>0</v>
      </c>
      <c r="Z145" s="250">
        <v>0</v>
      </c>
      <c r="AA145" s="250">
        <v>0</v>
      </c>
      <c r="AB145" s="250">
        <v>2.7822211708076215E-2</v>
      </c>
      <c r="AC145" s="250">
        <v>0</v>
      </c>
      <c r="AD145" s="250">
        <v>0</v>
      </c>
      <c r="AE145" s="250">
        <v>0</v>
      </c>
      <c r="AF145" s="250">
        <v>-140.11980851244476</v>
      </c>
      <c r="AG145" s="250">
        <v>-140.11980851244476</v>
      </c>
      <c r="AH145" s="250">
        <v>25.4</v>
      </c>
      <c r="AI145" s="250">
        <v>19</v>
      </c>
      <c r="AJ145" s="250">
        <v>2</v>
      </c>
      <c r="AK145" s="241" t="s">
        <v>245</v>
      </c>
      <c r="AL145" s="241" t="s">
        <v>247</v>
      </c>
      <c r="AM145" s="241"/>
      <c r="AN145" s="241">
        <v>0</v>
      </c>
      <c r="AO145" s="241">
        <v>7.17</v>
      </c>
      <c r="AP145" s="241">
        <v>4.5599999999999996</v>
      </c>
      <c r="AQ145" s="241">
        <v>0.22</v>
      </c>
      <c r="AR145" s="241">
        <v>75.013000000000005</v>
      </c>
      <c r="AS145" s="241">
        <v>12.46</v>
      </c>
      <c r="AT145" s="241">
        <v>6.66</v>
      </c>
      <c r="AU145" s="241">
        <v>4.57</v>
      </c>
      <c r="AV145" s="241">
        <v>56.17</v>
      </c>
      <c r="AW145" s="241">
        <v>0.16</v>
      </c>
      <c r="AX145" s="241">
        <v>20.93</v>
      </c>
      <c r="AY145" s="241">
        <v>0.88</v>
      </c>
      <c r="AZ145" s="241"/>
      <c r="BA145" s="241"/>
      <c r="BB145" s="241">
        <v>366.31</v>
      </c>
      <c r="BC145" s="241"/>
      <c r="BD145" s="241"/>
      <c r="BE145" s="241"/>
      <c r="BF145" s="241"/>
      <c r="BG145" s="241"/>
      <c r="BH145" s="241"/>
      <c r="BI145" s="241"/>
      <c r="BJ145" s="241">
        <v>76</v>
      </c>
      <c r="BK145" s="241">
        <v>4.5599999999999996</v>
      </c>
      <c r="BL145" s="241">
        <v>0.22</v>
      </c>
      <c r="BM145" s="241">
        <v>75.013000000000005</v>
      </c>
      <c r="BN145" s="241">
        <v>12.46</v>
      </c>
      <c r="BO145" s="241">
        <v>8</v>
      </c>
      <c r="BP145" s="241">
        <v>280</v>
      </c>
      <c r="BQ145" s="241">
        <v>56.17</v>
      </c>
      <c r="BR145" s="241">
        <v>0.16</v>
      </c>
      <c r="BS145" s="241"/>
      <c r="BT145" s="241">
        <v>25</v>
      </c>
      <c r="BU145" s="241"/>
      <c r="BV145" s="241"/>
      <c r="BW145" s="241">
        <v>366.31</v>
      </c>
      <c r="BX145" s="241"/>
      <c r="BY145" s="241"/>
      <c r="BZ145" s="241"/>
      <c r="CA145" s="241"/>
      <c r="CB145" s="241"/>
      <c r="CC145" s="241"/>
      <c r="CD145" s="241">
        <v>0</v>
      </c>
      <c r="CE145" s="241"/>
      <c r="CF145" s="241">
        <v>-2.16</v>
      </c>
      <c r="CG145" s="241">
        <v>-0.37</v>
      </c>
      <c r="CH145" s="241">
        <v>144</v>
      </c>
    </row>
    <row r="146" spans="1:86" ht="16.5" thickBot="1" x14ac:dyDescent="0.3">
      <c r="A146" s="160" t="s">
        <v>873</v>
      </c>
      <c r="B146" s="160">
        <v>1.8</v>
      </c>
      <c r="C146" s="160">
        <v>594</v>
      </c>
      <c r="D146" s="160">
        <v>1000</v>
      </c>
      <c r="E146" s="160" t="s">
        <v>264</v>
      </c>
      <c r="F146" s="160" t="s">
        <v>264</v>
      </c>
      <c r="G146" s="267">
        <v>7980000</v>
      </c>
      <c r="H146" s="252">
        <v>12.60982844496213</v>
      </c>
      <c r="I146" s="252">
        <v>18.405463129958108</v>
      </c>
      <c r="J146" s="252">
        <v>1.3337033540761836</v>
      </c>
      <c r="K146" s="252">
        <v>64.262583891527882</v>
      </c>
      <c r="L146" s="252">
        <v>0</v>
      </c>
      <c r="M146" s="252">
        <v>0</v>
      </c>
      <c r="N146" s="252">
        <v>1.9243612029612234</v>
      </c>
      <c r="O146" s="252">
        <v>0</v>
      </c>
      <c r="P146" s="252">
        <v>0</v>
      </c>
      <c r="Q146" s="252">
        <v>1.0697041169356465</v>
      </c>
      <c r="R146" s="252">
        <v>0.26872410975327571</v>
      </c>
      <c r="S146" s="252">
        <v>7.0048054654479844E-2</v>
      </c>
      <c r="T146" s="252">
        <v>0</v>
      </c>
      <c r="U146" s="252">
        <v>0</v>
      </c>
      <c r="V146" s="252">
        <v>0</v>
      </c>
      <c r="W146" s="252">
        <v>2.7761483463000898E-2</v>
      </c>
      <c r="X146" s="252">
        <v>0</v>
      </c>
      <c r="Y146" s="252">
        <v>0</v>
      </c>
      <c r="Z146" s="252">
        <v>0</v>
      </c>
      <c r="AA146" s="252">
        <v>0</v>
      </c>
      <c r="AB146" s="252">
        <v>2.7822211708076215E-2</v>
      </c>
      <c r="AC146" s="252">
        <v>0</v>
      </c>
      <c r="AD146" s="252">
        <v>0</v>
      </c>
      <c r="AE146" s="252">
        <v>0</v>
      </c>
      <c r="AF146" s="252">
        <v>-140.4447609064685</v>
      </c>
      <c r="AG146" s="252">
        <v>-140.4447609064685</v>
      </c>
      <c r="AH146" s="252">
        <v>25.4</v>
      </c>
      <c r="AI146" s="252">
        <v>19</v>
      </c>
      <c r="AJ146" s="252">
        <v>2</v>
      </c>
      <c r="AK146" s="160" t="s">
        <v>245</v>
      </c>
      <c r="AL146" s="160" t="s">
        <v>247</v>
      </c>
      <c r="AM146" s="160"/>
      <c r="AN146" s="160">
        <v>0</v>
      </c>
      <c r="AO146" s="160">
        <v>7.17</v>
      </c>
      <c r="AP146" s="160">
        <v>4.5599999999999996</v>
      </c>
      <c r="AQ146" s="160">
        <v>0.22</v>
      </c>
      <c r="AR146" s="160">
        <v>75.013000000000005</v>
      </c>
      <c r="AS146" s="160">
        <v>12.46</v>
      </c>
      <c r="AT146" s="160">
        <v>6.66</v>
      </c>
      <c r="AU146" s="160">
        <v>4.57</v>
      </c>
      <c r="AV146" s="160">
        <v>56.17</v>
      </c>
      <c r="AW146" s="160">
        <v>0.16</v>
      </c>
      <c r="AX146" s="160">
        <v>20.93</v>
      </c>
      <c r="AY146" s="160">
        <v>0.88</v>
      </c>
      <c r="AZ146" s="160"/>
      <c r="BA146" s="160"/>
      <c r="BB146" s="160">
        <v>366.31</v>
      </c>
      <c r="BC146" s="160"/>
      <c r="BD146" s="160"/>
      <c r="BE146" s="160"/>
      <c r="BF146" s="160"/>
      <c r="BG146" s="160"/>
      <c r="BH146" s="160"/>
      <c r="BI146" s="160"/>
      <c r="BJ146" s="160">
        <v>76</v>
      </c>
      <c r="BK146" s="160">
        <v>4.5599999999999996</v>
      </c>
      <c r="BL146" s="160">
        <v>0.22</v>
      </c>
      <c r="BM146" s="160">
        <v>75.013000000000005</v>
      </c>
      <c r="BN146" s="160">
        <v>12.46</v>
      </c>
      <c r="BO146" s="160">
        <v>8</v>
      </c>
      <c r="BP146" s="160">
        <v>280</v>
      </c>
      <c r="BQ146" s="160">
        <v>56.17</v>
      </c>
      <c r="BR146" s="160">
        <v>0.16</v>
      </c>
      <c r="BS146" s="160"/>
      <c r="BT146" s="160">
        <v>25</v>
      </c>
      <c r="BU146" s="160"/>
      <c r="BV146" s="160"/>
      <c r="BW146" s="160">
        <v>366.31</v>
      </c>
      <c r="BX146" s="160"/>
      <c r="BY146" s="160"/>
      <c r="BZ146" s="160"/>
      <c r="CA146" s="160"/>
      <c r="CB146" s="160"/>
      <c r="CC146" s="160"/>
      <c r="CD146" s="160">
        <v>0</v>
      </c>
      <c r="CE146" s="160"/>
      <c r="CF146" s="160">
        <v>1.6</v>
      </c>
      <c r="CG146" s="160">
        <v>-0.16</v>
      </c>
      <c r="CH146" s="160">
        <v>145</v>
      </c>
    </row>
    <row r="147" spans="1:86" x14ac:dyDescent="0.25">
      <c r="A147" s="241" t="s">
        <v>742</v>
      </c>
      <c r="B147" s="241">
        <v>0</v>
      </c>
      <c r="C147" s="241">
        <v>650</v>
      </c>
      <c r="D147" s="241">
        <v>4</v>
      </c>
      <c r="E147" s="241" t="s">
        <v>48</v>
      </c>
      <c r="F147" s="241" t="s">
        <v>241</v>
      </c>
      <c r="G147" s="265">
        <v>8570000</v>
      </c>
      <c r="H147" s="250">
        <v>77.993175597135249</v>
      </c>
      <c r="I147" s="250">
        <v>22.006824402864751</v>
      </c>
      <c r="J147" s="250">
        <v>0</v>
      </c>
      <c r="K147" s="250">
        <v>0</v>
      </c>
      <c r="L147" s="250">
        <v>0</v>
      </c>
      <c r="M147" s="250">
        <v>0</v>
      </c>
      <c r="N147" s="250">
        <v>0</v>
      </c>
      <c r="O147" s="250">
        <v>0</v>
      </c>
      <c r="P147" s="250">
        <v>0</v>
      </c>
      <c r="Q147" s="250">
        <v>0</v>
      </c>
      <c r="R147" s="250">
        <v>0</v>
      </c>
      <c r="S147" s="250">
        <v>0</v>
      </c>
      <c r="T147" s="250">
        <v>0</v>
      </c>
      <c r="U147" s="250">
        <v>0</v>
      </c>
      <c r="V147" s="250">
        <v>0</v>
      </c>
      <c r="W147" s="250">
        <v>0</v>
      </c>
      <c r="X147" s="250">
        <v>0</v>
      </c>
      <c r="Y147" s="250">
        <v>0</v>
      </c>
      <c r="Z147" s="250">
        <v>0</v>
      </c>
      <c r="AA147" s="250">
        <v>0</v>
      </c>
      <c r="AB147" s="250">
        <v>0</v>
      </c>
      <c r="AC147" s="250">
        <v>0</v>
      </c>
      <c r="AD147" s="250">
        <v>0</v>
      </c>
      <c r="AE147" s="250">
        <v>0</v>
      </c>
      <c r="AF147" s="250">
        <v>-129.6798982180143</v>
      </c>
      <c r="AG147" s="250">
        <v>-123.53565520208147</v>
      </c>
      <c r="AH147" s="250">
        <v>5</v>
      </c>
      <c r="AI147" s="250">
        <v>5</v>
      </c>
      <c r="AJ147" s="250">
        <v>0.03</v>
      </c>
      <c r="AK147" s="241" t="s">
        <v>245</v>
      </c>
      <c r="AL147" s="241" t="s">
        <v>247</v>
      </c>
      <c r="AM147" s="241"/>
      <c r="AN147" s="241">
        <v>5</v>
      </c>
      <c r="AO147" s="241"/>
      <c r="AP147" s="241"/>
      <c r="AQ147" s="241"/>
      <c r="AR147" s="241"/>
      <c r="AS147" s="241"/>
      <c r="AT147" s="241"/>
      <c r="AU147" s="241"/>
      <c r="AV147" s="241"/>
      <c r="AW147" s="241"/>
      <c r="AX147" s="241"/>
      <c r="AY147" s="241"/>
      <c r="AZ147" s="241"/>
      <c r="BA147" s="241"/>
      <c r="BB147" s="241"/>
      <c r="BC147" s="241"/>
      <c r="BD147" s="241"/>
      <c r="BE147" s="241"/>
      <c r="BF147" s="241"/>
      <c r="BG147" s="241"/>
      <c r="BH147" s="241"/>
      <c r="BI147" s="241"/>
      <c r="BJ147" s="241"/>
      <c r="BK147" s="241"/>
      <c r="BL147" s="241"/>
      <c r="BM147" s="241"/>
      <c r="BN147" s="241"/>
      <c r="BO147" s="241"/>
      <c r="BP147" s="241"/>
      <c r="BQ147" s="241"/>
      <c r="BR147" s="241"/>
      <c r="BS147" s="241"/>
      <c r="BT147" s="241"/>
      <c r="BU147" s="241"/>
      <c r="BV147" s="241"/>
      <c r="BW147" s="241"/>
      <c r="BX147" s="241"/>
      <c r="BY147" s="241"/>
      <c r="BZ147" s="241"/>
      <c r="CA147" s="241"/>
      <c r="CB147" s="241"/>
      <c r="CC147" s="241"/>
      <c r="CD147" s="241">
        <v>3</v>
      </c>
      <c r="CE147" s="241">
        <v>1.5</v>
      </c>
      <c r="CF147" s="241"/>
      <c r="CG147" s="241"/>
      <c r="CH147" s="241">
        <v>146</v>
      </c>
    </row>
    <row r="148" spans="1:86" x14ac:dyDescent="0.25">
      <c r="A148" s="159" t="s">
        <v>743</v>
      </c>
      <c r="B148" s="159">
        <v>0</v>
      </c>
      <c r="C148" s="159">
        <v>650</v>
      </c>
      <c r="D148" s="159">
        <v>4</v>
      </c>
      <c r="E148" s="159" t="s">
        <v>48</v>
      </c>
      <c r="F148" s="159" t="s">
        <v>241</v>
      </c>
      <c r="G148" s="264">
        <v>8570000</v>
      </c>
      <c r="H148" s="249">
        <v>77.993175597135249</v>
      </c>
      <c r="I148" s="249">
        <v>22.006824402864751</v>
      </c>
      <c r="J148" s="249">
        <v>0</v>
      </c>
      <c r="K148" s="249">
        <v>0</v>
      </c>
      <c r="L148" s="249">
        <v>0</v>
      </c>
      <c r="M148" s="249">
        <v>0</v>
      </c>
      <c r="N148" s="249">
        <v>0</v>
      </c>
      <c r="O148" s="249">
        <v>0</v>
      </c>
      <c r="P148" s="249">
        <v>0</v>
      </c>
      <c r="Q148" s="249">
        <v>0</v>
      </c>
      <c r="R148" s="249">
        <v>0</v>
      </c>
      <c r="S148" s="249">
        <v>0</v>
      </c>
      <c r="T148" s="249">
        <v>0</v>
      </c>
      <c r="U148" s="249">
        <v>0</v>
      </c>
      <c r="V148" s="249">
        <v>0</v>
      </c>
      <c r="W148" s="249">
        <v>0</v>
      </c>
      <c r="X148" s="249">
        <v>0</v>
      </c>
      <c r="Y148" s="249">
        <v>0</v>
      </c>
      <c r="Z148" s="249">
        <v>0</v>
      </c>
      <c r="AA148" s="249">
        <v>0</v>
      </c>
      <c r="AB148" s="249">
        <v>0</v>
      </c>
      <c r="AC148" s="249">
        <v>0</v>
      </c>
      <c r="AD148" s="249">
        <v>0</v>
      </c>
      <c r="AE148" s="249">
        <v>0</v>
      </c>
      <c r="AF148" s="249">
        <v>-129.6798982180143</v>
      </c>
      <c r="AG148" s="249">
        <v>-123.53565520208147</v>
      </c>
      <c r="AH148" s="249">
        <v>14</v>
      </c>
      <c r="AI148" s="249">
        <v>14</v>
      </c>
      <c r="AJ148" s="249">
        <v>0.03</v>
      </c>
      <c r="AK148" s="159" t="s">
        <v>245</v>
      </c>
      <c r="AL148" s="159" t="s">
        <v>247</v>
      </c>
      <c r="AM148" s="159"/>
      <c r="AN148" s="159">
        <v>5</v>
      </c>
      <c r="AO148" s="159"/>
      <c r="AP148" s="159"/>
      <c r="AQ148" s="159"/>
      <c r="AR148" s="159"/>
      <c r="AS148" s="159"/>
      <c r="AT148" s="159"/>
      <c r="AU148" s="159"/>
      <c r="AV148" s="159"/>
      <c r="AW148" s="159"/>
      <c r="AX148" s="159"/>
      <c r="AY148" s="159"/>
      <c r="AZ148" s="159"/>
      <c r="BA148" s="159"/>
      <c r="BB148" s="159"/>
      <c r="BC148" s="159"/>
      <c r="BD148" s="159"/>
      <c r="BE148" s="159"/>
      <c r="BF148" s="159"/>
      <c r="BG148" s="159"/>
      <c r="BH148" s="159"/>
      <c r="BI148" s="159"/>
      <c r="BJ148" s="159"/>
      <c r="BK148" s="159"/>
      <c r="BL148" s="159"/>
      <c r="BM148" s="159"/>
      <c r="BN148" s="159"/>
      <c r="BO148" s="159"/>
      <c r="BP148" s="159"/>
      <c r="BQ148" s="159"/>
      <c r="BR148" s="159"/>
      <c r="BS148" s="159"/>
      <c r="BT148" s="159"/>
      <c r="BU148" s="159"/>
      <c r="BV148" s="159"/>
      <c r="BW148" s="159"/>
      <c r="BX148" s="159"/>
      <c r="BY148" s="159"/>
      <c r="BZ148" s="159"/>
      <c r="CA148" s="159"/>
      <c r="CB148" s="159"/>
      <c r="CC148" s="159"/>
      <c r="CD148" s="159">
        <v>0</v>
      </c>
      <c r="CE148" s="159"/>
      <c r="CF148" s="159"/>
      <c r="CG148" s="159"/>
      <c r="CH148" s="159">
        <v>147</v>
      </c>
    </row>
    <row r="149" spans="1:86" x14ac:dyDescent="0.25">
      <c r="A149" s="241" t="s">
        <v>744</v>
      </c>
      <c r="B149" s="241">
        <v>0</v>
      </c>
      <c r="C149" s="241">
        <v>650</v>
      </c>
      <c r="D149" s="241">
        <v>4</v>
      </c>
      <c r="E149" s="241" t="s">
        <v>48</v>
      </c>
      <c r="F149" s="241" t="s">
        <v>241</v>
      </c>
      <c r="G149" s="265">
        <v>8570000</v>
      </c>
      <c r="H149" s="250">
        <v>77.993175597135249</v>
      </c>
      <c r="I149" s="250">
        <v>22.006824402864751</v>
      </c>
      <c r="J149" s="250">
        <v>0</v>
      </c>
      <c r="K149" s="250">
        <v>0</v>
      </c>
      <c r="L149" s="250">
        <v>0</v>
      </c>
      <c r="M149" s="250">
        <v>0</v>
      </c>
      <c r="N149" s="250">
        <v>0</v>
      </c>
      <c r="O149" s="250">
        <v>0</v>
      </c>
      <c r="P149" s="250">
        <v>0</v>
      </c>
      <c r="Q149" s="250">
        <v>0</v>
      </c>
      <c r="R149" s="250">
        <v>0</v>
      </c>
      <c r="S149" s="250">
        <v>0</v>
      </c>
      <c r="T149" s="250">
        <v>0</v>
      </c>
      <c r="U149" s="250">
        <v>0</v>
      </c>
      <c r="V149" s="250">
        <v>0</v>
      </c>
      <c r="W149" s="250">
        <v>0</v>
      </c>
      <c r="X149" s="250">
        <v>0</v>
      </c>
      <c r="Y149" s="250">
        <v>0</v>
      </c>
      <c r="Z149" s="250">
        <v>0</v>
      </c>
      <c r="AA149" s="250">
        <v>0</v>
      </c>
      <c r="AB149" s="250">
        <v>0</v>
      </c>
      <c r="AC149" s="250">
        <v>0</v>
      </c>
      <c r="AD149" s="250">
        <v>0</v>
      </c>
      <c r="AE149" s="250">
        <v>0</v>
      </c>
      <c r="AF149" s="250">
        <v>-129.6798982180143</v>
      </c>
      <c r="AG149" s="250">
        <v>-123.53565520208147</v>
      </c>
      <c r="AH149" s="250">
        <v>5</v>
      </c>
      <c r="AI149" s="250">
        <v>5</v>
      </c>
      <c r="AJ149" s="250">
        <v>0.03</v>
      </c>
      <c r="AK149" s="241" t="s">
        <v>245</v>
      </c>
      <c r="AL149" s="241" t="s">
        <v>247</v>
      </c>
      <c r="AM149" s="241"/>
      <c r="AN149" s="241">
        <v>5</v>
      </c>
      <c r="AO149" s="241"/>
      <c r="AP149" s="241"/>
      <c r="AQ149" s="241"/>
      <c r="AR149" s="241"/>
      <c r="AS149" s="241"/>
      <c r="AT149" s="241"/>
      <c r="AU149" s="241"/>
      <c r="AV149" s="241"/>
      <c r="AW149" s="241"/>
      <c r="AX149" s="241"/>
      <c r="AY149" s="241"/>
      <c r="AZ149" s="241"/>
      <c r="BA149" s="241"/>
      <c r="BB149" s="241"/>
      <c r="BC149" s="241"/>
      <c r="BD149" s="241"/>
      <c r="BE149" s="241"/>
      <c r="BF149" s="241"/>
      <c r="BG149" s="241"/>
      <c r="BH149" s="241"/>
      <c r="BI149" s="241"/>
      <c r="BJ149" s="241"/>
      <c r="BK149" s="241"/>
      <c r="BL149" s="241"/>
      <c r="BM149" s="241"/>
      <c r="BN149" s="241"/>
      <c r="BO149" s="241"/>
      <c r="BP149" s="241"/>
      <c r="BQ149" s="241"/>
      <c r="BR149" s="241"/>
      <c r="BS149" s="241"/>
      <c r="BT149" s="241"/>
      <c r="BU149" s="241"/>
      <c r="BV149" s="241"/>
      <c r="BW149" s="241"/>
      <c r="BX149" s="241"/>
      <c r="BY149" s="241"/>
      <c r="BZ149" s="241"/>
      <c r="CA149" s="241"/>
      <c r="CB149" s="241"/>
      <c r="CC149" s="241"/>
      <c r="CD149" s="241">
        <v>3</v>
      </c>
      <c r="CE149" s="241">
        <v>2</v>
      </c>
      <c r="CF149" s="241"/>
      <c r="CG149" s="241"/>
      <c r="CH149" s="241">
        <v>148</v>
      </c>
    </row>
    <row r="150" spans="1:86" x14ac:dyDescent="0.25">
      <c r="A150" s="159" t="s">
        <v>745</v>
      </c>
      <c r="B150" s="159">
        <v>0</v>
      </c>
      <c r="C150" s="159">
        <v>650</v>
      </c>
      <c r="D150" s="159">
        <v>4</v>
      </c>
      <c r="E150" s="159" t="s">
        <v>48</v>
      </c>
      <c r="F150" s="159" t="s">
        <v>241</v>
      </c>
      <c r="G150" s="264">
        <v>8570000</v>
      </c>
      <c r="H150" s="249">
        <v>77.993175597135249</v>
      </c>
      <c r="I150" s="249">
        <v>22.006824402864751</v>
      </c>
      <c r="J150" s="249">
        <v>0</v>
      </c>
      <c r="K150" s="249">
        <v>0</v>
      </c>
      <c r="L150" s="249">
        <v>0</v>
      </c>
      <c r="M150" s="249">
        <v>0</v>
      </c>
      <c r="N150" s="249">
        <v>0</v>
      </c>
      <c r="O150" s="249">
        <v>0</v>
      </c>
      <c r="P150" s="249">
        <v>0</v>
      </c>
      <c r="Q150" s="249">
        <v>0</v>
      </c>
      <c r="R150" s="249">
        <v>0</v>
      </c>
      <c r="S150" s="249">
        <v>0</v>
      </c>
      <c r="T150" s="249">
        <v>0</v>
      </c>
      <c r="U150" s="249">
        <v>0</v>
      </c>
      <c r="V150" s="249">
        <v>0</v>
      </c>
      <c r="W150" s="249">
        <v>0</v>
      </c>
      <c r="X150" s="249">
        <v>0</v>
      </c>
      <c r="Y150" s="249">
        <v>0</v>
      </c>
      <c r="Z150" s="249">
        <v>0</v>
      </c>
      <c r="AA150" s="249">
        <v>0</v>
      </c>
      <c r="AB150" s="249">
        <v>0</v>
      </c>
      <c r="AC150" s="249">
        <v>0</v>
      </c>
      <c r="AD150" s="249">
        <v>0</v>
      </c>
      <c r="AE150" s="249">
        <v>0</v>
      </c>
      <c r="AF150" s="249">
        <v>-129.6798982180143</v>
      </c>
      <c r="AG150" s="249">
        <v>-123.53565520208147</v>
      </c>
      <c r="AH150" s="249">
        <v>14</v>
      </c>
      <c r="AI150" s="249">
        <v>14</v>
      </c>
      <c r="AJ150" s="249">
        <v>0.03</v>
      </c>
      <c r="AK150" s="159" t="s">
        <v>245</v>
      </c>
      <c r="AL150" s="159" t="s">
        <v>247</v>
      </c>
      <c r="AM150" s="159"/>
      <c r="AN150" s="159">
        <v>5</v>
      </c>
      <c r="AO150" s="159"/>
      <c r="AP150" s="159"/>
      <c r="AQ150" s="159"/>
      <c r="AR150" s="159"/>
      <c r="AS150" s="159"/>
      <c r="AT150" s="159"/>
      <c r="AU150" s="159"/>
      <c r="AV150" s="159"/>
      <c r="AW150" s="159"/>
      <c r="AX150" s="159"/>
      <c r="AY150" s="159"/>
      <c r="AZ150" s="159"/>
      <c r="BA150" s="159"/>
      <c r="BB150" s="159"/>
      <c r="BC150" s="159"/>
      <c r="BD150" s="159"/>
      <c r="BE150" s="159"/>
      <c r="BF150" s="159"/>
      <c r="BG150" s="159"/>
      <c r="BH150" s="159"/>
      <c r="BI150" s="159"/>
      <c r="BJ150" s="159"/>
      <c r="BK150" s="159"/>
      <c r="BL150" s="159"/>
      <c r="BM150" s="159"/>
      <c r="BN150" s="159"/>
      <c r="BO150" s="159"/>
      <c r="BP150" s="159"/>
      <c r="BQ150" s="159"/>
      <c r="BR150" s="159"/>
      <c r="BS150" s="159"/>
      <c r="BT150" s="159"/>
      <c r="BU150" s="159"/>
      <c r="BV150" s="159"/>
      <c r="BW150" s="159"/>
      <c r="BX150" s="159"/>
      <c r="BY150" s="159"/>
      <c r="BZ150" s="159"/>
      <c r="CA150" s="159"/>
      <c r="CB150" s="159"/>
      <c r="CC150" s="159"/>
      <c r="CD150" s="159">
        <v>0</v>
      </c>
      <c r="CE150" s="159"/>
      <c r="CF150" s="159"/>
      <c r="CG150" s="159"/>
      <c r="CH150" s="159">
        <v>149</v>
      </c>
    </row>
    <row r="151" spans="1:86" x14ac:dyDescent="0.25">
      <c r="A151" s="241" t="s">
        <v>746</v>
      </c>
      <c r="B151" s="241">
        <v>0</v>
      </c>
      <c r="C151" s="241">
        <v>650</v>
      </c>
      <c r="D151" s="241">
        <v>4</v>
      </c>
      <c r="E151" s="241" t="s">
        <v>48</v>
      </c>
      <c r="F151" s="241" t="s">
        <v>241</v>
      </c>
      <c r="G151" s="265">
        <v>8570000</v>
      </c>
      <c r="H151" s="250">
        <v>77.993175597135249</v>
      </c>
      <c r="I151" s="250">
        <v>22.006824402864751</v>
      </c>
      <c r="J151" s="250">
        <v>0</v>
      </c>
      <c r="K151" s="250">
        <v>0</v>
      </c>
      <c r="L151" s="250">
        <v>0</v>
      </c>
      <c r="M151" s="250">
        <v>0</v>
      </c>
      <c r="N151" s="250">
        <v>0</v>
      </c>
      <c r="O151" s="250">
        <v>0</v>
      </c>
      <c r="P151" s="250">
        <v>0</v>
      </c>
      <c r="Q151" s="250">
        <v>0</v>
      </c>
      <c r="R151" s="250">
        <v>0</v>
      </c>
      <c r="S151" s="250">
        <v>0</v>
      </c>
      <c r="T151" s="250">
        <v>0</v>
      </c>
      <c r="U151" s="250">
        <v>0</v>
      </c>
      <c r="V151" s="250">
        <v>0</v>
      </c>
      <c r="W151" s="250">
        <v>0</v>
      </c>
      <c r="X151" s="250">
        <v>0</v>
      </c>
      <c r="Y151" s="250">
        <v>0</v>
      </c>
      <c r="Z151" s="250">
        <v>0</v>
      </c>
      <c r="AA151" s="250">
        <v>0</v>
      </c>
      <c r="AB151" s="250">
        <v>0</v>
      </c>
      <c r="AC151" s="250">
        <v>0</v>
      </c>
      <c r="AD151" s="250">
        <v>0</v>
      </c>
      <c r="AE151" s="250">
        <v>0</v>
      </c>
      <c r="AF151" s="250">
        <v>-129.6798982180143</v>
      </c>
      <c r="AG151" s="250">
        <v>-123.53565520208147</v>
      </c>
      <c r="AH151" s="250">
        <v>5</v>
      </c>
      <c r="AI151" s="250">
        <v>5</v>
      </c>
      <c r="AJ151" s="250">
        <v>0.03</v>
      </c>
      <c r="AK151" s="241" t="s">
        <v>245</v>
      </c>
      <c r="AL151" s="241" t="s">
        <v>247</v>
      </c>
      <c r="AM151" s="241"/>
      <c r="AN151" s="241">
        <v>5</v>
      </c>
      <c r="AO151" s="241"/>
      <c r="AP151" s="241"/>
      <c r="AQ151" s="241"/>
      <c r="AR151" s="241"/>
      <c r="AS151" s="241"/>
      <c r="AT151" s="241"/>
      <c r="AU151" s="241"/>
      <c r="AV151" s="241"/>
      <c r="AW151" s="241"/>
      <c r="AX151" s="241"/>
      <c r="AY151" s="241"/>
      <c r="AZ151" s="241"/>
      <c r="BA151" s="241"/>
      <c r="BB151" s="241"/>
      <c r="BC151" s="241"/>
      <c r="BD151" s="241"/>
      <c r="BE151" s="241"/>
      <c r="BF151" s="241"/>
      <c r="BG151" s="241"/>
      <c r="BH151" s="241"/>
      <c r="BI151" s="241"/>
      <c r="BJ151" s="241"/>
      <c r="BK151" s="241"/>
      <c r="BL151" s="241"/>
      <c r="BM151" s="241"/>
      <c r="BN151" s="241"/>
      <c r="BO151" s="241"/>
      <c r="BP151" s="241"/>
      <c r="BQ151" s="241"/>
      <c r="BR151" s="241"/>
      <c r="BS151" s="241"/>
      <c r="BT151" s="241"/>
      <c r="BU151" s="241"/>
      <c r="BV151" s="241"/>
      <c r="BW151" s="241"/>
      <c r="BX151" s="241"/>
      <c r="BY151" s="241"/>
      <c r="BZ151" s="241"/>
      <c r="CA151" s="241"/>
      <c r="CB151" s="241"/>
      <c r="CC151" s="241"/>
      <c r="CD151" s="241">
        <v>3</v>
      </c>
      <c r="CE151" s="241">
        <v>2.5</v>
      </c>
      <c r="CF151" s="241"/>
      <c r="CG151" s="241"/>
      <c r="CH151" s="241">
        <v>150</v>
      </c>
    </row>
    <row r="152" spans="1:86" ht="16.5" thickBot="1" x14ac:dyDescent="0.3">
      <c r="A152" s="160" t="s">
        <v>747</v>
      </c>
      <c r="B152" s="160">
        <v>0</v>
      </c>
      <c r="C152" s="160">
        <v>650</v>
      </c>
      <c r="D152" s="160">
        <v>4</v>
      </c>
      <c r="E152" s="160" t="s">
        <v>48</v>
      </c>
      <c r="F152" s="160" t="s">
        <v>241</v>
      </c>
      <c r="G152" s="267">
        <v>8570000</v>
      </c>
      <c r="H152" s="252">
        <v>77.993175597135249</v>
      </c>
      <c r="I152" s="252">
        <v>22.006824402864751</v>
      </c>
      <c r="J152" s="252">
        <v>0</v>
      </c>
      <c r="K152" s="252">
        <v>0</v>
      </c>
      <c r="L152" s="252">
        <v>0</v>
      </c>
      <c r="M152" s="252">
        <v>0</v>
      </c>
      <c r="N152" s="252">
        <v>0</v>
      </c>
      <c r="O152" s="252">
        <v>0</v>
      </c>
      <c r="P152" s="252">
        <v>0</v>
      </c>
      <c r="Q152" s="252">
        <v>0</v>
      </c>
      <c r="R152" s="252">
        <v>0</v>
      </c>
      <c r="S152" s="252">
        <v>0</v>
      </c>
      <c r="T152" s="252">
        <v>0</v>
      </c>
      <c r="U152" s="252">
        <v>0</v>
      </c>
      <c r="V152" s="252">
        <v>0</v>
      </c>
      <c r="W152" s="252">
        <v>0</v>
      </c>
      <c r="X152" s="252">
        <v>0</v>
      </c>
      <c r="Y152" s="252">
        <v>0</v>
      </c>
      <c r="Z152" s="252">
        <v>0</v>
      </c>
      <c r="AA152" s="252">
        <v>0</v>
      </c>
      <c r="AB152" s="252">
        <v>0</v>
      </c>
      <c r="AC152" s="252">
        <v>0</v>
      </c>
      <c r="AD152" s="252">
        <v>0</v>
      </c>
      <c r="AE152" s="252">
        <v>0</v>
      </c>
      <c r="AF152" s="252">
        <v>-129.6798982180143</v>
      </c>
      <c r="AG152" s="252">
        <v>-123.53565520208147</v>
      </c>
      <c r="AH152" s="252">
        <v>14</v>
      </c>
      <c r="AI152" s="252">
        <v>14</v>
      </c>
      <c r="AJ152" s="252">
        <v>0.03</v>
      </c>
      <c r="AK152" s="160" t="s">
        <v>245</v>
      </c>
      <c r="AL152" s="160" t="s">
        <v>247</v>
      </c>
      <c r="AM152" s="160"/>
      <c r="AN152" s="160">
        <v>5</v>
      </c>
      <c r="AO152" s="160"/>
      <c r="AP152" s="160"/>
      <c r="AQ152" s="160"/>
      <c r="AR152" s="160"/>
      <c r="AS152" s="160"/>
      <c r="AT152" s="160"/>
      <c r="AU152" s="160"/>
      <c r="AV152" s="160"/>
      <c r="AW152" s="160"/>
      <c r="AX152" s="160"/>
      <c r="AY152" s="160"/>
      <c r="AZ152" s="160"/>
      <c r="BA152" s="160"/>
      <c r="BB152" s="160"/>
      <c r="BC152" s="160"/>
      <c r="BD152" s="160"/>
      <c r="BE152" s="160"/>
      <c r="BF152" s="160"/>
      <c r="BG152" s="160"/>
      <c r="BH152" s="160"/>
      <c r="BI152" s="160"/>
      <c r="BJ152" s="160"/>
      <c r="BK152" s="160"/>
      <c r="BL152" s="160"/>
      <c r="BM152" s="160"/>
      <c r="BN152" s="160"/>
      <c r="BO152" s="160"/>
      <c r="BP152" s="160"/>
      <c r="BQ152" s="160"/>
      <c r="BR152" s="160"/>
      <c r="BS152" s="160"/>
      <c r="BT152" s="160"/>
      <c r="BU152" s="160"/>
      <c r="BV152" s="160"/>
      <c r="BW152" s="160"/>
      <c r="BX152" s="160"/>
      <c r="BY152" s="160"/>
      <c r="BZ152" s="160"/>
      <c r="CA152" s="160"/>
      <c r="CB152" s="160"/>
      <c r="CC152" s="160"/>
      <c r="CD152" s="160">
        <v>0</v>
      </c>
      <c r="CE152" s="160"/>
      <c r="CF152" s="160"/>
      <c r="CG152" s="160"/>
      <c r="CH152" s="160">
        <v>151</v>
      </c>
    </row>
    <row r="153" spans="1:86" x14ac:dyDescent="0.25">
      <c r="A153" s="241" t="s">
        <v>748</v>
      </c>
      <c r="B153" s="241">
        <v>0</v>
      </c>
      <c r="C153" s="241">
        <v>850</v>
      </c>
      <c r="D153" s="241">
        <v>500</v>
      </c>
      <c r="E153" s="241" t="s">
        <v>233</v>
      </c>
      <c r="F153" s="241" t="s">
        <v>239</v>
      </c>
      <c r="G153" s="265">
        <v>8860000</v>
      </c>
      <c r="H153" s="250">
        <v>75.833705010989803</v>
      </c>
      <c r="I153" s="250">
        <v>7.4833437418513435</v>
      </c>
      <c r="J153" s="250">
        <v>10.353208976111462</v>
      </c>
      <c r="K153" s="250">
        <v>4.4499132823866496</v>
      </c>
      <c r="L153" s="250">
        <v>2.0131466948481683E-2</v>
      </c>
      <c r="M153" s="250">
        <v>0.15697283323990049</v>
      </c>
      <c r="N153" s="250">
        <v>0.59491770456236959</v>
      </c>
      <c r="O153" s="250">
        <v>2.2857447647213577E-2</v>
      </c>
      <c r="P153" s="250">
        <v>1.2882680959302745E-2</v>
      </c>
      <c r="Q153" s="250">
        <v>0.83426022163863478</v>
      </c>
      <c r="R153" s="250">
        <v>0.15404511345257843</v>
      </c>
      <c r="S153" s="250">
        <v>9.7040745479437026E-3</v>
      </c>
      <c r="T153" s="250">
        <v>0</v>
      </c>
      <c r="U153" s="250">
        <v>2.4212561347539158E-2</v>
      </c>
      <c r="V153" s="250">
        <v>1.194757386222452E-2</v>
      </c>
      <c r="W153" s="250">
        <v>5.7688862256484782E-3</v>
      </c>
      <c r="X153" s="250">
        <v>0</v>
      </c>
      <c r="Y153" s="250">
        <v>2.5367911868441888E-2</v>
      </c>
      <c r="Z153" s="250">
        <v>0</v>
      </c>
      <c r="AA153" s="250">
        <v>6.7605123604672478E-3</v>
      </c>
      <c r="AB153" s="250">
        <v>0</v>
      </c>
      <c r="AC153" s="250">
        <v>0</v>
      </c>
      <c r="AD153" s="250">
        <v>0</v>
      </c>
      <c r="AE153" s="250">
        <v>0</v>
      </c>
      <c r="AF153" s="250">
        <v>-119.31255669636327</v>
      </c>
      <c r="AG153" s="250">
        <v>-60.821750226979574</v>
      </c>
      <c r="AH153" s="250">
        <v>32</v>
      </c>
      <c r="AI153" s="250">
        <v>13</v>
      </c>
      <c r="AJ153" s="250">
        <v>1</v>
      </c>
      <c r="AK153" s="241" t="s">
        <v>245</v>
      </c>
      <c r="AL153" s="241" t="s">
        <v>230</v>
      </c>
      <c r="AM153" s="241"/>
      <c r="AN153" s="241">
        <v>0</v>
      </c>
      <c r="AO153" s="241"/>
      <c r="AP153" s="241"/>
      <c r="AQ153" s="241"/>
      <c r="AR153" s="241"/>
      <c r="AS153" s="241"/>
      <c r="AT153" s="241"/>
      <c r="AU153" s="241"/>
      <c r="AV153" s="241"/>
      <c r="AW153" s="241"/>
      <c r="AX153" s="241"/>
      <c r="AY153" s="241"/>
      <c r="AZ153" s="241"/>
      <c r="BA153" s="241"/>
      <c r="BB153" s="241"/>
      <c r="BC153" s="241"/>
      <c r="BD153" s="241"/>
      <c r="BE153" s="241"/>
      <c r="BF153" s="241"/>
      <c r="BG153" s="241"/>
      <c r="BH153" s="241"/>
      <c r="BI153" s="241"/>
      <c r="BJ153" s="241"/>
      <c r="BK153" s="241"/>
      <c r="BL153" s="241"/>
      <c r="BM153" s="241"/>
      <c r="BN153" s="241"/>
      <c r="BO153" s="241"/>
      <c r="BP153" s="241"/>
      <c r="BQ153" s="241"/>
      <c r="BR153" s="241"/>
      <c r="BS153" s="241"/>
      <c r="BT153" s="241"/>
      <c r="BU153" s="241"/>
      <c r="BV153" s="241"/>
      <c r="BW153" s="241"/>
      <c r="BX153" s="241"/>
      <c r="BY153" s="241"/>
      <c r="BZ153" s="241"/>
      <c r="CA153" s="241"/>
      <c r="CB153" s="241"/>
      <c r="CC153" s="241"/>
      <c r="CD153" s="241">
        <v>0</v>
      </c>
      <c r="CE153" s="241"/>
      <c r="CF153" s="241"/>
      <c r="CG153" s="241">
        <v>-2.5</v>
      </c>
      <c r="CH153" s="241">
        <v>152</v>
      </c>
    </row>
    <row r="154" spans="1:86" x14ac:dyDescent="0.25">
      <c r="A154" s="159" t="s">
        <v>749</v>
      </c>
      <c r="B154" s="159">
        <v>0</v>
      </c>
      <c r="C154" s="159">
        <v>850</v>
      </c>
      <c r="D154" s="159">
        <v>500</v>
      </c>
      <c r="E154" s="159" t="s">
        <v>233</v>
      </c>
      <c r="F154" s="159" t="s">
        <v>368</v>
      </c>
      <c r="G154" s="264">
        <v>8220000</v>
      </c>
      <c r="H154" s="249">
        <v>46.83388768298488</v>
      </c>
      <c r="I154" s="249">
        <v>23.747712439498351</v>
      </c>
      <c r="J154" s="249">
        <v>5.2825616824295194</v>
      </c>
      <c r="K154" s="249">
        <v>19.986638626368162</v>
      </c>
      <c r="L154" s="249">
        <v>0.12593463687598111</v>
      </c>
      <c r="M154" s="249">
        <v>1.3649258823328272</v>
      </c>
      <c r="N154" s="249">
        <v>0.56876886508986513</v>
      </c>
      <c r="O154" s="249">
        <v>0.17158477581768219</v>
      </c>
      <c r="P154" s="249">
        <v>1.2088357143203119E-2</v>
      </c>
      <c r="Q154" s="249">
        <v>1.1948323272986014</v>
      </c>
      <c r="R154" s="249">
        <v>0.28427568468162245</v>
      </c>
      <c r="S154" s="249">
        <v>0</v>
      </c>
      <c r="T154" s="249">
        <v>0</v>
      </c>
      <c r="U154" s="249">
        <v>0</v>
      </c>
      <c r="V154" s="249">
        <v>0.4110665948270239</v>
      </c>
      <c r="W154" s="249">
        <v>1.8043955611011322E-3</v>
      </c>
      <c r="X154" s="249">
        <v>1.391804909118729E-2</v>
      </c>
      <c r="Y154" s="249">
        <v>0</v>
      </c>
      <c r="Z154" s="249">
        <v>0</v>
      </c>
      <c r="AA154" s="249">
        <v>0</v>
      </c>
      <c r="AB154" s="249">
        <v>0</v>
      </c>
      <c r="AC154" s="249">
        <v>0</v>
      </c>
      <c r="AD154" s="249">
        <v>0</v>
      </c>
      <c r="AE154" s="249">
        <v>0</v>
      </c>
      <c r="AF154" s="249">
        <v>-126.68775759643229</v>
      </c>
      <c r="AG154" s="249">
        <v>-60.821750226979574</v>
      </c>
      <c r="AH154" s="249">
        <v>32</v>
      </c>
      <c r="AI154" s="249">
        <v>13</v>
      </c>
      <c r="AJ154" s="249">
        <v>1</v>
      </c>
      <c r="AK154" s="159" t="s">
        <v>245</v>
      </c>
      <c r="AL154" s="159" t="s">
        <v>230</v>
      </c>
      <c r="AM154" s="159"/>
      <c r="AN154" s="159">
        <v>0</v>
      </c>
      <c r="AO154" s="159"/>
      <c r="AP154" s="159"/>
      <c r="AQ154" s="159"/>
      <c r="AR154" s="159"/>
      <c r="AS154" s="159"/>
      <c r="AT154" s="159"/>
      <c r="AU154" s="159"/>
      <c r="AV154" s="159"/>
      <c r="AW154" s="159"/>
      <c r="AX154" s="159"/>
      <c r="AY154" s="159"/>
      <c r="AZ154" s="159"/>
      <c r="BA154" s="159"/>
      <c r="BB154" s="159"/>
      <c r="BC154" s="159"/>
      <c r="BD154" s="159"/>
      <c r="BE154" s="159"/>
      <c r="BF154" s="159"/>
      <c r="BG154" s="159"/>
      <c r="BH154" s="159"/>
      <c r="BI154" s="159"/>
      <c r="BJ154" s="159"/>
      <c r="BK154" s="159"/>
      <c r="BL154" s="159"/>
      <c r="BM154" s="159"/>
      <c r="BN154" s="159"/>
      <c r="BO154" s="159"/>
      <c r="BP154" s="159"/>
      <c r="BQ154" s="159"/>
      <c r="BR154" s="159"/>
      <c r="BS154" s="159"/>
      <c r="BT154" s="159"/>
      <c r="BU154" s="159"/>
      <c r="BV154" s="159"/>
      <c r="BW154" s="159"/>
      <c r="BX154" s="159"/>
      <c r="BY154" s="159"/>
      <c r="BZ154" s="159"/>
      <c r="CA154" s="159"/>
      <c r="CB154" s="159"/>
      <c r="CC154" s="159"/>
      <c r="CD154" s="159">
        <v>0</v>
      </c>
      <c r="CE154" s="159"/>
      <c r="CF154" s="159"/>
      <c r="CG154" s="159">
        <v>-13.6</v>
      </c>
      <c r="CH154" s="159">
        <v>153</v>
      </c>
    </row>
    <row r="155" spans="1:86" x14ac:dyDescent="0.25">
      <c r="A155" s="241" t="s">
        <v>750</v>
      </c>
      <c r="B155" s="241">
        <v>0</v>
      </c>
      <c r="C155" s="241">
        <v>850</v>
      </c>
      <c r="D155" s="241">
        <v>500</v>
      </c>
      <c r="E155" s="241" t="s">
        <v>233</v>
      </c>
      <c r="F155" s="241" t="s">
        <v>371</v>
      </c>
      <c r="G155" s="265">
        <v>8960000</v>
      </c>
      <c r="H155" s="250">
        <v>62.503455723884677</v>
      </c>
      <c r="I155" s="250">
        <v>26.902664885848377</v>
      </c>
      <c r="J155" s="250">
        <v>0.79047059439498901</v>
      </c>
      <c r="K155" s="250">
        <v>2.0038511356334689</v>
      </c>
      <c r="L155" s="250">
        <v>4.7730681368745413</v>
      </c>
      <c r="M155" s="250">
        <v>0.28486785828558264</v>
      </c>
      <c r="N155" s="250">
        <v>0.57716189198131207</v>
      </c>
      <c r="O155" s="250">
        <v>0.73743570332018271</v>
      </c>
      <c r="P155" s="250">
        <v>1.2988311622348635E-2</v>
      </c>
      <c r="Q155" s="250">
        <v>0.84110068137235694</v>
      </c>
      <c r="R155" s="250">
        <v>0.51769398614640227</v>
      </c>
      <c r="S155" s="250">
        <v>0</v>
      </c>
      <c r="T155" s="250">
        <v>0</v>
      </c>
      <c r="U155" s="250">
        <v>0</v>
      </c>
      <c r="V155" s="250">
        <v>1.0037947648721814E-2</v>
      </c>
      <c r="W155" s="250">
        <v>3.877458542948731E-3</v>
      </c>
      <c r="X155" s="250">
        <v>3.4509739724060823E-2</v>
      </c>
      <c r="Y155" s="250">
        <v>0</v>
      </c>
      <c r="Z155" s="250">
        <v>0</v>
      </c>
      <c r="AA155" s="250">
        <v>6.815944720037592E-3</v>
      </c>
      <c r="AB155" s="250">
        <v>0</v>
      </c>
      <c r="AC155" s="250">
        <v>0</v>
      </c>
      <c r="AD155" s="250">
        <v>0</v>
      </c>
      <c r="AE155" s="250">
        <v>0</v>
      </c>
      <c r="AF155" s="250">
        <v>-125.47416545076635</v>
      </c>
      <c r="AG155" s="250">
        <v>-60.821750226979574</v>
      </c>
      <c r="AH155" s="250">
        <v>32</v>
      </c>
      <c r="AI155" s="250">
        <v>13</v>
      </c>
      <c r="AJ155" s="250">
        <v>1</v>
      </c>
      <c r="AK155" s="241" t="s">
        <v>245</v>
      </c>
      <c r="AL155" s="241" t="s">
        <v>230</v>
      </c>
      <c r="AM155" s="241"/>
      <c r="AN155" s="241">
        <v>0</v>
      </c>
      <c r="AO155" s="241"/>
      <c r="AP155" s="241"/>
      <c r="AQ155" s="241"/>
      <c r="AR155" s="241"/>
      <c r="AS155" s="241"/>
      <c r="AT155" s="241"/>
      <c r="AU155" s="241"/>
      <c r="AV155" s="241"/>
      <c r="AW155" s="241"/>
      <c r="AX155" s="241"/>
      <c r="AY155" s="241"/>
      <c r="AZ155" s="241"/>
      <c r="BA155" s="241"/>
      <c r="BB155" s="241"/>
      <c r="BC155" s="241"/>
      <c r="BD155" s="241"/>
      <c r="BE155" s="241"/>
      <c r="BF155" s="241"/>
      <c r="BG155" s="241"/>
      <c r="BH155" s="241"/>
      <c r="BI155" s="241"/>
      <c r="BJ155" s="241"/>
      <c r="BK155" s="241"/>
      <c r="BL155" s="241"/>
      <c r="BM155" s="241"/>
      <c r="BN155" s="241"/>
      <c r="BO155" s="241"/>
      <c r="BP155" s="241"/>
      <c r="BQ155" s="241"/>
      <c r="BR155" s="241"/>
      <c r="BS155" s="241"/>
      <c r="BT155" s="241"/>
      <c r="BU155" s="241"/>
      <c r="BV155" s="241"/>
      <c r="BW155" s="241"/>
      <c r="BX155" s="241"/>
      <c r="BY155" s="241"/>
      <c r="BZ155" s="241"/>
      <c r="CA155" s="241"/>
      <c r="CB155" s="241"/>
      <c r="CC155" s="241"/>
      <c r="CD155" s="241">
        <v>0</v>
      </c>
      <c r="CE155" s="241"/>
      <c r="CF155" s="241"/>
      <c r="CG155" s="241">
        <v>-52.6</v>
      </c>
      <c r="CH155" s="241">
        <v>154</v>
      </c>
    </row>
    <row r="156" spans="1:86" x14ac:dyDescent="0.25">
      <c r="A156" s="159" t="s">
        <v>751</v>
      </c>
      <c r="B156" s="159">
        <v>0</v>
      </c>
      <c r="C156" s="159">
        <v>850</v>
      </c>
      <c r="D156" s="159">
        <v>500</v>
      </c>
      <c r="E156" s="159" t="s">
        <v>233</v>
      </c>
      <c r="F156" s="159" t="s">
        <v>250</v>
      </c>
      <c r="G156" s="264">
        <v>7940000</v>
      </c>
      <c r="H156" s="249">
        <v>29.862390040750313</v>
      </c>
      <c r="I156" s="249">
        <v>21.786699400893177</v>
      </c>
      <c r="J156" s="249">
        <v>0</v>
      </c>
      <c r="K156" s="249">
        <v>44.960426192298442</v>
      </c>
      <c r="L156" s="249">
        <v>0</v>
      </c>
      <c r="M156" s="249">
        <v>0</v>
      </c>
      <c r="N156" s="249">
        <v>0.76747455270703857</v>
      </c>
      <c r="O156" s="249">
        <v>1.0281751571759954</v>
      </c>
      <c r="P156" s="249">
        <v>0.62584873615744774</v>
      </c>
      <c r="Q156" s="249">
        <v>0.25676194704728272</v>
      </c>
      <c r="R156" s="249">
        <v>0.31874628411356809</v>
      </c>
      <c r="S156" s="249">
        <v>0.36666780837310803</v>
      </c>
      <c r="T156" s="249">
        <v>0</v>
      </c>
      <c r="U156" s="249">
        <v>0</v>
      </c>
      <c r="V156" s="249">
        <v>2.5079904447434093E-2</v>
      </c>
      <c r="W156" s="249">
        <v>1.7299760362088151E-3</v>
      </c>
      <c r="X156" s="249">
        <v>0</v>
      </c>
      <c r="Y156" s="249">
        <v>0</v>
      </c>
      <c r="Z156" s="249">
        <v>0</v>
      </c>
      <c r="AA156" s="249">
        <v>0</v>
      </c>
      <c r="AB156" s="249">
        <v>0</v>
      </c>
      <c r="AC156" s="249">
        <v>0</v>
      </c>
      <c r="AD156" s="249">
        <v>0</v>
      </c>
      <c r="AE156" s="249">
        <v>0</v>
      </c>
      <c r="AF156" s="249">
        <v>-130.21142101812333</v>
      </c>
      <c r="AG156" s="249">
        <v>-60.821750226979574</v>
      </c>
      <c r="AH156" s="249">
        <v>32</v>
      </c>
      <c r="AI156" s="249">
        <v>13</v>
      </c>
      <c r="AJ156" s="249">
        <v>1</v>
      </c>
      <c r="AK156" s="159" t="s">
        <v>245</v>
      </c>
      <c r="AL156" s="159" t="s">
        <v>230</v>
      </c>
      <c r="AM156" s="159"/>
      <c r="AN156" s="159">
        <v>0</v>
      </c>
      <c r="AO156" s="159"/>
      <c r="AP156" s="159"/>
      <c r="AQ156" s="159"/>
      <c r="AR156" s="159"/>
      <c r="AS156" s="159"/>
      <c r="AT156" s="159"/>
      <c r="AU156" s="159"/>
      <c r="AV156" s="159"/>
      <c r="AW156" s="159"/>
      <c r="AX156" s="159"/>
      <c r="AY156" s="159"/>
      <c r="AZ156" s="159"/>
      <c r="BA156" s="159"/>
      <c r="BB156" s="159"/>
      <c r="BC156" s="159"/>
      <c r="BD156" s="159"/>
      <c r="BE156" s="159"/>
      <c r="BF156" s="159"/>
      <c r="BG156" s="159"/>
      <c r="BH156" s="159"/>
      <c r="BI156" s="159"/>
      <c r="BJ156" s="159"/>
      <c r="BK156" s="159"/>
      <c r="BL156" s="159"/>
      <c r="BM156" s="159"/>
      <c r="BN156" s="159"/>
      <c r="BO156" s="159"/>
      <c r="BP156" s="159"/>
      <c r="BQ156" s="159"/>
      <c r="BR156" s="159"/>
      <c r="BS156" s="159"/>
      <c r="BT156" s="159"/>
      <c r="BU156" s="159"/>
      <c r="BV156" s="159"/>
      <c r="BW156" s="159"/>
      <c r="BX156" s="159"/>
      <c r="BY156" s="159"/>
      <c r="BZ156" s="159"/>
      <c r="CA156" s="159"/>
      <c r="CB156" s="159"/>
      <c r="CC156" s="159"/>
      <c r="CD156" s="159">
        <v>0</v>
      </c>
      <c r="CE156" s="159"/>
      <c r="CF156" s="159"/>
      <c r="CG156" s="159">
        <v>-31.2</v>
      </c>
      <c r="CH156" s="159">
        <v>155</v>
      </c>
    </row>
    <row r="157" spans="1:86" x14ac:dyDescent="0.25">
      <c r="A157" s="241" t="s">
        <v>752</v>
      </c>
      <c r="B157" s="241">
        <v>0</v>
      </c>
      <c r="C157" s="241">
        <v>850</v>
      </c>
      <c r="D157" s="241">
        <v>500</v>
      </c>
      <c r="E157" s="241" t="s">
        <v>250</v>
      </c>
      <c r="F157" s="241" t="s">
        <v>250</v>
      </c>
      <c r="G157" s="265">
        <v>7940000</v>
      </c>
      <c r="H157" s="250">
        <v>29.862390040750313</v>
      </c>
      <c r="I157" s="250">
        <v>21.786699400893177</v>
      </c>
      <c r="J157" s="250">
        <v>0</v>
      </c>
      <c r="K157" s="250">
        <v>44.960426192298442</v>
      </c>
      <c r="L157" s="250">
        <v>0</v>
      </c>
      <c r="M157" s="250">
        <v>0</v>
      </c>
      <c r="N157" s="250">
        <v>0.76747455270703857</v>
      </c>
      <c r="O157" s="250">
        <v>1.0281751571759954</v>
      </c>
      <c r="P157" s="250">
        <v>0.62584873615744774</v>
      </c>
      <c r="Q157" s="250">
        <v>0.25676194704728272</v>
      </c>
      <c r="R157" s="250">
        <v>0.31874628411356809</v>
      </c>
      <c r="S157" s="250">
        <v>0.36666780837310803</v>
      </c>
      <c r="T157" s="250">
        <v>0</v>
      </c>
      <c r="U157" s="250">
        <v>0</v>
      </c>
      <c r="V157" s="250">
        <v>2.5079904447434093E-2</v>
      </c>
      <c r="W157" s="250">
        <v>1.7299760362088151E-3</v>
      </c>
      <c r="X157" s="250">
        <v>0</v>
      </c>
      <c r="Y157" s="250">
        <v>0</v>
      </c>
      <c r="Z157" s="250">
        <v>0</v>
      </c>
      <c r="AA157" s="250">
        <v>0</v>
      </c>
      <c r="AB157" s="250">
        <v>0</v>
      </c>
      <c r="AC157" s="250">
        <v>0</v>
      </c>
      <c r="AD157" s="250">
        <v>0</v>
      </c>
      <c r="AE157" s="250">
        <v>0</v>
      </c>
      <c r="AF157" s="250">
        <v>-130.21142101812333</v>
      </c>
      <c r="AG157" s="250">
        <v>-130.21142101812333</v>
      </c>
      <c r="AH157" s="250">
        <v>32</v>
      </c>
      <c r="AI157" s="250">
        <v>13</v>
      </c>
      <c r="AJ157" s="250">
        <v>1</v>
      </c>
      <c r="AK157" s="241" t="s">
        <v>245</v>
      </c>
      <c r="AL157" s="241" t="s">
        <v>230</v>
      </c>
      <c r="AM157" s="241"/>
      <c r="AN157" s="241">
        <v>0</v>
      </c>
      <c r="AO157" s="241"/>
      <c r="AP157" s="241"/>
      <c r="AQ157" s="241"/>
      <c r="AR157" s="241"/>
      <c r="AS157" s="241"/>
      <c r="AT157" s="241"/>
      <c r="AU157" s="241"/>
      <c r="AV157" s="241"/>
      <c r="AW157" s="241"/>
      <c r="AX157" s="241"/>
      <c r="AY157" s="241"/>
      <c r="AZ157" s="241"/>
      <c r="BA157" s="241"/>
      <c r="BB157" s="241"/>
      <c r="BC157" s="241"/>
      <c r="BD157" s="241"/>
      <c r="BE157" s="241"/>
      <c r="BF157" s="241"/>
      <c r="BG157" s="241"/>
      <c r="BH157" s="241"/>
      <c r="BI157" s="241"/>
      <c r="BJ157" s="241"/>
      <c r="BK157" s="241"/>
      <c r="BL157" s="241"/>
      <c r="BM157" s="241"/>
      <c r="BN157" s="241"/>
      <c r="BO157" s="241"/>
      <c r="BP157" s="241"/>
      <c r="BQ157" s="241"/>
      <c r="BR157" s="241"/>
      <c r="BS157" s="241"/>
      <c r="BT157" s="241"/>
      <c r="BU157" s="241"/>
      <c r="BV157" s="241"/>
      <c r="BW157" s="241"/>
      <c r="BX157" s="241"/>
      <c r="BY157" s="241"/>
      <c r="BZ157" s="241"/>
      <c r="CA157" s="241"/>
      <c r="CB157" s="241"/>
      <c r="CC157" s="241"/>
      <c r="CD157" s="241">
        <v>0</v>
      </c>
      <c r="CE157" s="241"/>
      <c r="CF157" s="241"/>
      <c r="CG157" s="241">
        <v>-0.37</v>
      </c>
      <c r="CH157" s="241">
        <v>156</v>
      </c>
    </row>
    <row r="158" spans="1:86" x14ac:dyDescent="0.25">
      <c r="A158" s="159" t="s">
        <v>753</v>
      </c>
      <c r="B158" s="159">
        <v>0</v>
      </c>
      <c r="C158" s="159">
        <v>850</v>
      </c>
      <c r="D158" s="159">
        <v>1000</v>
      </c>
      <c r="E158" s="159" t="s">
        <v>250</v>
      </c>
      <c r="F158" s="159" t="s">
        <v>250</v>
      </c>
      <c r="G158" s="264">
        <v>7940000</v>
      </c>
      <c r="H158" s="249">
        <v>29.862390040750313</v>
      </c>
      <c r="I158" s="249">
        <v>21.786699400893177</v>
      </c>
      <c r="J158" s="249">
        <v>0</v>
      </c>
      <c r="K158" s="249">
        <v>44.960426192298442</v>
      </c>
      <c r="L158" s="249">
        <v>0</v>
      </c>
      <c r="M158" s="249">
        <v>0</v>
      </c>
      <c r="N158" s="249">
        <v>0.76747455270703857</v>
      </c>
      <c r="O158" s="249">
        <v>1.0281751571759954</v>
      </c>
      <c r="P158" s="249">
        <v>0.62584873615744774</v>
      </c>
      <c r="Q158" s="249">
        <v>0.25676194704728272</v>
      </c>
      <c r="R158" s="249">
        <v>0.31874628411356809</v>
      </c>
      <c r="S158" s="249">
        <v>0.36666780837310803</v>
      </c>
      <c r="T158" s="249">
        <v>0</v>
      </c>
      <c r="U158" s="249">
        <v>0</v>
      </c>
      <c r="V158" s="249">
        <v>2.5079904447434093E-2</v>
      </c>
      <c r="W158" s="249">
        <v>1.7299760362088151E-3</v>
      </c>
      <c r="X158" s="249">
        <v>0</v>
      </c>
      <c r="Y158" s="249">
        <v>0</v>
      </c>
      <c r="Z158" s="249">
        <v>0</v>
      </c>
      <c r="AA158" s="249">
        <v>0</v>
      </c>
      <c r="AB158" s="249">
        <v>0</v>
      </c>
      <c r="AC158" s="249">
        <v>0</v>
      </c>
      <c r="AD158" s="249">
        <v>0</v>
      </c>
      <c r="AE158" s="249">
        <v>0</v>
      </c>
      <c r="AF158" s="249">
        <v>-130.21142101812333</v>
      </c>
      <c r="AG158" s="249">
        <v>-130.21142101812333</v>
      </c>
      <c r="AH158" s="249">
        <v>32</v>
      </c>
      <c r="AI158" s="249">
        <v>13</v>
      </c>
      <c r="AJ158" s="249">
        <v>1</v>
      </c>
      <c r="AK158" s="159" t="s">
        <v>245</v>
      </c>
      <c r="AL158" s="159" t="s">
        <v>230</v>
      </c>
      <c r="AM158" s="159"/>
      <c r="AN158" s="159">
        <v>0</v>
      </c>
      <c r="AO158" s="159"/>
      <c r="AP158" s="159"/>
      <c r="AQ158" s="159"/>
      <c r="AR158" s="159"/>
      <c r="AS158" s="159"/>
      <c r="AT158" s="159"/>
      <c r="AU158" s="159"/>
      <c r="AV158" s="159"/>
      <c r="AW158" s="159"/>
      <c r="AX158" s="159"/>
      <c r="AY158" s="159"/>
      <c r="AZ158" s="159"/>
      <c r="BA158" s="159"/>
      <c r="BB158" s="159"/>
      <c r="BC158" s="159"/>
      <c r="BD158" s="159"/>
      <c r="BE158" s="159"/>
      <c r="BF158" s="159"/>
      <c r="BG158" s="159"/>
      <c r="BH158" s="159"/>
      <c r="BI158" s="159"/>
      <c r="BJ158" s="159"/>
      <c r="BK158" s="159"/>
      <c r="BL158" s="159"/>
      <c r="BM158" s="159"/>
      <c r="BN158" s="159"/>
      <c r="BO158" s="159"/>
      <c r="BP158" s="159"/>
      <c r="BQ158" s="159"/>
      <c r="BR158" s="159"/>
      <c r="BS158" s="159"/>
      <c r="BT158" s="159"/>
      <c r="BU158" s="159"/>
      <c r="BV158" s="159"/>
      <c r="BW158" s="159"/>
      <c r="BX158" s="159"/>
      <c r="BY158" s="159"/>
      <c r="BZ158" s="159"/>
      <c r="CA158" s="159"/>
      <c r="CB158" s="159"/>
      <c r="CC158" s="159"/>
      <c r="CD158" s="159">
        <v>0</v>
      </c>
      <c r="CE158" s="159"/>
      <c r="CF158" s="159"/>
      <c r="CG158" s="159">
        <v>-0.3</v>
      </c>
      <c r="CH158" s="159">
        <v>157</v>
      </c>
    </row>
    <row r="159" spans="1:86" x14ac:dyDescent="0.25">
      <c r="A159" s="241" t="s">
        <v>754</v>
      </c>
      <c r="B159" s="241">
        <v>0</v>
      </c>
      <c r="C159" s="241">
        <v>850</v>
      </c>
      <c r="D159" s="241">
        <v>2000</v>
      </c>
      <c r="E159" s="241" t="s">
        <v>250</v>
      </c>
      <c r="F159" s="241" t="s">
        <v>250</v>
      </c>
      <c r="G159" s="265">
        <v>7940000</v>
      </c>
      <c r="H159" s="250">
        <v>29.862390040750313</v>
      </c>
      <c r="I159" s="250">
        <v>21.786699400893177</v>
      </c>
      <c r="J159" s="250">
        <v>0</v>
      </c>
      <c r="K159" s="250">
        <v>44.960426192298442</v>
      </c>
      <c r="L159" s="250">
        <v>0</v>
      </c>
      <c r="M159" s="250">
        <v>0</v>
      </c>
      <c r="N159" s="250">
        <v>0.76747455270703857</v>
      </c>
      <c r="O159" s="250">
        <v>1.0281751571759954</v>
      </c>
      <c r="P159" s="250">
        <v>0.62584873615744774</v>
      </c>
      <c r="Q159" s="250">
        <v>0.25676194704728272</v>
      </c>
      <c r="R159" s="250">
        <v>0.31874628411356809</v>
      </c>
      <c r="S159" s="250">
        <v>0.36666780837310803</v>
      </c>
      <c r="T159" s="250">
        <v>0</v>
      </c>
      <c r="U159" s="250">
        <v>0</v>
      </c>
      <c r="V159" s="250">
        <v>2.5079904447434093E-2</v>
      </c>
      <c r="W159" s="250">
        <v>1.7299760362088151E-3</v>
      </c>
      <c r="X159" s="250">
        <v>0</v>
      </c>
      <c r="Y159" s="250">
        <v>0</v>
      </c>
      <c r="Z159" s="250">
        <v>0</v>
      </c>
      <c r="AA159" s="250">
        <v>0</v>
      </c>
      <c r="AB159" s="250">
        <v>0</v>
      </c>
      <c r="AC159" s="250">
        <v>0</v>
      </c>
      <c r="AD159" s="250">
        <v>0</v>
      </c>
      <c r="AE159" s="250">
        <v>0</v>
      </c>
      <c r="AF159" s="250">
        <v>-130.21142101812333</v>
      </c>
      <c r="AG159" s="250">
        <v>-130.21142101812333</v>
      </c>
      <c r="AH159" s="250">
        <v>32</v>
      </c>
      <c r="AI159" s="250">
        <v>13</v>
      </c>
      <c r="AJ159" s="250">
        <v>1</v>
      </c>
      <c r="AK159" s="241" t="s">
        <v>245</v>
      </c>
      <c r="AL159" s="241" t="s">
        <v>230</v>
      </c>
      <c r="AM159" s="241"/>
      <c r="AN159" s="241">
        <v>0</v>
      </c>
      <c r="AO159" s="241"/>
      <c r="AP159" s="241"/>
      <c r="AQ159" s="241"/>
      <c r="AR159" s="241"/>
      <c r="AS159" s="241"/>
      <c r="AT159" s="241"/>
      <c r="AU159" s="241"/>
      <c r="AV159" s="241"/>
      <c r="AW159" s="241"/>
      <c r="AX159" s="241"/>
      <c r="AY159" s="241"/>
      <c r="AZ159" s="241"/>
      <c r="BA159" s="241"/>
      <c r="BB159" s="241"/>
      <c r="BC159" s="241"/>
      <c r="BD159" s="241"/>
      <c r="BE159" s="241"/>
      <c r="BF159" s="241"/>
      <c r="BG159" s="241"/>
      <c r="BH159" s="241"/>
      <c r="BI159" s="241"/>
      <c r="BJ159" s="241"/>
      <c r="BK159" s="241"/>
      <c r="BL159" s="241"/>
      <c r="BM159" s="241"/>
      <c r="BN159" s="241"/>
      <c r="BO159" s="241"/>
      <c r="BP159" s="241"/>
      <c r="BQ159" s="241"/>
      <c r="BR159" s="241"/>
      <c r="BS159" s="241"/>
      <c r="BT159" s="241"/>
      <c r="BU159" s="241"/>
      <c r="BV159" s="241"/>
      <c r="BW159" s="241"/>
      <c r="BX159" s="241"/>
      <c r="BY159" s="241"/>
      <c r="BZ159" s="241"/>
      <c r="CA159" s="241"/>
      <c r="CB159" s="241"/>
      <c r="CC159" s="241"/>
      <c r="CD159" s="241">
        <v>0</v>
      </c>
      <c r="CE159" s="241"/>
      <c r="CF159" s="241"/>
      <c r="CG159" s="241">
        <v>-0.67</v>
      </c>
      <c r="CH159" s="241">
        <v>158</v>
      </c>
    </row>
    <row r="160" spans="1:86" x14ac:dyDescent="0.25">
      <c r="A160" s="159" t="s">
        <v>755</v>
      </c>
      <c r="B160" s="159">
        <v>0</v>
      </c>
      <c r="C160" s="159">
        <v>850</v>
      </c>
      <c r="D160" s="159">
        <v>500</v>
      </c>
      <c r="E160" s="159" t="s">
        <v>233</v>
      </c>
      <c r="F160" s="159" t="s">
        <v>374</v>
      </c>
      <c r="G160" s="264">
        <v>8360000</v>
      </c>
      <c r="H160" s="249">
        <v>52.563664585142554</v>
      </c>
      <c r="I160" s="249">
        <v>24.770614522262555</v>
      </c>
      <c r="J160" s="249">
        <v>5.8186618719386818</v>
      </c>
      <c r="K160" s="249">
        <v>1.1366645252577121</v>
      </c>
      <c r="L160" s="249">
        <v>0</v>
      </c>
      <c r="M160" s="249">
        <v>12.264026914327294</v>
      </c>
      <c r="N160" s="249">
        <v>6.4606540799836812E-2</v>
      </c>
      <c r="O160" s="249">
        <v>2.2682723802708482</v>
      </c>
      <c r="P160" s="249">
        <v>0.48701732923260416</v>
      </c>
      <c r="Q160" s="249">
        <v>0.20748949404027017</v>
      </c>
      <c r="R160" s="249">
        <v>0.3882351298978311</v>
      </c>
      <c r="S160" s="249">
        <v>1.25647213941777E-2</v>
      </c>
      <c r="T160" s="249">
        <v>0</v>
      </c>
      <c r="U160" s="249">
        <v>0</v>
      </c>
      <c r="V160" s="249">
        <v>3.7638875606013492E-3</v>
      </c>
      <c r="W160" s="249">
        <v>3.6347863346374732E-3</v>
      </c>
      <c r="X160" s="249">
        <v>1.078331154040923E-2</v>
      </c>
      <c r="Y160" s="249">
        <v>0</v>
      </c>
      <c r="Z160" s="249">
        <v>0</v>
      </c>
      <c r="AA160" s="249">
        <v>0</v>
      </c>
      <c r="AB160" s="249">
        <v>0</v>
      </c>
      <c r="AC160" s="249">
        <v>0</v>
      </c>
      <c r="AD160" s="249">
        <v>0</v>
      </c>
      <c r="AE160" s="249">
        <v>0</v>
      </c>
      <c r="AF160" s="249">
        <v>-125.15968658948964</v>
      </c>
      <c r="AG160" s="249">
        <v>-60.821750226979574</v>
      </c>
      <c r="AH160" s="249">
        <v>32</v>
      </c>
      <c r="AI160" s="249">
        <v>13</v>
      </c>
      <c r="AJ160" s="249">
        <v>1</v>
      </c>
      <c r="AK160" s="159" t="s">
        <v>245</v>
      </c>
      <c r="AL160" s="159" t="s">
        <v>230</v>
      </c>
      <c r="AM160" s="159"/>
      <c r="AN160" s="159">
        <v>0</v>
      </c>
      <c r="AO160" s="159"/>
      <c r="AP160" s="159"/>
      <c r="AQ160" s="159"/>
      <c r="AR160" s="159"/>
      <c r="AS160" s="159"/>
      <c r="AT160" s="159"/>
      <c r="AU160" s="159"/>
      <c r="AV160" s="159"/>
      <c r="AW160" s="159"/>
      <c r="AX160" s="159"/>
      <c r="AY160" s="159"/>
      <c r="AZ160" s="159"/>
      <c r="BA160" s="159"/>
      <c r="BB160" s="159"/>
      <c r="BC160" s="159"/>
      <c r="BD160" s="159"/>
      <c r="BE160" s="159"/>
      <c r="BF160" s="159"/>
      <c r="BG160" s="159"/>
      <c r="BH160" s="159"/>
      <c r="BI160" s="159"/>
      <c r="BJ160" s="159"/>
      <c r="BK160" s="159"/>
      <c r="BL160" s="159"/>
      <c r="BM160" s="159"/>
      <c r="BN160" s="159"/>
      <c r="BO160" s="159"/>
      <c r="BP160" s="159"/>
      <c r="BQ160" s="159"/>
      <c r="BR160" s="159"/>
      <c r="BS160" s="159"/>
      <c r="BT160" s="159"/>
      <c r="BU160" s="159"/>
      <c r="BV160" s="159"/>
      <c r="BW160" s="159"/>
      <c r="BX160" s="159"/>
      <c r="BY160" s="159"/>
      <c r="BZ160" s="159"/>
      <c r="CA160" s="159"/>
      <c r="CB160" s="159"/>
      <c r="CC160" s="159"/>
      <c r="CD160" s="159">
        <v>0</v>
      </c>
      <c r="CE160" s="159"/>
      <c r="CF160" s="159"/>
      <c r="CG160" s="159">
        <v>-32.5</v>
      </c>
      <c r="CH160" s="159">
        <v>159</v>
      </c>
    </row>
    <row r="161" spans="1:86" x14ac:dyDescent="0.25">
      <c r="A161" s="241" t="s">
        <v>756</v>
      </c>
      <c r="B161" s="241">
        <v>0</v>
      </c>
      <c r="C161" s="241">
        <v>850</v>
      </c>
      <c r="D161" s="241">
        <v>500</v>
      </c>
      <c r="E161" s="241" t="s">
        <v>233</v>
      </c>
      <c r="F161" s="241" t="s">
        <v>376</v>
      </c>
      <c r="G161" s="265">
        <v>8570000</v>
      </c>
      <c r="H161" s="250">
        <v>3.9488883158128891E-3</v>
      </c>
      <c r="I161" s="250">
        <v>3.5655423885393614E-3</v>
      </c>
      <c r="J161" s="250">
        <v>2.8982107785126116E-3</v>
      </c>
      <c r="K161" s="250">
        <v>5.8095677234929607E-3</v>
      </c>
      <c r="L161" s="250">
        <v>1.5131246262571829E-3</v>
      </c>
      <c r="M161" s="250">
        <v>3.1462447684379225E-3</v>
      </c>
      <c r="N161" s="250">
        <v>0</v>
      </c>
      <c r="O161" s="250">
        <v>6.872060941588095E-3</v>
      </c>
      <c r="P161" s="250">
        <v>7.7463214624627881E-3</v>
      </c>
      <c r="Q161" s="250">
        <v>1.650126416910349E-2</v>
      </c>
      <c r="R161" s="250">
        <v>1.6981600718105869E-2</v>
      </c>
      <c r="S161" s="250">
        <v>0</v>
      </c>
      <c r="T161" s="250">
        <v>98.830495244918922</v>
      </c>
      <c r="U161" s="250">
        <v>0</v>
      </c>
      <c r="V161" s="250">
        <v>0</v>
      </c>
      <c r="W161" s="250">
        <v>0</v>
      </c>
      <c r="X161" s="250">
        <v>1.7151545254768434E-3</v>
      </c>
      <c r="Y161" s="250">
        <v>0</v>
      </c>
      <c r="Z161" s="250">
        <v>0</v>
      </c>
      <c r="AA161" s="250">
        <v>0.96545600742076554</v>
      </c>
      <c r="AB161" s="250">
        <v>7.5322082957894013E-2</v>
      </c>
      <c r="AC161" s="250">
        <v>3.0438177706588694E-2</v>
      </c>
      <c r="AD161" s="250">
        <v>0</v>
      </c>
      <c r="AE161" s="250">
        <v>2.7590506577983152E-2</v>
      </c>
      <c r="AF161" s="250">
        <v>-143.58679215487112</v>
      </c>
      <c r="AG161" s="250">
        <v>-60.821750226979574</v>
      </c>
      <c r="AH161" s="250">
        <v>32</v>
      </c>
      <c r="AI161" s="250">
        <v>13</v>
      </c>
      <c r="AJ161" s="250">
        <v>1</v>
      </c>
      <c r="AK161" s="241" t="s">
        <v>245</v>
      </c>
      <c r="AL161" s="241" t="s">
        <v>230</v>
      </c>
      <c r="AM161" s="241"/>
      <c r="AN161" s="241">
        <v>0</v>
      </c>
      <c r="AO161" s="241"/>
      <c r="AP161" s="241"/>
      <c r="AQ161" s="241"/>
      <c r="AR161" s="241"/>
      <c r="AS161" s="241"/>
      <c r="AT161" s="241"/>
      <c r="AU161" s="241"/>
      <c r="AV161" s="241"/>
      <c r="AW161" s="241"/>
      <c r="AX161" s="241"/>
      <c r="AY161" s="241"/>
      <c r="AZ161" s="241"/>
      <c r="BA161" s="241"/>
      <c r="BB161" s="241"/>
      <c r="BC161" s="241"/>
      <c r="BD161" s="241"/>
      <c r="BE161" s="241"/>
      <c r="BF161" s="241"/>
      <c r="BG161" s="241"/>
      <c r="BH161" s="241"/>
      <c r="BI161" s="241"/>
      <c r="BJ161" s="241"/>
      <c r="BK161" s="241"/>
      <c r="BL161" s="241"/>
      <c r="BM161" s="241"/>
      <c r="BN161" s="241"/>
      <c r="BO161" s="241"/>
      <c r="BP161" s="241"/>
      <c r="BQ161" s="241"/>
      <c r="BR161" s="241"/>
      <c r="BS161" s="241"/>
      <c r="BT161" s="241"/>
      <c r="BU161" s="241"/>
      <c r="BV161" s="241"/>
      <c r="BW161" s="241"/>
      <c r="BX161" s="241"/>
      <c r="BY161" s="241"/>
      <c r="BZ161" s="241"/>
      <c r="CA161" s="241"/>
      <c r="CB161" s="241"/>
      <c r="CC161" s="241"/>
      <c r="CD161" s="241">
        <v>0</v>
      </c>
      <c r="CE161" s="241"/>
      <c r="CF161" s="241"/>
      <c r="CG161" s="241">
        <v>-180</v>
      </c>
      <c r="CH161" s="241">
        <v>160</v>
      </c>
    </row>
    <row r="162" spans="1:86" ht="16.5" thickBot="1" x14ac:dyDescent="0.3">
      <c r="A162" s="160" t="s">
        <v>757</v>
      </c>
      <c r="B162" s="160">
        <v>0</v>
      </c>
      <c r="C162" s="160">
        <v>850</v>
      </c>
      <c r="D162" s="160">
        <v>500</v>
      </c>
      <c r="E162" s="160" t="s">
        <v>233</v>
      </c>
      <c r="F162" s="160" t="s">
        <v>251</v>
      </c>
      <c r="G162" s="267">
        <v>8900000</v>
      </c>
      <c r="H162" s="252">
        <v>99.40318798221314</v>
      </c>
      <c r="I162" s="252">
        <v>0</v>
      </c>
      <c r="J162" s="252">
        <v>0</v>
      </c>
      <c r="K162" s="252">
        <v>5.2544209776799453E-2</v>
      </c>
      <c r="L162" s="252">
        <v>0</v>
      </c>
      <c r="M162" s="252">
        <v>1.9919186261898862E-2</v>
      </c>
      <c r="N162" s="252">
        <v>0.2029752027835848</v>
      </c>
      <c r="O162" s="252">
        <v>0</v>
      </c>
      <c r="P162" s="252">
        <v>2.4521362991721328E-2</v>
      </c>
      <c r="Q162" s="252">
        <v>0.18804803876331966</v>
      </c>
      <c r="R162" s="252">
        <v>9.7738355238442959E-2</v>
      </c>
      <c r="S162" s="252">
        <v>9.235544031579071E-3</v>
      </c>
      <c r="T162" s="252">
        <v>0</v>
      </c>
      <c r="U162" s="252">
        <v>0</v>
      </c>
      <c r="V162" s="252">
        <v>0</v>
      </c>
      <c r="W162" s="252">
        <v>1.8301179395286869E-3</v>
      </c>
      <c r="X162" s="252">
        <v>0</v>
      </c>
      <c r="Y162" s="252">
        <v>0</v>
      </c>
      <c r="Z162" s="252">
        <v>0</v>
      </c>
      <c r="AA162" s="252">
        <v>0</v>
      </c>
      <c r="AB162" s="252">
        <v>0</v>
      </c>
      <c r="AC162" s="252">
        <v>0</v>
      </c>
      <c r="AD162" s="252">
        <v>0</v>
      </c>
      <c r="AE162" s="252">
        <v>0</v>
      </c>
      <c r="AF162" s="252">
        <v>-116.51601495143476</v>
      </c>
      <c r="AG162" s="252">
        <v>-60.821750226979574</v>
      </c>
      <c r="AH162" s="252">
        <v>32</v>
      </c>
      <c r="AI162" s="252">
        <v>13</v>
      </c>
      <c r="AJ162" s="252">
        <v>1</v>
      </c>
      <c r="AK162" s="160" t="s">
        <v>245</v>
      </c>
      <c r="AL162" s="160" t="s">
        <v>230</v>
      </c>
      <c r="AM162" s="160"/>
      <c r="AN162" s="160">
        <v>0</v>
      </c>
      <c r="AO162" s="160"/>
      <c r="AP162" s="160"/>
      <c r="AQ162" s="160"/>
      <c r="AR162" s="160"/>
      <c r="AS162" s="160"/>
      <c r="AT162" s="160"/>
      <c r="AU162" s="160"/>
      <c r="AV162" s="160"/>
      <c r="AW162" s="160"/>
      <c r="AX162" s="160"/>
      <c r="AY162" s="160"/>
      <c r="AZ162" s="160"/>
      <c r="BA162" s="160"/>
      <c r="BB162" s="160"/>
      <c r="BC162" s="160"/>
      <c r="BD162" s="160"/>
      <c r="BE162" s="160"/>
      <c r="BF162" s="160"/>
      <c r="BG162" s="160"/>
      <c r="BH162" s="160"/>
      <c r="BI162" s="160"/>
      <c r="BJ162" s="160"/>
      <c r="BK162" s="160"/>
      <c r="BL162" s="160"/>
      <c r="BM162" s="160"/>
      <c r="BN162" s="160"/>
      <c r="BO162" s="160"/>
      <c r="BP162" s="160"/>
      <c r="BQ162" s="160"/>
      <c r="BR162" s="160"/>
      <c r="BS162" s="160"/>
      <c r="BT162" s="160"/>
      <c r="BU162" s="160"/>
      <c r="BV162" s="160"/>
      <c r="BW162" s="160"/>
      <c r="BX162" s="160"/>
      <c r="BY162" s="160"/>
      <c r="BZ162" s="160"/>
      <c r="CA162" s="160"/>
      <c r="CB162" s="160"/>
      <c r="CC162" s="160"/>
      <c r="CD162" s="160">
        <v>0</v>
      </c>
      <c r="CE162" s="160"/>
      <c r="CF162" s="160"/>
      <c r="CG162" s="160">
        <v>-0.1</v>
      </c>
      <c r="CH162" s="160">
        <v>161</v>
      </c>
    </row>
    <row r="163" spans="1:86" x14ac:dyDescent="0.25">
      <c r="A163" s="241" t="s">
        <v>777</v>
      </c>
      <c r="B163" s="241">
        <v>0</v>
      </c>
      <c r="C163" s="241">
        <v>750</v>
      </c>
      <c r="D163" s="241">
        <v>1000</v>
      </c>
      <c r="E163" s="241" t="s">
        <v>55</v>
      </c>
      <c r="F163" s="241" t="s">
        <v>264</v>
      </c>
      <c r="G163" s="265">
        <v>7980000</v>
      </c>
      <c r="H163" s="250">
        <v>9.6019577325472891</v>
      </c>
      <c r="I163" s="250">
        <v>17.936087370130238</v>
      </c>
      <c r="J163" s="250">
        <v>1.1768707920004398</v>
      </c>
      <c r="K163" s="250">
        <v>69.293568507337511</v>
      </c>
      <c r="L163" s="250">
        <v>0</v>
      </c>
      <c r="M163" s="250">
        <v>0.53391798746132602</v>
      </c>
      <c r="N163" s="250">
        <v>1.1658405657226509</v>
      </c>
      <c r="O163" s="250">
        <v>0</v>
      </c>
      <c r="P163" s="250">
        <v>0</v>
      </c>
      <c r="Q163" s="250">
        <v>0</v>
      </c>
      <c r="R163" s="250">
        <v>0</v>
      </c>
      <c r="S163" s="250">
        <v>0.29175704480054121</v>
      </c>
      <c r="T163" s="250">
        <v>0</v>
      </c>
      <c r="U163" s="250">
        <v>0</v>
      </c>
      <c r="V163" s="250">
        <v>0</v>
      </c>
      <c r="W163" s="250">
        <v>0</v>
      </c>
      <c r="X163" s="250">
        <v>0</v>
      </c>
      <c r="Y163" s="250">
        <v>0</v>
      </c>
      <c r="Z163" s="250">
        <v>0</v>
      </c>
      <c r="AA163" s="250">
        <v>0</v>
      </c>
      <c r="AB163" s="250">
        <v>0</v>
      </c>
      <c r="AC163" s="250">
        <v>0</v>
      </c>
      <c r="AD163" s="250">
        <v>0</v>
      </c>
      <c r="AE163" s="250">
        <v>0</v>
      </c>
      <c r="AF163" s="250">
        <v>-135.32117352499264</v>
      </c>
      <c r="AG163" s="250">
        <v>-113.97577374311049</v>
      </c>
      <c r="AH163" s="250">
        <v>12.7</v>
      </c>
      <c r="AI163" s="250">
        <v>6.35</v>
      </c>
      <c r="AJ163" s="250">
        <v>1.6</v>
      </c>
      <c r="AK163" s="241" t="s">
        <v>228</v>
      </c>
      <c r="AL163" s="241" t="s">
        <v>230</v>
      </c>
      <c r="AM163" s="241"/>
      <c r="AN163" s="241">
        <v>0</v>
      </c>
      <c r="AO163" s="241"/>
      <c r="AP163" s="241"/>
      <c r="AQ163" s="241"/>
      <c r="AR163" s="241"/>
      <c r="AS163" s="241"/>
      <c r="AT163" s="241"/>
      <c r="AU163" s="241"/>
      <c r="AV163" s="241"/>
      <c r="AW163" s="241"/>
      <c r="AX163" s="241"/>
      <c r="AY163" s="241"/>
      <c r="AZ163" s="241"/>
      <c r="BA163" s="241"/>
      <c r="BB163" s="241"/>
      <c r="BC163" s="241"/>
      <c r="BD163" s="241"/>
      <c r="BE163" s="241"/>
      <c r="BF163" s="241"/>
      <c r="BG163" s="241"/>
      <c r="BH163" s="241"/>
      <c r="BI163" s="241"/>
      <c r="BJ163" s="241"/>
      <c r="BK163" s="241"/>
      <c r="BL163" s="241"/>
      <c r="BM163" s="241"/>
      <c r="BN163" s="241"/>
      <c r="BO163" s="241"/>
      <c r="BP163" s="241"/>
      <c r="BQ163" s="241"/>
      <c r="BR163" s="241"/>
      <c r="BS163" s="241"/>
      <c r="BT163" s="241"/>
      <c r="BU163" s="241"/>
      <c r="BV163" s="241"/>
      <c r="BW163" s="241"/>
      <c r="BX163" s="241"/>
      <c r="BY163" s="241"/>
      <c r="BZ163" s="241"/>
      <c r="CA163" s="241"/>
      <c r="CB163" s="241"/>
      <c r="CC163" s="241"/>
      <c r="CD163" s="241">
        <v>0</v>
      </c>
      <c r="CE163" s="241"/>
      <c r="CF163" s="241">
        <v>-65</v>
      </c>
      <c r="CG163" s="241">
        <v>-4.13</v>
      </c>
      <c r="CH163" s="241">
        <v>162</v>
      </c>
    </row>
    <row r="164" spans="1:86" x14ac:dyDescent="0.25">
      <c r="A164" s="159" t="s">
        <v>778</v>
      </c>
      <c r="B164" s="159">
        <v>0</v>
      </c>
      <c r="C164" s="159">
        <v>750</v>
      </c>
      <c r="D164" s="159">
        <v>1000</v>
      </c>
      <c r="E164" s="159" t="s">
        <v>55</v>
      </c>
      <c r="F164" s="159" t="s">
        <v>264</v>
      </c>
      <c r="G164" s="264">
        <v>7980000</v>
      </c>
      <c r="H164" s="249">
        <v>9.6019577325472891</v>
      </c>
      <c r="I164" s="249">
        <v>17.936087370130238</v>
      </c>
      <c r="J164" s="249">
        <v>1.1768707920004398</v>
      </c>
      <c r="K164" s="249">
        <v>69.293568507337511</v>
      </c>
      <c r="L164" s="249">
        <v>0</v>
      </c>
      <c r="M164" s="249">
        <v>0.53391798746132602</v>
      </c>
      <c r="N164" s="249">
        <v>1.1658405657226509</v>
      </c>
      <c r="O164" s="249">
        <v>0</v>
      </c>
      <c r="P164" s="249">
        <v>0</v>
      </c>
      <c r="Q164" s="249">
        <v>0</v>
      </c>
      <c r="R164" s="249">
        <v>0</v>
      </c>
      <c r="S164" s="249">
        <v>0.29175704480054121</v>
      </c>
      <c r="T164" s="249">
        <v>0</v>
      </c>
      <c r="U164" s="249">
        <v>0</v>
      </c>
      <c r="V164" s="249">
        <v>0</v>
      </c>
      <c r="W164" s="249">
        <v>0</v>
      </c>
      <c r="X164" s="249">
        <v>0</v>
      </c>
      <c r="Y164" s="249">
        <v>0</v>
      </c>
      <c r="Z164" s="249">
        <v>0</v>
      </c>
      <c r="AA164" s="249">
        <v>0</v>
      </c>
      <c r="AB164" s="249">
        <v>0</v>
      </c>
      <c r="AC164" s="249">
        <v>0</v>
      </c>
      <c r="AD164" s="249">
        <v>0</v>
      </c>
      <c r="AE164" s="249">
        <v>0</v>
      </c>
      <c r="AF164" s="249">
        <v>-135.32117352499264</v>
      </c>
      <c r="AG164" s="249">
        <v>-113.97577374311049</v>
      </c>
      <c r="AH164" s="249">
        <v>12.7</v>
      </c>
      <c r="AI164" s="249">
        <v>6.35</v>
      </c>
      <c r="AJ164" s="249">
        <v>1.6</v>
      </c>
      <c r="AK164" s="159" t="s">
        <v>228</v>
      </c>
      <c r="AL164" s="159" t="s">
        <v>230</v>
      </c>
      <c r="AM164" s="159"/>
      <c r="AN164" s="159">
        <v>0</v>
      </c>
      <c r="AO164" s="159"/>
      <c r="AP164" s="159"/>
      <c r="AQ164" s="159"/>
      <c r="AR164" s="159"/>
      <c r="AS164" s="159"/>
      <c r="AT164" s="159"/>
      <c r="AU164" s="159"/>
      <c r="AV164" s="159"/>
      <c r="AW164" s="159"/>
      <c r="AX164" s="159"/>
      <c r="AY164" s="159"/>
      <c r="AZ164" s="159"/>
      <c r="BA164" s="159"/>
      <c r="BB164" s="159"/>
      <c r="BC164" s="159"/>
      <c r="BD164" s="159"/>
      <c r="BE164" s="159"/>
      <c r="BF164" s="159"/>
      <c r="BG164" s="159"/>
      <c r="BH164" s="159"/>
      <c r="BI164" s="159"/>
      <c r="BJ164" s="159"/>
      <c r="BK164" s="159"/>
      <c r="BL164" s="159"/>
      <c r="BM164" s="159"/>
      <c r="BN164" s="159"/>
      <c r="BO164" s="159"/>
      <c r="BP164" s="159"/>
      <c r="BQ164" s="159"/>
      <c r="BR164" s="159"/>
      <c r="BS164" s="159"/>
      <c r="BT164" s="159"/>
      <c r="BU164" s="159"/>
      <c r="BV164" s="159"/>
      <c r="BW164" s="159"/>
      <c r="BX164" s="159"/>
      <c r="BY164" s="159"/>
      <c r="BZ164" s="159"/>
      <c r="CA164" s="159"/>
      <c r="CB164" s="159"/>
      <c r="CC164" s="159"/>
      <c r="CD164" s="159">
        <v>0</v>
      </c>
      <c r="CE164" s="159"/>
      <c r="CF164" s="159">
        <v>-30</v>
      </c>
      <c r="CG164" s="159">
        <v>-2.2200000000000002</v>
      </c>
      <c r="CH164" s="159">
        <v>163</v>
      </c>
    </row>
    <row r="165" spans="1:86" x14ac:dyDescent="0.25">
      <c r="A165" s="241" t="s">
        <v>779</v>
      </c>
      <c r="B165" s="241">
        <v>0</v>
      </c>
      <c r="C165" s="241">
        <v>750</v>
      </c>
      <c r="D165" s="241">
        <v>1000</v>
      </c>
      <c r="E165" s="241" t="s">
        <v>55</v>
      </c>
      <c r="F165" s="241" t="s">
        <v>397</v>
      </c>
      <c r="G165" s="265">
        <v>8030000</v>
      </c>
      <c r="H165" s="250">
        <v>8.6659003988959018</v>
      </c>
      <c r="I165" s="250">
        <v>17.963433399892828</v>
      </c>
      <c r="J165" s="250">
        <v>0.1905280058998986</v>
      </c>
      <c r="K165" s="250">
        <v>70.422124087924431</v>
      </c>
      <c r="L165" s="250">
        <v>0</v>
      </c>
      <c r="M165" s="250">
        <v>0.23503832803884256</v>
      </c>
      <c r="N165" s="250">
        <v>1.5025631540065669</v>
      </c>
      <c r="O165" s="250">
        <v>0</v>
      </c>
      <c r="P165" s="250">
        <v>0.23147371917825765</v>
      </c>
      <c r="Q165" s="250">
        <v>0.78893890616327467</v>
      </c>
      <c r="R165" s="250">
        <v>0</v>
      </c>
      <c r="S165" s="250">
        <v>0</v>
      </c>
      <c r="T165" s="250">
        <v>0</v>
      </c>
      <c r="U165" s="250">
        <v>0</v>
      </c>
      <c r="V165" s="250">
        <v>0</v>
      </c>
      <c r="W165" s="250">
        <v>0</v>
      </c>
      <c r="X165" s="250">
        <v>0</v>
      </c>
      <c r="Y165" s="250">
        <v>0</v>
      </c>
      <c r="Z165" s="250">
        <v>0</v>
      </c>
      <c r="AA165" s="250">
        <v>0</v>
      </c>
      <c r="AB165" s="250">
        <v>0</v>
      </c>
      <c r="AC165" s="250">
        <v>0</v>
      </c>
      <c r="AD165" s="250">
        <v>0</v>
      </c>
      <c r="AE165" s="250">
        <v>0</v>
      </c>
      <c r="AF165" s="250">
        <v>-136.21292126204736</v>
      </c>
      <c r="AG165" s="250">
        <v>-113.97577374311049</v>
      </c>
      <c r="AH165" s="250">
        <v>12.7</v>
      </c>
      <c r="AI165" s="250">
        <v>6.35</v>
      </c>
      <c r="AJ165" s="250">
        <v>1.6</v>
      </c>
      <c r="AK165" s="241" t="s">
        <v>228</v>
      </c>
      <c r="AL165" s="241" t="s">
        <v>230</v>
      </c>
      <c r="AM165" s="241"/>
      <c r="AN165" s="241">
        <v>0</v>
      </c>
      <c r="AO165" s="241"/>
      <c r="AP165" s="241"/>
      <c r="AQ165" s="241"/>
      <c r="AR165" s="241"/>
      <c r="AS165" s="241"/>
      <c r="AT165" s="241"/>
      <c r="AU165" s="241"/>
      <c r="AV165" s="241"/>
      <c r="AW165" s="241"/>
      <c r="AX165" s="241"/>
      <c r="AY165" s="241"/>
      <c r="AZ165" s="241"/>
      <c r="BA165" s="241"/>
      <c r="BB165" s="241"/>
      <c r="BC165" s="241"/>
      <c r="BD165" s="241"/>
      <c r="BE165" s="241"/>
      <c r="BF165" s="241"/>
      <c r="BG165" s="241"/>
      <c r="BH165" s="241"/>
      <c r="BI165" s="241"/>
      <c r="BJ165" s="241"/>
      <c r="BK165" s="241"/>
      <c r="BL165" s="241"/>
      <c r="BM165" s="241"/>
      <c r="BN165" s="241"/>
      <c r="BO165" s="241"/>
      <c r="BP165" s="241"/>
      <c r="BQ165" s="241"/>
      <c r="BR165" s="241"/>
      <c r="BS165" s="241"/>
      <c r="BT165" s="241"/>
      <c r="BU165" s="241"/>
      <c r="BV165" s="241"/>
      <c r="BW165" s="241"/>
      <c r="BX165" s="241"/>
      <c r="BY165" s="241"/>
      <c r="BZ165" s="241"/>
      <c r="CA165" s="241"/>
      <c r="CB165" s="241"/>
      <c r="CC165" s="241"/>
      <c r="CD165" s="241">
        <v>0</v>
      </c>
      <c r="CE165" s="241"/>
      <c r="CF165" s="241">
        <v>-60</v>
      </c>
      <c r="CG165" s="241">
        <v>-3.37</v>
      </c>
      <c r="CH165" s="241">
        <v>164</v>
      </c>
    </row>
    <row r="166" spans="1:86" x14ac:dyDescent="0.25">
      <c r="A166" s="159" t="s">
        <v>780</v>
      </c>
      <c r="B166" s="159">
        <v>0</v>
      </c>
      <c r="C166" s="159">
        <v>750</v>
      </c>
      <c r="D166" s="159">
        <v>1000</v>
      </c>
      <c r="E166" s="159" t="s">
        <v>55</v>
      </c>
      <c r="F166" s="159" t="s">
        <v>397</v>
      </c>
      <c r="G166" s="264">
        <v>8030000</v>
      </c>
      <c r="H166" s="249">
        <v>8.6659003988959018</v>
      </c>
      <c r="I166" s="249">
        <v>17.963433399892828</v>
      </c>
      <c r="J166" s="249">
        <v>0.1905280058998986</v>
      </c>
      <c r="K166" s="249">
        <v>70.422124087924431</v>
      </c>
      <c r="L166" s="249">
        <v>0</v>
      </c>
      <c r="M166" s="249">
        <v>0.23503832803884256</v>
      </c>
      <c r="N166" s="249">
        <v>1.5025631540065669</v>
      </c>
      <c r="O166" s="249">
        <v>0</v>
      </c>
      <c r="P166" s="249">
        <v>0.23147371917825765</v>
      </c>
      <c r="Q166" s="249">
        <v>0.78893890616327467</v>
      </c>
      <c r="R166" s="249">
        <v>0</v>
      </c>
      <c r="S166" s="249">
        <v>0</v>
      </c>
      <c r="T166" s="249">
        <v>0</v>
      </c>
      <c r="U166" s="249">
        <v>0</v>
      </c>
      <c r="V166" s="249">
        <v>0</v>
      </c>
      <c r="W166" s="249">
        <v>0</v>
      </c>
      <c r="X166" s="249">
        <v>0</v>
      </c>
      <c r="Y166" s="249">
        <v>0</v>
      </c>
      <c r="Z166" s="249">
        <v>0</v>
      </c>
      <c r="AA166" s="249">
        <v>0</v>
      </c>
      <c r="AB166" s="249">
        <v>0</v>
      </c>
      <c r="AC166" s="249">
        <v>0</v>
      </c>
      <c r="AD166" s="249">
        <v>0</v>
      </c>
      <c r="AE166" s="249">
        <v>0</v>
      </c>
      <c r="AF166" s="249">
        <v>-136.21292126204736</v>
      </c>
      <c r="AG166" s="249">
        <v>-113.97577374311049</v>
      </c>
      <c r="AH166" s="249">
        <v>12.7</v>
      </c>
      <c r="AI166" s="249">
        <v>6.35</v>
      </c>
      <c r="AJ166" s="249">
        <v>1.6</v>
      </c>
      <c r="AK166" s="159" t="s">
        <v>228</v>
      </c>
      <c r="AL166" s="159" t="s">
        <v>230</v>
      </c>
      <c r="AM166" s="159"/>
      <c r="AN166" s="159">
        <v>0</v>
      </c>
      <c r="AO166" s="159"/>
      <c r="AP166" s="159"/>
      <c r="AQ166" s="159"/>
      <c r="AR166" s="159"/>
      <c r="AS166" s="159"/>
      <c r="AT166" s="159"/>
      <c r="AU166" s="159"/>
      <c r="AV166" s="159"/>
      <c r="AW166" s="159"/>
      <c r="AX166" s="159"/>
      <c r="AY166" s="159"/>
      <c r="AZ166" s="159"/>
      <c r="BA166" s="159"/>
      <c r="BB166" s="159"/>
      <c r="BC166" s="159"/>
      <c r="BD166" s="159"/>
      <c r="BE166" s="159"/>
      <c r="BF166" s="159"/>
      <c r="BG166" s="159"/>
      <c r="BH166" s="159"/>
      <c r="BI166" s="159"/>
      <c r="BJ166" s="159"/>
      <c r="BK166" s="159"/>
      <c r="BL166" s="159"/>
      <c r="BM166" s="159"/>
      <c r="BN166" s="159"/>
      <c r="BO166" s="159"/>
      <c r="BP166" s="159"/>
      <c r="BQ166" s="159"/>
      <c r="BR166" s="159"/>
      <c r="BS166" s="159"/>
      <c r="BT166" s="159"/>
      <c r="BU166" s="159"/>
      <c r="BV166" s="159"/>
      <c r="BW166" s="159"/>
      <c r="BX166" s="159"/>
      <c r="BY166" s="159"/>
      <c r="BZ166" s="159"/>
      <c r="CA166" s="159"/>
      <c r="CB166" s="159"/>
      <c r="CC166" s="159"/>
      <c r="CD166" s="159">
        <v>0</v>
      </c>
      <c r="CE166" s="159"/>
      <c r="CF166" s="159">
        <v>-72</v>
      </c>
      <c r="CG166" s="159">
        <v>-3.75</v>
      </c>
      <c r="CH166" s="159">
        <v>165</v>
      </c>
    </row>
    <row r="167" spans="1:86" x14ac:dyDescent="0.25">
      <c r="A167" s="241" t="s">
        <v>773</v>
      </c>
      <c r="B167" s="241">
        <v>0</v>
      </c>
      <c r="C167" s="241">
        <v>750</v>
      </c>
      <c r="D167" s="241">
        <v>1000</v>
      </c>
      <c r="E167" s="241" t="s">
        <v>55</v>
      </c>
      <c r="F167" s="241" t="s">
        <v>312</v>
      </c>
      <c r="G167" s="265">
        <v>8470000</v>
      </c>
      <c r="H167" s="250">
        <v>71.544070960608138</v>
      </c>
      <c r="I167" s="250">
        <v>18.135788141478809</v>
      </c>
      <c r="J167" s="250">
        <v>0</v>
      </c>
      <c r="K167" s="250">
        <v>9.8842559995482464</v>
      </c>
      <c r="L167" s="250">
        <v>0</v>
      </c>
      <c r="M167" s="250">
        <v>0</v>
      </c>
      <c r="N167" s="250">
        <v>0.34539911001333645</v>
      </c>
      <c r="O167" s="250">
        <v>0</v>
      </c>
      <c r="P167" s="250">
        <v>0</v>
      </c>
      <c r="Q167" s="250">
        <v>0</v>
      </c>
      <c r="R167" s="250">
        <v>0</v>
      </c>
      <c r="S167" s="250">
        <v>9.0485788351489918E-2</v>
      </c>
      <c r="T167" s="250">
        <v>0</v>
      </c>
      <c r="U167" s="250">
        <v>0</v>
      </c>
      <c r="V167" s="250">
        <v>0</v>
      </c>
      <c r="W167" s="250">
        <v>0</v>
      </c>
      <c r="X167" s="250">
        <v>0</v>
      </c>
      <c r="Y167" s="250">
        <v>0</v>
      </c>
      <c r="Z167" s="250">
        <v>0</v>
      </c>
      <c r="AA167" s="250">
        <v>0</v>
      </c>
      <c r="AB167" s="250">
        <v>0</v>
      </c>
      <c r="AC167" s="250">
        <v>0</v>
      </c>
      <c r="AD167" s="250">
        <v>0</v>
      </c>
      <c r="AE167" s="250">
        <v>0</v>
      </c>
      <c r="AF167" s="250">
        <v>-126.58354566861037</v>
      </c>
      <c r="AG167" s="250">
        <v>-113.97577374311049</v>
      </c>
      <c r="AH167" s="250">
        <v>12.7</v>
      </c>
      <c r="AI167" s="250">
        <v>6.35</v>
      </c>
      <c r="AJ167" s="250">
        <v>1.6</v>
      </c>
      <c r="AK167" s="241" t="s">
        <v>228</v>
      </c>
      <c r="AL167" s="241" t="s">
        <v>230</v>
      </c>
      <c r="AM167" s="241"/>
      <c r="AN167" s="241">
        <v>0</v>
      </c>
      <c r="AO167" s="241"/>
      <c r="AP167" s="241"/>
      <c r="AQ167" s="241"/>
      <c r="AR167" s="241"/>
      <c r="AS167" s="241"/>
      <c r="AT167" s="241"/>
      <c r="AU167" s="241"/>
      <c r="AV167" s="241"/>
      <c r="AW167" s="241"/>
      <c r="AX167" s="241"/>
      <c r="AY167" s="241"/>
      <c r="AZ167" s="241"/>
      <c r="BA167" s="241"/>
      <c r="BB167" s="241"/>
      <c r="BC167" s="241"/>
      <c r="BD167" s="241"/>
      <c r="BE167" s="241"/>
      <c r="BF167" s="241"/>
      <c r="BG167" s="241"/>
      <c r="BH167" s="241"/>
      <c r="BI167" s="241"/>
      <c r="BJ167" s="241"/>
      <c r="BK167" s="241"/>
      <c r="BL167" s="241"/>
      <c r="BM167" s="241"/>
      <c r="BN167" s="241"/>
      <c r="BO167" s="241"/>
      <c r="BP167" s="241"/>
      <c r="BQ167" s="241"/>
      <c r="BR167" s="241"/>
      <c r="BS167" s="241"/>
      <c r="BT167" s="241"/>
      <c r="BU167" s="241"/>
      <c r="BV167" s="241"/>
      <c r="BW167" s="241"/>
      <c r="BX167" s="241"/>
      <c r="BY167" s="241"/>
      <c r="BZ167" s="241"/>
      <c r="CA167" s="241"/>
      <c r="CB167" s="241"/>
      <c r="CC167" s="241"/>
      <c r="CD167" s="241">
        <v>0</v>
      </c>
      <c r="CE167" s="241"/>
      <c r="CF167" s="241">
        <v>-40</v>
      </c>
      <c r="CG167" s="241">
        <v>-0.44</v>
      </c>
      <c r="CH167" s="241">
        <v>166</v>
      </c>
    </row>
    <row r="168" spans="1:86" x14ac:dyDescent="0.25">
      <c r="A168" s="159" t="s">
        <v>774</v>
      </c>
      <c r="B168" s="159">
        <v>0</v>
      </c>
      <c r="C168" s="159">
        <v>750</v>
      </c>
      <c r="D168" s="159">
        <v>1000</v>
      </c>
      <c r="E168" s="159" t="s">
        <v>55</v>
      </c>
      <c r="F168" s="159" t="s">
        <v>312</v>
      </c>
      <c r="G168" s="264">
        <v>8470000</v>
      </c>
      <c r="H168" s="249">
        <v>71.544070960608138</v>
      </c>
      <c r="I168" s="249">
        <v>18.135788141478809</v>
      </c>
      <c r="J168" s="249">
        <v>0</v>
      </c>
      <c r="K168" s="249">
        <v>9.8842559995482464</v>
      </c>
      <c r="L168" s="249">
        <v>0</v>
      </c>
      <c r="M168" s="249">
        <v>0</v>
      </c>
      <c r="N168" s="249">
        <v>0.34539911001333645</v>
      </c>
      <c r="O168" s="249">
        <v>0</v>
      </c>
      <c r="P168" s="249">
        <v>0</v>
      </c>
      <c r="Q168" s="249">
        <v>0</v>
      </c>
      <c r="R168" s="249">
        <v>0</v>
      </c>
      <c r="S168" s="249">
        <v>9.0485788351489918E-2</v>
      </c>
      <c r="T168" s="249">
        <v>0</v>
      </c>
      <c r="U168" s="249">
        <v>0</v>
      </c>
      <c r="V168" s="249">
        <v>0</v>
      </c>
      <c r="W168" s="249">
        <v>0</v>
      </c>
      <c r="X168" s="249">
        <v>0</v>
      </c>
      <c r="Y168" s="249">
        <v>0</v>
      </c>
      <c r="Z168" s="249">
        <v>0</v>
      </c>
      <c r="AA168" s="249">
        <v>0</v>
      </c>
      <c r="AB168" s="249">
        <v>0</v>
      </c>
      <c r="AC168" s="249">
        <v>0</v>
      </c>
      <c r="AD168" s="249">
        <v>0</v>
      </c>
      <c r="AE168" s="249">
        <v>0</v>
      </c>
      <c r="AF168" s="249">
        <v>-126.58354566861037</v>
      </c>
      <c r="AG168" s="249">
        <v>-113.97577374311049</v>
      </c>
      <c r="AH168" s="249">
        <v>12.7</v>
      </c>
      <c r="AI168" s="249">
        <v>6.35</v>
      </c>
      <c r="AJ168" s="249">
        <v>1.6</v>
      </c>
      <c r="AK168" s="159" t="s">
        <v>228</v>
      </c>
      <c r="AL168" s="159" t="s">
        <v>230</v>
      </c>
      <c r="AM168" s="159"/>
      <c r="AN168" s="159">
        <v>0</v>
      </c>
      <c r="AO168" s="159"/>
      <c r="AP168" s="159"/>
      <c r="AQ168" s="159"/>
      <c r="AR168" s="159"/>
      <c r="AS168" s="159"/>
      <c r="AT168" s="159"/>
      <c r="AU168" s="159"/>
      <c r="AV168" s="159"/>
      <c r="AW168" s="159"/>
      <c r="AX168" s="159"/>
      <c r="AY168" s="159"/>
      <c r="AZ168" s="159"/>
      <c r="BA168" s="159"/>
      <c r="BB168" s="159"/>
      <c r="BC168" s="159"/>
      <c r="BD168" s="159"/>
      <c r="BE168" s="159"/>
      <c r="BF168" s="159"/>
      <c r="BG168" s="159"/>
      <c r="BH168" s="159"/>
      <c r="BI168" s="159"/>
      <c r="BJ168" s="159"/>
      <c r="BK168" s="159"/>
      <c r="BL168" s="159"/>
      <c r="BM168" s="159"/>
      <c r="BN168" s="159"/>
      <c r="BO168" s="159"/>
      <c r="BP168" s="159"/>
      <c r="BQ168" s="159"/>
      <c r="BR168" s="159"/>
      <c r="BS168" s="159"/>
      <c r="BT168" s="159"/>
      <c r="BU168" s="159"/>
      <c r="BV168" s="159"/>
      <c r="BW168" s="159"/>
      <c r="BX168" s="159"/>
      <c r="BY168" s="159"/>
      <c r="BZ168" s="159"/>
      <c r="CA168" s="159"/>
      <c r="CB168" s="159"/>
      <c r="CC168" s="159"/>
      <c r="CD168" s="159">
        <v>0</v>
      </c>
      <c r="CE168" s="159"/>
      <c r="CF168" s="159">
        <v>-50</v>
      </c>
      <c r="CG168" s="159">
        <v>-0.82</v>
      </c>
      <c r="CH168" s="159">
        <v>167</v>
      </c>
    </row>
    <row r="169" spans="1:86" x14ac:dyDescent="0.25">
      <c r="A169" s="241" t="s">
        <v>771</v>
      </c>
      <c r="B169" s="241">
        <v>0</v>
      </c>
      <c r="C169" s="241">
        <v>750</v>
      </c>
      <c r="D169" s="241">
        <v>1000</v>
      </c>
      <c r="E169" s="241" t="s">
        <v>55</v>
      </c>
      <c r="F169" s="241" t="s">
        <v>374</v>
      </c>
      <c r="G169" s="265">
        <v>8360000</v>
      </c>
      <c r="H169" s="250">
        <v>56.711655065979365</v>
      </c>
      <c r="I169" s="250">
        <v>22.003393815291588</v>
      </c>
      <c r="J169" s="250">
        <v>5.3216728086631244</v>
      </c>
      <c r="K169" s="250">
        <v>0.40847510639083412</v>
      </c>
      <c r="L169" s="250">
        <v>0</v>
      </c>
      <c r="M169" s="250">
        <v>12.606410499527327</v>
      </c>
      <c r="N169" s="250">
        <v>0.18100244078051467</v>
      </c>
      <c r="O169" s="250">
        <v>2.3849259813651993</v>
      </c>
      <c r="P169" s="250">
        <v>0.24439410895885857</v>
      </c>
      <c r="Q169" s="250">
        <v>0</v>
      </c>
      <c r="R169" s="250">
        <v>0</v>
      </c>
      <c r="S169" s="250">
        <v>0.13807017304320091</v>
      </c>
      <c r="T169" s="250">
        <v>0</v>
      </c>
      <c r="U169" s="250">
        <v>0</v>
      </c>
      <c r="V169" s="250">
        <v>0</v>
      </c>
      <c r="W169" s="250">
        <v>0</v>
      </c>
      <c r="X169" s="250">
        <v>0</v>
      </c>
      <c r="Y169" s="250">
        <v>0</v>
      </c>
      <c r="Z169" s="250">
        <v>0</v>
      </c>
      <c r="AA169" s="250">
        <v>0</v>
      </c>
      <c r="AB169" s="250">
        <v>0</v>
      </c>
      <c r="AC169" s="250">
        <v>0</v>
      </c>
      <c r="AD169" s="250">
        <v>0</v>
      </c>
      <c r="AE169" s="250">
        <v>0</v>
      </c>
      <c r="AF169" s="250">
        <v>-127.82013661316495</v>
      </c>
      <c r="AG169" s="250">
        <v>-113.97577374311049</v>
      </c>
      <c r="AH169" s="250">
        <v>12.7</v>
      </c>
      <c r="AI169" s="250">
        <v>6.35</v>
      </c>
      <c r="AJ169" s="250">
        <v>1.6</v>
      </c>
      <c r="AK169" s="241" t="s">
        <v>228</v>
      </c>
      <c r="AL169" s="241" t="s">
        <v>230</v>
      </c>
      <c r="AM169" s="241"/>
      <c r="AN169" s="241">
        <v>0</v>
      </c>
      <c r="AO169" s="241"/>
      <c r="AP169" s="241"/>
      <c r="AQ169" s="241"/>
      <c r="AR169" s="241"/>
      <c r="AS169" s="241"/>
      <c r="AT169" s="241"/>
      <c r="AU169" s="241"/>
      <c r="AV169" s="241"/>
      <c r="AW169" s="241"/>
      <c r="AX169" s="241"/>
      <c r="AY169" s="241"/>
      <c r="AZ169" s="241"/>
      <c r="BA169" s="241"/>
      <c r="BB169" s="241"/>
      <c r="BC169" s="241"/>
      <c r="BD169" s="241"/>
      <c r="BE169" s="241"/>
      <c r="BF169" s="241"/>
      <c r="BG169" s="241"/>
      <c r="BH169" s="241"/>
      <c r="BI169" s="241"/>
      <c r="BJ169" s="241"/>
      <c r="BK169" s="241"/>
      <c r="BL169" s="241"/>
      <c r="BM169" s="241"/>
      <c r="BN169" s="241"/>
      <c r="BO169" s="241"/>
      <c r="BP169" s="241"/>
      <c r="BQ169" s="241"/>
      <c r="BR169" s="241"/>
      <c r="BS169" s="241"/>
      <c r="BT169" s="241"/>
      <c r="BU169" s="241"/>
      <c r="BV169" s="241"/>
      <c r="BW169" s="241"/>
      <c r="BX169" s="241"/>
      <c r="BY169" s="241"/>
      <c r="BZ169" s="241"/>
      <c r="CA169" s="241"/>
      <c r="CB169" s="241"/>
      <c r="CC169" s="241"/>
      <c r="CD169" s="241">
        <v>0</v>
      </c>
      <c r="CE169" s="241"/>
      <c r="CF169" s="241">
        <v>-10.199999999999999</v>
      </c>
      <c r="CG169" s="241">
        <v>-1.91</v>
      </c>
      <c r="CH169" s="241">
        <v>168</v>
      </c>
    </row>
    <row r="170" spans="1:86" x14ac:dyDescent="0.25">
      <c r="A170" s="159" t="s">
        <v>772</v>
      </c>
      <c r="B170" s="159">
        <v>0</v>
      </c>
      <c r="C170" s="159">
        <v>750</v>
      </c>
      <c r="D170" s="159">
        <v>1000</v>
      </c>
      <c r="E170" s="159" t="s">
        <v>55</v>
      </c>
      <c r="F170" s="159" t="s">
        <v>374</v>
      </c>
      <c r="G170" s="264">
        <v>8360000</v>
      </c>
      <c r="H170" s="249">
        <v>56.711655065979365</v>
      </c>
      <c r="I170" s="249">
        <v>22.003393815291588</v>
      </c>
      <c r="J170" s="249">
        <v>5.3216728086631244</v>
      </c>
      <c r="K170" s="249">
        <v>0.40847510639083412</v>
      </c>
      <c r="L170" s="249">
        <v>0</v>
      </c>
      <c r="M170" s="249">
        <v>12.606410499527327</v>
      </c>
      <c r="N170" s="249">
        <v>0.18100244078051467</v>
      </c>
      <c r="O170" s="249">
        <v>2.3849259813651993</v>
      </c>
      <c r="P170" s="249">
        <v>0.24439410895885857</v>
      </c>
      <c r="Q170" s="249">
        <v>0</v>
      </c>
      <c r="R170" s="249">
        <v>0</v>
      </c>
      <c r="S170" s="249">
        <v>0.13807017304320091</v>
      </c>
      <c r="T170" s="249">
        <v>0</v>
      </c>
      <c r="U170" s="249">
        <v>0</v>
      </c>
      <c r="V170" s="249">
        <v>0</v>
      </c>
      <c r="W170" s="249">
        <v>0</v>
      </c>
      <c r="X170" s="249">
        <v>0</v>
      </c>
      <c r="Y170" s="249">
        <v>0</v>
      </c>
      <c r="Z170" s="249">
        <v>0</v>
      </c>
      <c r="AA170" s="249">
        <v>0</v>
      </c>
      <c r="AB170" s="249">
        <v>0</v>
      </c>
      <c r="AC170" s="249">
        <v>0</v>
      </c>
      <c r="AD170" s="249">
        <v>0</v>
      </c>
      <c r="AE170" s="249">
        <v>0</v>
      </c>
      <c r="AF170" s="249">
        <v>-127.82013661316495</v>
      </c>
      <c r="AG170" s="249">
        <v>-113.97577374311049</v>
      </c>
      <c r="AH170" s="249">
        <v>12.7</v>
      </c>
      <c r="AI170" s="249">
        <v>6.35</v>
      </c>
      <c r="AJ170" s="249">
        <v>1.6</v>
      </c>
      <c r="AK170" s="159" t="s">
        <v>228</v>
      </c>
      <c r="AL170" s="159" t="s">
        <v>230</v>
      </c>
      <c r="AM170" s="159"/>
      <c r="AN170" s="159">
        <v>0</v>
      </c>
      <c r="AO170" s="159"/>
      <c r="AP170" s="159"/>
      <c r="AQ170" s="159"/>
      <c r="AR170" s="159"/>
      <c r="AS170" s="159"/>
      <c r="AT170" s="159"/>
      <c r="AU170" s="159"/>
      <c r="AV170" s="159"/>
      <c r="AW170" s="159"/>
      <c r="AX170" s="159"/>
      <c r="AY170" s="159"/>
      <c r="AZ170" s="159"/>
      <c r="BA170" s="159"/>
      <c r="BB170" s="159"/>
      <c r="BC170" s="159"/>
      <c r="BD170" s="159"/>
      <c r="BE170" s="159"/>
      <c r="BF170" s="159"/>
      <c r="BG170" s="159"/>
      <c r="BH170" s="159"/>
      <c r="BI170" s="159"/>
      <c r="BJ170" s="159"/>
      <c r="BK170" s="159"/>
      <c r="BL170" s="159"/>
      <c r="BM170" s="159"/>
      <c r="BN170" s="159"/>
      <c r="BO170" s="159"/>
      <c r="BP170" s="159"/>
      <c r="BQ170" s="159"/>
      <c r="BR170" s="159"/>
      <c r="BS170" s="159"/>
      <c r="BT170" s="159"/>
      <c r="BU170" s="159"/>
      <c r="BV170" s="159"/>
      <c r="BW170" s="159"/>
      <c r="BX170" s="159"/>
      <c r="BY170" s="159"/>
      <c r="BZ170" s="159"/>
      <c r="CA170" s="159"/>
      <c r="CB170" s="159"/>
      <c r="CC170" s="159"/>
      <c r="CD170" s="159">
        <v>0</v>
      </c>
      <c r="CE170" s="159"/>
      <c r="CF170" s="159">
        <v>-9.1999999999999993</v>
      </c>
      <c r="CG170" s="159">
        <v>-1.1200000000000001</v>
      </c>
      <c r="CH170" s="159">
        <v>169</v>
      </c>
    </row>
    <row r="171" spans="1:86" x14ac:dyDescent="0.25">
      <c r="A171" s="241" t="s">
        <v>769</v>
      </c>
      <c r="B171" s="241">
        <v>0</v>
      </c>
      <c r="C171" s="241">
        <v>750</v>
      </c>
      <c r="D171" s="241">
        <v>1000</v>
      </c>
      <c r="E171" s="241" t="s">
        <v>55</v>
      </c>
      <c r="F171" s="241" t="s">
        <v>314</v>
      </c>
      <c r="G171" s="265">
        <v>8440000</v>
      </c>
      <c r="H171" s="250">
        <v>61.19404014920466</v>
      </c>
      <c r="I171" s="250">
        <v>24.606780840234084</v>
      </c>
      <c r="J171" s="250">
        <v>5.2623789417045197</v>
      </c>
      <c r="K171" s="250">
        <v>5.2496675836738271</v>
      </c>
      <c r="L171" s="250">
        <v>2.8886544631594242E-2</v>
      </c>
      <c r="M171" s="250">
        <v>0</v>
      </c>
      <c r="N171" s="250">
        <v>0.2469663446499242</v>
      </c>
      <c r="O171" s="250">
        <v>0</v>
      </c>
      <c r="P171" s="250">
        <v>0.23414709087680391</v>
      </c>
      <c r="Q171" s="250">
        <v>1.0500666317169063</v>
      </c>
      <c r="R171" s="250">
        <v>0</v>
      </c>
      <c r="S171" s="250">
        <v>0</v>
      </c>
      <c r="T171" s="250">
        <v>2.1270658733076844</v>
      </c>
      <c r="U171" s="250">
        <v>0</v>
      </c>
      <c r="V171" s="250">
        <v>0</v>
      </c>
      <c r="W171" s="250">
        <v>0</v>
      </c>
      <c r="X171" s="250">
        <v>0</v>
      </c>
      <c r="Y171" s="250">
        <v>0</v>
      </c>
      <c r="Z171" s="250">
        <v>0</v>
      </c>
      <c r="AA171" s="250">
        <v>0</v>
      </c>
      <c r="AB171" s="250">
        <v>0</v>
      </c>
      <c r="AC171" s="250">
        <v>0</v>
      </c>
      <c r="AD171" s="250">
        <v>0</v>
      </c>
      <c r="AE171" s="250">
        <v>0</v>
      </c>
      <c r="AF171" s="250">
        <v>-128.54657983767828</v>
      </c>
      <c r="AG171" s="250">
        <v>-113.97577374311049</v>
      </c>
      <c r="AH171" s="250">
        <v>12.7</v>
      </c>
      <c r="AI171" s="250">
        <v>6.35</v>
      </c>
      <c r="AJ171" s="250">
        <v>1.6</v>
      </c>
      <c r="AK171" s="241" t="s">
        <v>228</v>
      </c>
      <c r="AL171" s="241" t="s">
        <v>230</v>
      </c>
      <c r="AM171" s="241"/>
      <c r="AN171" s="241">
        <v>0</v>
      </c>
      <c r="AO171" s="241"/>
      <c r="AP171" s="241"/>
      <c r="AQ171" s="241"/>
      <c r="AR171" s="241"/>
      <c r="AS171" s="241"/>
      <c r="AT171" s="241"/>
      <c r="AU171" s="241"/>
      <c r="AV171" s="241"/>
      <c r="AW171" s="241"/>
      <c r="AX171" s="241"/>
      <c r="AY171" s="241"/>
      <c r="AZ171" s="241"/>
      <c r="BA171" s="241"/>
      <c r="BB171" s="241"/>
      <c r="BC171" s="241"/>
      <c r="BD171" s="241"/>
      <c r="BE171" s="241"/>
      <c r="BF171" s="241"/>
      <c r="BG171" s="241"/>
      <c r="BH171" s="241"/>
      <c r="BI171" s="241"/>
      <c r="BJ171" s="241"/>
      <c r="BK171" s="241"/>
      <c r="BL171" s="241"/>
      <c r="BM171" s="241"/>
      <c r="BN171" s="241"/>
      <c r="BO171" s="241"/>
      <c r="BP171" s="241"/>
      <c r="BQ171" s="241"/>
      <c r="BR171" s="241"/>
      <c r="BS171" s="241"/>
      <c r="BT171" s="241"/>
      <c r="BU171" s="241"/>
      <c r="BV171" s="241"/>
      <c r="BW171" s="241"/>
      <c r="BX171" s="241"/>
      <c r="BY171" s="241"/>
      <c r="BZ171" s="241"/>
      <c r="CA171" s="241"/>
      <c r="CB171" s="241"/>
      <c r="CC171" s="241"/>
      <c r="CD171" s="241">
        <v>0</v>
      </c>
      <c r="CE171" s="241"/>
      <c r="CF171" s="241">
        <v>-8.1999999999999993</v>
      </c>
      <c r="CG171" s="241">
        <v>-0.78</v>
      </c>
      <c r="CH171" s="241">
        <v>170</v>
      </c>
    </row>
    <row r="172" spans="1:86" x14ac:dyDescent="0.25">
      <c r="A172" s="159" t="s">
        <v>770</v>
      </c>
      <c r="B172" s="159">
        <v>0</v>
      </c>
      <c r="C172" s="159">
        <v>750</v>
      </c>
      <c r="D172" s="159">
        <v>1000</v>
      </c>
      <c r="E172" s="159" t="s">
        <v>55</v>
      </c>
      <c r="F172" s="159" t="s">
        <v>314</v>
      </c>
      <c r="G172" s="264">
        <v>8440000</v>
      </c>
      <c r="H172" s="249">
        <v>61.19404014920466</v>
      </c>
      <c r="I172" s="249">
        <v>24.606780840234084</v>
      </c>
      <c r="J172" s="249">
        <v>5.2623789417045197</v>
      </c>
      <c r="K172" s="249">
        <v>5.2496675836738271</v>
      </c>
      <c r="L172" s="249">
        <v>2.8886544631594242E-2</v>
      </c>
      <c r="M172" s="249">
        <v>0</v>
      </c>
      <c r="N172" s="249">
        <v>0.2469663446499242</v>
      </c>
      <c r="O172" s="249">
        <v>0</v>
      </c>
      <c r="P172" s="249">
        <v>0.23414709087680391</v>
      </c>
      <c r="Q172" s="249">
        <v>1.0500666317169063</v>
      </c>
      <c r="R172" s="249">
        <v>0</v>
      </c>
      <c r="S172" s="249">
        <v>0</v>
      </c>
      <c r="T172" s="249">
        <v>2.1270658733076844</v>
      </c>
      <c r="U172" s="249">
        <v>0</v>
      </c>
      <c r="V172" s="249">
        <v>0</v>
      </c>
      <c r="W172" s="249">
        <v>0</v>
      </c>
      <c r="X172" s="249">
        <v>0</v>
      </c>
      <c r="Y172" s="249">
        <v>0</v>
      </c>
      <c r="Z172" s="249">
        <v>0</v>
      </c>
      <c r="AA172" s="249">
        <v>0</v>
      </c>
      <c r="AB172" s="249">
        <v>0</v>
      </c>
      <c r="AC172" s="249">
        <v>0</v>
      </c>
      <c r="AD172" s="249">
        <v>0</v>
      </c>
      <c r="AE172" s="249">
        <v>0</v>
      </c>
      <c r="AF172" s="249">
        <v>-128.54657983767828</v>
      </c>
      <c r="AG172" s="249">
        <v>-113.97577374311049</v>
      </c>
      <c r="AH172" s="249">
        <v>12.7</v>
      </c>
      <c r="AI172" s="249">
        <v>6.35</v>
      </c>
      <c r="AJ172" s="249">
        <v>1.6</v>
      </c>
      <c r="AK172" s="159" t="s">
        <v>228</v>
      </c>
      <c r="AL172" s="159" t="s">
        <v>230</v>
      </c>
      <c r="AM172" s="159"/>
      <c r="AN172" s="159">
        <v>0</v>
      </c>
      <c r="AO172" s="159"/>
      <c r="AP172" s="159"/>
      <c r="AQ172" s="159"/>
      <c r="AR172" s="159"/>
      <c r="AS172" s="159"/>
      <c r="AT172" s="159"/>
      <c r="AU172" s="159"/>
      <c r="AV172" s="159"/>
      <c r="AW172" s="159"/>
      <c r="AX172" s="159"/>
      <c r="AY172" s="159"/>
      <c r="AZ172" s="159"/>
      <c r="BA172" s="159"/>
      <c r="BB172" s="159"/>
      <c r="BC172" s="159"/>
      <c r="BD172" s="159"/>
      <c r="BE172" s="159"/>
      <c r="BF172" s="159"/>
      <c r="BG172" s="159"/>
      <c r="BH172" s="159"/>
      <c r="BI172" s="159"/>
      <c r="BJ172" s="159"/>
      <c r="BK172" s="159"/>
      <c r="BL172" s="159"/>
      <c r="BM172" s="159"/>
      <c r="BN172" s="159"/>
      <c r="BO172" s="159"/>
      <c r="BP172" s="159"/>
      <c r="BQ172" s="159"/>
      <c r="BR172" s="159"/>
      <c r="BS172" s="159"/>
      <c r="BT172" s="159"/>
      <c r="BU172" s="159"/>
      <c r="BV172" s="159"/>
      <c r="BW172" s="159"/>
      <c r="BX172" s="159"/>
      <c r="BY172" s="159"/>
      <c r="BZ172" s="159"/>
      <c r="CA172" s="159"/>
      <c r="CB172" s="159"/>
      <c r="CC172" s="159"/>
      <c r="CD172" s="159">
        <v>0</v>
      </c>
      <c r="CE172" s="159"/>
      <c r="CF172" s="159">
        <v>-12.2</v>
      </c>
      <c r="CG172" s="159">
        <v>-0.81</v>
      </c>
      <c r="CH172" s="159">
        <v>171</v>
      </c>
    </row>
    <row r="173" spans="1:86" x14ac:dyDescent="0.25">
      <c r="A173" s="241" t="s">
        <v>775</v>
      </c>
      <c r="B173" s="241">
        <v>0</v>
      </c>
      <c r="C173" s="241">
        <v>750</v>
      </c>
      <c r="D173" s="241">
        <v>1000</v>
      </c>
      <c r="E173" s="241" t="s">
        <v>55</v>
      </c>
      <c r="F173" s="241" t="s">
        <v>250</v>
      </c>
      <c r="G173" s="265">
        <v>7940000</v>
      </c>
      <c r="H173" s="250">
        <v>29.200153541220722</v>
      </c>
      <c r="I173" s="250">
        <v>20.404913556076234</v>
      </c>
      <c r="J173" s="250">
        <v>9.2384490484260895E-2</v>
      </c>
      <c r="K173" s="250">
        <v>47.262631633311479</v>
      </c>
      <c r="L173" s="250">
        <v>0</v>
      </c>
      <c r="M173" s="250">
        <v>0.13163183002733697</v>
      </c>
      <c r="N173" s="250">
        <v>0.73621308086263015</v>
      </c>
      <c r="O173" s="250">
        <v>0.82146179641120054</v>
      </c>
      <c r="P173" s="250">
        <v>0.46298389946050122</v>
      </c>
      <c r="Q173" s="250">
        <v>0.88762617214563766</v>
      </c>
      <c r="R173" s="250">
        <v>0</v>
      </c>
      <c r="S173" s="250">
        <v>0</v>
      </c>
      <c r="T173" s="250">
        <v>0</v>
      </c>
      <c r="U173" s="250">
        <v>0</v>
      </c>
      <c r="V173" s="250">
        <v>0</v>
      </c>
      <c r="W173" s="250">
        <v>0</v>
      </c>
      <c r="X173" s="250">
        <v>0</v>
      </c>
      <c r="Y173" s="250">
        <v>0</v>
      </c>
      <c r="Z173" s="250">
        <v>0</v>
      </c>
      <c r="AA173" s="250">
        <v>0</v>
      </c>
      <c r="AB173" s="250">
        <v>0</v>
      </c>
      <c r="AC173" s="250">
        <v>0</v>
      </c>
      <c r="AD173" s="250">
        <v>0</v>
      </c>
      <c r="AE173" s="250">
        <v>0</v>
      </c>
      <c r="AF173" s="250">
        <v>-133.88386586153456</v>
      </c>
      <c r="AG173" s="250">
        <v>-113.97577374311049</v>
      </c>
      <c r="AH173" s="250">
        <v>12.7</v>
      </c>
      <c r="AI173" s="250">
        <v>6.35</v>
      </c>
      <c r="AJ173" s="250">
        <v>1.6</v>
      </c>
      <c r="AK173" s="241" t="s">
        <v>228</v>
      </c>
      <c r="AL173" s="241" t="s">
        <v>230</v>
      </c>
      <c r="AM173" s="241"/>
      <c r="AN173" s="241">
        <v>0</v>
      </c>
      <c r="AO173" s="241"/>
      <c r="AP173" s="241"/>
      <c r="AQ173" s="241"/>
      <c r="AR173" s="241"/>
      <c r="AS173" s="241"/>
      <c r="AT173" s="241"/>
      <c r="AU173" s="241"/>
      <c r="AV173" s="241"/>
      <c r="AW173" s="241"/>
      <c r="AX173" s="241"/>
      <c r="AY173" s="241"/>
      <c r="AZ173" s="241"/>
      <c r="BA173" s="241"/>
      <c r="BB173" s="241"/>
      <c r="BC173" s="241"/>
      <c r="BD173" s="241"/>
      <c r="BE173" s="241"/>
      <c r="BF173" s="241"/>
      <c r="BG173" s="241"/>
      <c r="BH173" s="241"/>
      <c r="BI173" s="241"/>
      <c r="BJ173" s="241"/>
      <c r="BK173" s="241"/>
      <c r="BL173" s="241"/>
      <c r="BM173" s="241"/>
      <c r="BN173" s="241"/>
      <c r="BO173" s="241"/>
      <c r="BP173" s="241"/>
      <c r="BQ173" s="241"/>
      <c r="BR173" s="241"/>
      <c r="BS173" s="241"/>
      <c r="BT173" s="241"/>
      <c r="BU173" s="241"/>
      <c r="BV173" s="241"/>
      <c r="BW173" s="241"/>
      <c r="BX173" s="241"/>
      <c r="BY173" s="241"/>
      <c r="BZ173" s="241"/>
      <c r="CA173" s="241"/>
      <c r="CB173" s="241"/>
      <c r="CC173" s="241"/>
      <c r="CD173" s="241">
        <v>0</v>
      </c>
      <c r="CE173" s="241"/>
      <c r="CF173" s="241">
        <v>-115</v>
      </c>
      <c r="CG173" s="241">
        <v>-1.94</v>
      </c>
      <c r="CH173" s="241">
        <v>172</v>
      </c>
    </row>
    <row r="174" spans="1:86" x14ac:dyDescent="0.25">
      <c r="A174" s="159" t="s">
        <v>776</v>
      </c>
      <c r="B174" s="159">
        <v>0</v>
      </c>
      <c r="C174" s="159">
        <v>750</v>
      </c>
      <c r="D174" s="159">
        <v>1000</v>
      </c>
      <c r="E174" s="159" t="s">
        <v>55</v>
      </c>
      <c r="F174" s="159" t="s">
        <v>250</v>
      </c>
      <c r="G174" s="264">
        <v>7940000</v>
      </c>
      <c r="H174" s="249">
        <v>29.200153541220722</v>
      </c>
      <c r="I174" s="249">
        <v>20.404913556076234</v>
      </c>
      <c r="J174" s="249">
        <v>9.2384490484260895E-2</v>
      </c>
      <c r="K174" s="249">
        <v>47.262631633311479</v>
      </c>
      <c r="L174" s="249">
        <v>0</v>
      </c>
      <c r="M174" s="249">
        <v>0.13163183002733697</v>
      </c>
      <c r="N174" s="249">
        <v>0.73621308086263015</v>
      </c>
      <c r="O174" s="249">
        <v>0.82146179641120054</v>
      </c>
      <c r="P174" s="249">
        <v>0.46298389946050122</v>
      </c>
      <c r="Q174" s="249">
        <v>0.88762617214563766</v>
      </c>
      <c r="R174" s="249">
        <v>0</v>
      </c>
      <c r="S174" s="249">
        <v>0</v>
      </c>
      <c r="T174" s="249">
        <v>0</v>
      </c>
      <c r="U174" s="249">
        <v>0</v>
      </c>
      <c r="V174" s="249">
        <v>0</v>
      </c>
      <c r="W174" s="249">
        <v>0</v>
      </c>
      <c r="X174" s="249">
        <v>0</v>
      </c>
      <c r="Y174" s="249">
        <v>0</v>
      </c>
      <c r="Z174" s="249">
        <v>0</v>
      </c>
      <c r="AA174" s="249">
        <v>0</v>
      </c>
      <c r="AB174" s="249">
        <v>0</v>
      </c>
      <c r="AC174" s="249">
        <v>0</v>
      </c>
      <c r="AD174" s="249">
        <v>0</v>
      </c>
      <c r="AE174" s="249">
        <v>0</v>
      </c>
      <c r="AF174" s="249">
        <v>-133.88386586153456</v>
      </c>
      <c r="AG174" s="249">
        <v>-113.97577374311049</v>
      </c>
      <c r="AH174" s="249">
        <v>12.7</v>
      </c>
      <c r="AI174" s="249">
        <v>6.35</v>
      </c>
      <c r="AJ174" s="249">
        <v>1.6</v>
      </c>
      <c r="AK174" s="159" t="s">
        <v>228</v>
      </c>
      <c r="AL174" s="159" t="s">
        <v>230</v>
      </c>
      <c r="AM174" s="159"/>
      <c r="AN174" s="159">
        <v>0</v>
      </c>
      <c r="AO174" s="159"/>
      <c r="AP174" s="159"/>
      <c r="AQ174" s="159"/>
      <c r="AR174" s="159"/>
      <c r="AS174" s="159"/>
      <c r="AT174" s="159"/>
      <c r="AU174" s="159"/>
      <c r="AV174" s="159"/>
      <c r="AW174" s="159"/>
      <c r="AX174" s="159"/>
      <c r="AY174" s="159"/>
      <c r="AZ174" s="159"/>
      <c r="BA174" s="159"/>
      <c r="BB174" s="159"/>
      <c r="BC174" s="159"/>
      <c r="BD174" s="159"/>
      <c r="BE174" s="159"/>
      <c r="BF174" s="159"/>
      <c r="BG174" s="159"/>
      <c r="BH174" s="159"/>
      <c r="BI174" s="159"/>
      <c r="BJ174" s="159"/>
      <c r="BK174" s="159"/>
      <c r="BL174" s="159"/>
      <c r="BM174" s="159"/>
      <c r="BN174" s="159"/>
      <c r="BO174" s="159"/>
      <c r="BP174" s="159"/>
      <c r="BQ174" s="159"/>
      <c r="BR174" s="159"/>
      <c r="BS174" s="159"/>
      <c r="BT174" s="159"/>
      <c r="BU174" s="159"/>
      <c r="BV174" s="159"/>
      <c r="BW174" s="159"/>
      <c r="BX174" s="159"/>
      <c r="BY174" s="159"/>
      <c r="BZ174" s="159"/>
      <c r="CA174" s="159"/>
      <c r="CB174" s="159"/>
      <c r="CC174" s="159"/>
      <c r="CD174" s="159">
        <v>0</v>
      </c>
      <c r="CE174" s="159"/>
      <c r="CF174" s="159">
        <v>-95</v>
      </c>
      <c r="CG174" s="159">
        <v>-1.49</v>
      </c>
      <c r="CH174" s="159">
        <v>173</v>
      </c>
    </row>
    <row r="175" spans="1:86" x14ac:dyDescent="0.25">
      <c r="A175" s="241" t="s">
        <v>761</v>
      </c>
      <c r="B175" s="241">
        <v>0</v>
      </c>
      <c r="C175" s="241">
        <v>750</v>
      </c>
      <c r="D175" s="241">
        <v>1000</v>
      </c>
      <c r="E175" s="241" t="s">
        <v>55</v>
      </c>
      <c r="F175" s="241" t="s">
        <v>275</v>
      </c>
      <c r="G175" s="265">
        <v>9220000</v>
      </c>
      <c r="H175" s="250">
        <v>76.053821732280369</v>
      </c>
      <c r="I175" s="250">
        <v>1.9159240291852062</v>
      </c>
      <c r="J175" s="250">
        <v>18.32603338396229</v>
      </c>
      <c r="K175" s="250">
        <v>2.793134310087654</v>
      </c>
      <c r="L175" s="250">
        <v>4.2793102994228872E-2</v>
      </c>
      <c r="M175" s="250">
        <v>6.6734874684704473E-2</v>
      </c>
      <c r="N175" s="250">
        <v>0.7396752282505682</v>
      </c>
      <c r="O175" s="250">
        <v>0</v>
      </c>
      <c r="P175" s="250">
        <v>0</v>
      </c>
      <c r="Q175" s="250">
        <v>0</v>
      </c>
      <c r="R175" s="250">
        <v>0</v>
      </c>
      <c r="S175" s="250">
        <v>6.1883338554990314E-2</v>
      </c>
      <c r="T175" s="250">
        <v>0</v>
      </c>
      <c r="U175" s="250">
        <v>0</v>
      </c>
      <c r="V175" s="250">
        <v>0</v>
      </c>
      <c r="W175" s="250">
        <v>0</v>
      </c>
      <c r="X175" s="250">
        <v>0</v>
      </c>
      <c r="Y175" s="250">
        <v>0</v>
      </c>
      <c r="Z175" s="250">
        <v>0</v>
      </c>
      <c r="AA175" s="250">
        <v>0</v>
      </c>
      <c r="AB175" s="250">
        <v>0</v>
      </c>
      <c r="AC175" s="250">
        <v>0</v>
      </c>
      <c r="AD175" s="250">
        <v>0</v>
      </c>
      <c r="AE175" s="250">
        <v>0</v>
      </c>
      <c r="AF175" s="250">
        <v>-120.06127468656241</v>
      </c>
      <c r="AG175" s="250">
        <v>-113.97577374311049</v>
      </c>
      <c r="AH175" s="250">
        <v>12.7</v>
      </c>
      <c r="AI175" s="250">
        <v>6.35</v>
      </c>
      <c r="AJ175" s="250">
        <v>1.6</v>
      </c>
      <c r="AK175" s="241" t="s">
        <v>228</v>
      </c>
      <c r="AL175" s="241" t="s">
        <v>230</v>
      </c>
      <c r="AM175" s="241"/>
      <c r="AN175" s="241">
        <v>0</v>
      </c>
      <c r="AO175" s="241"/>
      <c r="AP175" s="241"/>
      <c r="AQ175" s="241"/>
      <c r="AR175" s="241"/>
      <c r="AS175" s="241"/>
      <c r="AT175" s="241"/>
      <c r="AU175" s="241"/>
      <c r="AV175" s="241"/>
      <c r="AW175" s="241"/>
      <c r="AX175" s="241"/>
      <c r="AY175" s="241"/>
      <c r="AZ175" s="241"/>
      <c r="BA175" s="241"/>
      <c r="BB175" s="241"/>
      <c r="BC175" s="241"/>
      <c r="BD175" s="241"/>
      <c r="BE175" s="241"/>
      <c r="BF175" s="241"/>
      <c r="BG175" s="241"/>
      <c r="BH175" s="241"/>
      <c r="BI175" s="241"/>
      <c r="BJ175" s="241"/>
      <c r="BK175" s="241"/>
      <c r="BL175" s="241"/>
      <c r="BM175" s="241"/>
      <c r="BN175" s="241"/>
      <c r="BO175" s="241"/>
      <c r="BP175" s="241"/>
      <c r="BQ175" s="241"/>
      <c r="BR175" s="241"/>
      <c r="BS175" s="241"/>
      <c r="BT175" s="241"/>
      <c r="BU175" s="241"/>
      <c r="BV175" s="241"/>
      <c r="BW175" s="241"/>
      <c r="BX175" s="241"/>
      <c r="BY175" s="241"/>
      <c r="BZ175" s="241"/>
      <c r="CA175" s="241"/>
      <c r="CB175" s="241"/>
      <c r="CC175" s="241"/>
      <c r="CD175" s="241">
        <v>0</v>
      </c>
      <c r="CE175" s="241"/>
      <c r="CF175" s="241">
        <v>-14.3</v>
      </c>
      <c r="CG175" s="241">
        <v>-2.42</v>
      </c>
      <c r="CH175" s="241">
        <v>174</v>
      </c>
    </row>
    <row r="176" spans="1:86" x14ac:dyDescent="0.25">
      <c r="A176" s="159" t="s">
        <v>762</v>
      </c>
      <c r="B176" s="159">
        <v>0</v>
      </c>
      <c r="C176" s="159">
        <v>750</v>
      </c>
      <c r="D176" s="159">
        <v>1000</v>
      </c>
      <c r="E176" s="159" t="s">
        <v>55</v>
      </c>
      <c r="F176" s="159" t="s">
        <v>275</v>
      </c>
      <c r="G176" s="264">
        <v>9220000</v>
      </c>
      <c r="H176" s="249">
        <v>76.053821732280369</v>
      </c>
      <c r="I176" s="249">
        <v>1.9159240291852062</v>
      </c>
      <c r="J176" s="249">
        <v>18.32603338396229</v>
      </c>
      <c r="K176" s="249">
        <v>2.793134310087654</v>
      </c>
      <c r="L176" s="249">
        <v>4.2793102994228872E-2</v>
      </c>
      <c r="M176" s="249">
        <v>6.6734874684704473E-2</v>
      </c>
      <c r="N176" s="249">
        <v>0.7396752282505682</v>
      </c>
      <c r="O176" s="249">
        <v>0</v>
      </c>
      <c r="P176" s="249">
        <v>0</v>
      </c>
      <c r="Q176" s="249">
        <v>0</v>
      </c>
      <c r="R176" s="249">
        <v>0</v>
      </c>
      <c r="S176" s="249">
        <v>6.1883338554990314E-2</v>
      </c>
      <c r="T176" s="249">
        <v>0</v>
      </c>
      <c r="U176" s="249">
        <v>0</v>
      </c>
      <c r="V176" s="249">
        <v>0</v>
      </c>
      <c r="W176" s="249">
        <v>0</v>
      </c>
      <c r="X176" s="249">
        <v>0</v>
      </c>
      <c r="Y176" s="249">
        <v>0</v>
      </c>
      <c r="Z176" s="249">
        <v>0</v>
      </c>
      <c r="AA176" s="249">
        <v>0</v>
      </c>
      <c r="AB176" s="249">
        <v>0</v>
      </c>
      <c r="AC176" s="249">
        <v>0</v>
      </c>
      <c r="AD176" s="249">
        <v>0</v>
      </c>
      <c r="AE176" s="249">
        <v>0</v>
      </c>
      <c r="AF176" s="249">
        <v>-120.06127468656241</v>
      </c>
      <c r="AG176" s="249">
        <v>-113.97577374311049</v>
      </c>
      <c r="AH176" s="249">
        <v>12.7</v>
      </c>
      <c r="AI176" s="249">
        <v>6.35</v>
      </c>
      <c r="AJ176" s="249">
        <v>1.6</v>
      </c>
      <c r="AK176" s="159" t="s">
        <v>228</v>
      </c>
      <c r="AL176" s="159" t="s">
        <v>230</v>
      </c>
      <c r="AM176" s="159"/>
      <c r="AN176" s="159">
        <v>0</v>
      </c>
      <c r="AO176" s="159"/>
      <c r="AP176" s="159"/>
      <c r="AQ176" s="159"/>
      <c r="AR176" s="159"/>
      <c r="AS176" s="159"/>
      <c r="AT176" s="159"/>
      <c r="AU176" s="159"/>
      <c r="AV176" s="159"/>
      <c r="AW176" s="159"/>
      <c r="AX176" s="159"/>
      <c r="AY176" s="159"/>
      <c r="AZ176" s="159"/>
      <c r="BA176" s="159"/>
      <c r="BB176" s="159"/>
      <c r="BC176" s="159"/>
      <c r="BD176" s="159"/>
      <c r="BE176" s="159"/>
      <c r="BF176" s="159"/>
      <c r="BG176" s="159"/>
      <c r="BH176" s="159"/>
      <c r="BI176" s="159"/>
      <c r="BJ176" s="159"/>
      <c r="BK176" s="159"/>
      <c r="BL176" s="159"/>
      <c r="BM176" s="159"/>
      <c r="BN176" s="159"/>
      <c r="BO176" s="159"/>
      <c r="BP176" s="159"/>
      <c r="BQ176" s="159"/>
      <c r="BR176" s="159"/>
      <c r="BS176" s="159"/>
      <c r="BT176" s="159"/>
      <c r="BU176" s="159"/>
      <c r="BV176" s="159"/>
      <c r="BW176" s="159"/>
      <c r="BX176" s="159"/>
      <c r="BY176" s="159"/>
      <c r="BZ176" s="159"/>
      <c r="CA176" s="159"/>
      <c r="CB176" s="159"/>
      <c r="CC176" s="159"/>
      <c r="CD176" s="159">
        <v>0</v>
      </c>
      <c r="CE176" s="159"/>
      <c r="CF176" s="159">
        <v>-16.5</v>
      </c>
      <c r="CG176" s="159">
        <v>-2.76</v>
      </c>
      <c r="CH176" s="159">
        <v>175</v>
      </c>
    </row>
    <row r="177" spans="1:86" x14ac:dyDescent="0.25">
      <c r="A177" s="241" t="s">
        <v>765</v>
      </c>
      <c r="B177" s="241">
        <v>0</v>
      </c>
      <c r="C177" s="241">
        <v>750</v>
      </c>
      <c r="D177" s="241">
        <v>1000</v>
      </c>
      <c r="E177" s="241" t="s">
        <v>55</v>
      </c>
      <c r="F177" s="241" t="s">
        <v>308</v>
      </c>
      <c r="G177" s="265">
        <v>8890000</v>
      </c>
      <c r="H177" s="250">
        <v>61.763798642113969</v>
      </c>
      <c r="I177" s="250">
        <v>18.33839435190664</v>
      </c>
      <c r="J177" s="250">
        <v>10.054731884320523</v>
      </c>
      <c r="K177" s="250">
        <v>6.0235692254010607</v>
      </c>
      <c r="L177" s="250">
        <v>1.10909028364231</v>
      </c>
      <c r="M177" s="250">
        <v>1.9948774253892703</v>
      </c>
      <c r="N177" s="250">
        <v>0.6487554334570802</v>
      </c>
      <c r="O177" s="250">
        <v>0</v>
      </c>
      <c r="P177" s="250">
        <v>0</v>
      </c>
      <c r="Q177" s="250">
        <v>6.6782753769148009E-2</v>
      </c>
      <c r="R177" s="250">
        <v>0</v>
      </c>
      <c r="S177" s="250">
        <v>0</v>
      </c>
      <c r="T177" s="250">
        <v>0</v>
      </c>
      <c r="U177" s="250">
        <v>0</v>
      </c>
      <c r="V177" s="250">
        <v>0</v>
      </c>
      <c r="W177" s="250">
        <v>0</v>
      </c>
      <c r="X177" s="250">
        <v>0</v>
      </c>
      <c r="Y177" s="250">
        <v>0</v>
      </c>
      <c r="Z177" s="250">
        <v>0</v>
      </c>
      <c r="AA177" s="250">
        <v>0</v>
      </c>
      <c r="AB177" s="250">
        <v>0</v>
      </c>
      <c r="AC177" s="250">
        <v>0</v>
      </c>
      <c r="AD177" s="250">
        <v>0</v>
      </c>
      <c r="AE177" s="250">
        <v>0</v>
      </c>
      <c r="AF177" s="250">
        <v>-125.78027967726467</v>
      </c>
      <c r="AG177" s="250">
        <v>-113.97577374311049</v>
      </c>
      <c r="AH177" s="250">
        <v>12.7</v>
      </c>
      <c r="AI177" s="250">
        <v>6.35</v>
      </c>
      <c r="AJ177" s="250">
        <v>1.6</v>
      </c>
      <c r="AK177" s="241" t="s">
        <v>228</v>
      </c>
      <c r="AL177" s="241" t="s">
        <v>230</v>
      </c>
      <c r="AM177" s="241"/>
      <c r="AN177" s="241">
        <v>0</v>
      </c>
      <c r="AO177" s="241"/>
      <c r="AP177" s="241"/>
      <c r="AQ177" s="241"/>
      <c r="AR177" s="241"/>
      <c r="AS177" s="241"/>
      <c r="AT177" s="241"/>
      <c r="AU177" s="241"/>
      <c r="AV177" s="241"/>
      <c r="AW177" s="241"/>
      <c r="AX177" s="241"/>
      <c r="AY177" s="241"/>
      <c r="AZ177" s="241"/>
      <c r="BA177" s="241"/>
      <c r="BB177" s="241"/>
      <c r="BC177" s="241"/>
      <c r="BD177" s="241"/>
      <c r="BE177" s="241"/>
      <c r="BF177" s="241"/>
      <c r="BG177" s="241"/>
      <c r="BH177" s="241"/>
      <c r="BI177" s="241"/>
      <c r="BJ177" s="241"/>
      <c r="BK177" s="241"/>
      <c r="BL177" s="241"/>
      <c r="BM177" s="241"/>
      <c r="BN177" s="241"/>
      <c r="BO177" s="241"/>
      <c r="BP177" s="241"/>
      <c r="BQ177" s="241"/>
      <c r="BR177" s="241"/>
      <c r="BS177" s="241"/>
      <c r="BT177" s="241"/>
      <c r="BU177" s="241"/>
      <c r="BV177" s="241"/>
      <c r="BW177" s="241"/>
      <c r="BX177" s="241"/>
      <c r="BY177" s="241"/>
      <c r="BZ177" s="241"/>
      <c r="CA177" s="241"/>
      <c r="CB177" s="241"/>
      <c r="CC177" s="241"/>
      <c r="CD177" s="241">
        <v>0</v>
      </c>
      <c r="CE177" s="241"/>
      <c r="CF177" s="241">
        <v>-9.1999999999999993</v>
      </c>
      <c r="CG177" s="241">
        <v>-1.23</v>
      </c>
      <c r="CH177" s="241">
        <v>176</v>
      </c>
    </row>
    <row r="178" spans="1:86" x14ac:dyDescent="0.25">
      <c r="A178" s="159" t="s">
        <v>766</v>
      </c>
      <c r="B178" s="159">
        <v>0</v>
      </c>
      <c r="C178" s="159">
        <v>750</v>
      </c>
      <c r="D178" s="159">
        <v>1000</v>
      </c>
      <c r="E178" s="159" t="s">
        <v>55</v>
      </c>
      <c r="F178" s="159" t="s">
        <v>308</v>
      </c>
      <c r="G178" s="264">
        <v>8890000</v>
      </c>
      <c r="H178" s="249">
        <v>61.763798642113969</v>
      </c>
      <c r="I178" s="249">
        <v>18.33839435190664</v>
      </c>
      <c r="J178" s="249">
        <v>10.054731884320523</v>
      </c>
      <c r="K178" s="249">
        <v>6.0235692254010607</v>
      </c>
      <c r="L178" s="249">
        <v>1.10909028364231</v>
      </c>
      <c r="M178" s="249">
        <v>1.9948774253892703</v>
      </c>
      <c r="N178" s="249">
        <v>0.6487554334570802</v>
      </c>
      <c r="O178" s="249">
        <v>0</v>
      </c>
      <c r="P178" s="249">
        <v>0</v>
      </c>
      <c r="Q178" s="249">
        <v>6.6782753769148009E-2</v>
      </c>
      <c r="R178" s="249">
        <v>0</v>
      </c>
      <c r="S178" s="249">
        <v>0</v>
      </c>
      <c r="T178" s="249">
        <v>0</v>
      </c>
      <c r="U178" s="249">
        <v>0</v>
      </c>
      <c r="V178" s="249">
        <v>0</v>
      </c>
      <c r="W178" s="249">
        <v>0</v>
      </c>
      <c r="X178" s="249">
        <v>0</v>
      </c>
      <c r="Y178" s="249">
        <v>0</v>
      </c>
      <c r="Z178" s="249">
        <v>0</v>
      </c>
      <c r="AA178" s="249">
        <v>0</v>
      </c>
      <c r="AB178" s="249">
        <v>0</v>
      </c>
      <c r="AC178" s="249">
        <v>0</v>
      </c>
      <c r="AD178" s="249">
        <v>0</v>
      </c>
      <c r="AE178" s="249">
        <v>0</v>
      </c>
      <c r="AF178" s="249">
        <v>-125.78027967726467</v>
      </c>
      <c r="AG178" s="249">
        <v>-113.97577374311049</v>
      </c>
      <c r="AH178" s="249">
        <v>12.7</v>
      </c>
      <c r="AI178" s="249">
        <v>6.35</v>
      </c>
      <c r="AJ178" s="249">
        <v>1.6</v>
      </c>
      <c r="AK178" s="159" t="s">
        <v>228</v>
      </c>
      <c r="AL178" s="159" t="s">
        <v>230</v>
      </c>
      <c r="AM178" s="159"/>
      <c r="AN178" s="159">
        <v>0</v>
      </c>
      <c r="AO178" s="159"/>
      <c r="AP178" s="159"/>
      <c r="AQ178" s="159"/>
      <c r="AR178" s="159"/>
      <c r="AS178" s="159"/>
      <c r="AT178" s="159"/>
      <c r="AU178" s="159"/>
      <c r="AV178" s="159"/>
      <c r="AW178" s="159"/>
      <c r="AX178" s="159"/>
      <c r="AY178" s="159"/>
      <c r="AZ178" s="159"/>
      <c r="BA178" s="159"/>
      <c r="BB178" s="159"/>
      <c r="BC178" s="159"/>
      <c r="BD178" s="159"/>
      <c r="BE178" s="159"/>
      <c r="BF178" s="159"/>
      <c r="BG178" s="159"/>
      <c r="BH178" s="159"/>
      <c r="BI178" s="159"/>
      <c r="BJ178" s="159"/>
      <c r="BK178" s="159"/>
      <c r="BL178" s="159"/>
      <c r="BM178" s="159"/>
      <c r="BN178" s="159"/>
      <c r="BO178" s="159"/>
      <c r="BP178" s="159"/>
      <c r="BQ178" s="159"/>
      <c r="BR178" s="159"/>
      <c r="BS178" s="159"/>
      <c r="BT178" s="159"/>
      <c r="BU178" s="159"/>
      <c r="BV178" s="159"/>
      <c r="BW178" s="159"/>
      <c r="BX178" s="159"/>
      <c r="BY178" s="159"/>
      <c r="BZ178" s="159"/>
      <c r="CA178" s="159"/>
      <c r="CB178" s="159"/>
      <c r="CC178" s="159"/>
      <c r="CD178" s="159">
        <v>0</v>
      </c>
      <c r="CE178" s="159"/>
      <c r="CF178" s="159">
        <v>-7.2</v>
      </c>
      <c r="CG178" s="159">
        <v>-0.88</v>
      </c>
      <c r="CH178" s="159">
        <v>177</v>
      </c>
    </row>
    <row r="179" spans="1:86" x14ac:dyDescent="0.25">
      <c r="A179" s="241" t="s">
        <v>758</v>
      </c>
      <c r="B179" s="241">
        <v>0</v>
      </c>
      <c r="C179" s="241">
        <v>750</v>
      </c>
      <c r="D179" s="241">
        <v>1000</v>
      </c>
      <c r="E179" s="241" t="s">
        <v>55</v>
      </c>
      <c r="F179" s="241" t="s">
        <v>239</v>
      </c>
      <c r="G179" s="265">
        <v>8860000</v>
      </c>
      <c r="H179" s="250">
        <v>75.104085553752611</v>
      </c>
      <c r="I179" s="250">
        <v>8.9384100002309363</v>
      </c>
      <c r="J179" s="250">
        <v>10.105425037917881</v>
      </c>
      <c r="K179" s="250">
        <v>4.873983460376242</v>
      </c>
      <c r="L179" s="250">
        <v>2.9553287872129012E-2</v>
      </c>
      <c r="M179" s="250">
        <v>0</v>
      </c>
      <c r="N179" s="250">
        <v>0.66287554262282289</v>
      </c>
      <c r="O179" s="250">
        <v>0</v>
      </c>
      <c r="P179" s="250">
        <v>0</v>
      </c>
      <c r="Q179" s="250">
        <v>0.28566711722735799</v>
      </c>
      <c r="R179" s="250">
        <v>0</v>
      </c>
      <c r="S179" s="250">
        <v>0</v>
      </c>
      <c r="T179" s="250">
        <v>0</v>
      </c>
      <c r="U179" s="250">
        <v>0</v>
      </c>
      <c r="V179" s="250">
        <v>0</v>
      </c>
      <c r="W179" s="250">
        <v>0</v>
      </c>
      <c r="X179" s="250">
        <v>0</v>
      </c>
      <c r="Y179" s="250">
        <v>0</v>
      </c>
      <c r="Z179" s="250">
        <v>0</v>
      </c>
      <c r="AA179" s="250">
        <v>0</v>
      </c>
      <c r="AB179" s="250">
        <v>0</v>
      </c>
      <c r="AC179" s="250">
        <v>0</v>
      </c>
      <c r="AD179" s="250">
        <v>0</v>
      </c>
      <c r="AE179" s="250">
        <v>0</v>
      </c>
      <c r="AF179" s="250">
        <v>-122.94928422989216</v>
      </c>
      <c r="AG179" s="250">
        <v>-113.97577374311049</v>
      </c>
      <c r="AH179" s="250">
        <v>12.7</v>
      </c>
      <c r="AI179" s="250">
        <v>6.35</v>
      </c>
      <c r="AJ179" s="250">
        <v>1.6</v>
      </c>
      <c r="AK179" s="241" t="s">
        <v>228</v>
      </c>
      <c r="AL179" s="241" t="s">
        <v>230</v>
      </c>
      <c r="AM179" s="241"/>
      <c r="AN179" s="241">
        <v>0</v>
      </c>
      <c r="AO179" s="241"/>
      <c r="AP179" s="241"/>
      <c r="AQ179" s="241"/>
      <c r="AR179" s="241"/>
      <c r="AS179" s="241"/>
      <c r="AT179" s="241"/>
      <c r="AU179" s="241"/>
      <c r="AV179" s="241"/>
      <c r="AW179" s="241"/>
      <c r="AX179" s="241"/>
      <c r="AY179" s="241"/>
      <c r="AZ179" s="241"/>
      <c r="BA179" s="241"/>
      <c r="BB179" s="241"/>
      <c r="BC179" s="241"/>
      <c r="BD179" s="241"/>
      <c r="BE179" s="241"/>
      <c r="BF179" s="241"/>
      <c r="BG179" s="241"/>
      <c r="BH179" s="241"/>
      <c r="BI179" s="241"/>
      <c r="BJ179" s="241"/>
      <c r="BK179" s="241"/>
      <c r="BL179" s="241"/>
      <c r="BM179" s="241"/>
      <c r="BN179" s="241"/>
      <c r="BO179" s="241"/>
      <c r="BP179" s="241"/>
      <c r="BQ179" s="241"/>
      <c r="BR179" s="241"/>
      <c r="BS179" s="241"/>
      <c r="BT179" s="241"/>
      <c r="BU179" s="241"/>
      <c r="BV179" s="241"/>
      <c r="BW179" s="241"/>
      <c r="BX179" s="241"/>
      <c r="BY179" s="241"/>
      <c r="BZ179" s="241"/>
      <c r="CA179" s="241"/>
      <c r="CB179" s="241"/>
      <c r="CC179" s="241"/>
      <c r="CD179" s="241">
        <v>0</v>
      </c>
      <c r="CE179" s="241"/>
      <c r="CF179" s="241">
        <v>-6.1</v>
      </c>
      <c r="CG179" s="241">
        <v>-0.72</v>
      </c>
      <c r="CH179" s="241">
        <v>178</v>
      </c>
    </row>
    <row r="180" spans="1:86" x14ac:dyDescent="0.25">
      <c r="A180" s="159" t="s">
        <v>767</v>
      </c>
      <c r="B180" s="159">
        <v>0</v>
      </c>
      <c r="C180" s="159">
        <v>750</v>
      </c>
      <c r="D180" s="159">
        <v>1000</v>
      </c>
      <c r="E180" s="159" t="s">
        <v>55</v>
      </c>
      <c r="F180" s="159" t="s">
        <v>371</v>
      </c>
      <c r="G180" s="264">
        <v>8960000</v>
      </c>
      <c r="H180" s="249">
        <v>67.460291182954194</v>
      </c>
      <c r="I180" s="249">
        <v>25.112616870147946</v>
      </c>
      <c r="J180" s="249">
        <v>0.80939338794788296</v>
      </c>
      <c r="K180" s="249">
        <v>1.1871645010641569</v>
      </c>
      <c r="L180" s="249">
        <v>4.6277178121577016</v>
      </c>
      <c r="M180" s="249">
        <v>0.18216177959893723</v>
      </c>
      <c r="N180" s="249">
        <v>0.62065446612917841</v>
      </c>
      <c r="O180" s="249">
        <v>0</v>
      </c>
      <c r="P180" s="249">
        <v>0</v>
      </c>
      <c r="Q180" s="249">
        <v>0</v>
      </c>
      <c r="R180" s="249">
        <v>0</v>
      </c>
      <c r="S180" s="249">
        <v>0</v>
      </c>
      <c r="T180" s="249">
        <v>0</v>
      </c>
      <c r="U180" s="249">
        <v>0</v>
      </c>
      <c r="V180" s="249">
        <v>0</v>
      </c>
      <c r="W180" s="249">
        <v>0</v>
      </c>
      <c r="X180" s="249">
        <v>0</v>
      </c>
      <c r="Y180" s="249">
        <v>0</v>
      </c>
      <c r="Z180" s="249">
        <v>0</v>
      </c>
      <c r="AA180" s="249">
        <v>0</v>
      </c>
      <c r="AB180" s="249">
        <v>0</v>
      </c>
      <c r="AC180" s="249">
        <v>0</v>
      </c>
      <c r="AD180" s="249">
        <v>0</v>
      </c>
      <c r="AE180" s="249">
        <v>0</v>
      </c>
      <c r="AF180" s="249">
        <v>-127.72289768063038</v>
      </c>
      <c r="AG180" s="249">
        <v>-113.97577374311049</v>
      </c>
      <c r="AH180" s="249">
        <v>12.7</v>
      </c>
      <c r="AI180" s="249">
        <v>6.35</v>
      </c>
      <c r="AJ180" s="249">
        <v>1.6</v>
      </c>
      <c r="AK180" s="159" t="s">
        <v>228</v>
      </c>
      <c r="AL180" s="159" t="s">
        <v>230</v>
      </c>
      <c r="AM180" s="159"/>
      <c r="AN180" s="159">
        <v>0</v>
      </c>
      <c r="AO180" s="159"/>
      <c r="AP180" s="159"/>
      <c r="AQ180" s="159"/>
      <c r="AR180" s="159"/>
      <c r="AS180" s="159"/>
      <c r="AT180" s="159"/>
      <c r="AU180" s="159"/>
      <c r="AV180" s="159"/>
      <c r="AW180" s="159"/>
      <c r="AX180" s="159"/>
      <c r="AY180" s="159"/>
      <c r="AZ180" s="159"/>
      <c r="BA180" s="159"/>
      <c r="BB180" s="159"/>
      <c r="BC180" s="159"/>
      <c r="BD180" s="159"/>
      <c r="BE180" s="159"/>
      <c r="BF180" s="159"/>
      <c r="BG180" s="159"/>
      <c r="BH180" s="159"/>
      <c r="BI180" s="159"/>
      <c r="BJ180" s="159"/>
      <c r="BK180" s="159"/>
      <c r="BL180" s="159"/>
      <c r="BM180" s="159"/>
      <c r="BN180" s="159"/>
      <c r="BO180" s="159"/>
      <c r="BP180" s="159"/>
      <c r="BQ180" s="159"/>
      <c r="BR180" s="159"/>
      <c r="BS180" s="159"/>
      <c r="BT180" s="159"/>
      <c r="BU180" s="159"/>
      <c r="BV180" s="159"/>
      <c r="BW180" s="159"/>
      <c r="BX180" s="159"/>
      <c r="BY180" s="159"/>
      <c r="BZ180" s="159"/>
      <c r="CA180" s="159"/>
      <c r="CB180" s="159"/>
      <c r="CC180" s="159"/>
      <c r="CD180" s="159">
        <v>0</v>
      </c>
      <c r="CE180" s="159"/>
      <c r="CF180" s="159">
        <v>-16.3</v>
      </c>
      <c r="CG180" s="159">
        <v>-1.05</v>
      </c>
      <c r="CH180" s="159">
        <v>179</v>
      </c>
    </row>
    <row r="181" spans="1:86" x14ac:dyDescent="0.25">
      <c r="A181" s="241" t="s">
        <v>768</v>
      </c>
      <c r="B181" s="241">
        <v>0</v>
      </c>
      <c r="C181" s="241">
        <v>750</v>
      </c>
      <c r="D181" s="241">
        <v>1000</v>
      </c>
      <c r="E181" s="241" t="s">
        <v>55</v>
      </c>
      <c r="F181" s="241" t="s">
        <v>371</v>
      </c>
      <c r="G181" s="265">
        <v>8960000</v>
      </c>
      <c r="H181" s="250">
        <v>67.460291182954194</v>
      </c>
      <c r="I181" s="250">
        <v>25.112616870147946</v>
      </c>
      <c r="J181" s="250">
        <v>0.80939338794788296</v>
      </c>
      <c r="K181" s="250">
        <v>1.1871645010641569</v>
      </c>
      <c r="L181" s="250">
        <v>4.6277178121577016</v>
      </c>
      <c r="M181" s="250">
        <v>0.18216177959893723</v>
      </c>
      <c r="N181" s="250">
        <v>0.62065446612917841</v>
      </c>
      <c r="O181" s="250">
        <v>0</v>
      </c>
      <c r="P181" s="250">
        <v>0</v>
      </c>
      <c r="Q181" s="250">
        <v>0</v>
      </c>
      <c r="R181" s="250">
        <v>0</v>
      </c>
      <c r="S181" s="250">
        <v>0</v>
      </c>
      <c r="T181" s="250">
        <v>0</v>
      </c>
      <c r="U181" s="250">
        <v>0</v>
      </c>
      <c r="V181" s="250">
        <v>0</v>
      </c>
      <c r="W181" s="250">
        <v>0</v>
      </c>
      <c r="X181" s="250">
        <v>0</v>
      </c>
      <c r="Y181" s="250">
        <v>0</v>
      </c>
      <c r="Z181" s="250">
        <v>0</v>
      </c>
      <c r="AA181" s="250">
        <v>0</v>
      </c>
      <c r="AB181" s="250">
        <v>0</v>
      </c>
      <c r="AC181" s="250">
        <v>0</v>
      </c>
      <c r="AD181" s="250">
        <v>0</v>
      </c>
      <c r="AE181" s="250">
        <v>0</v>
      </c>
      <c r="AF181" s="250">
        <v>-127.72289768063038</v>
      </c>
      <c r="AG181" s="250">
        <v>-113.97577374311049</v>
      </c>
      <c r="AH181" s="250">
        <v>12.7</v>
      </c>
      <c r="AI181" s="250">
        <v>6.35</v>
      </c>
      <c r="AJ181" s="250">
        <v>1.6</v>
      </c>
      <c r="AK181" s="241" t="s">
        <v>228</v>
      </c>
      <c r="AL181" s="241" t="s">
        <v>230</v>
      </c>
      <c r="AM181" s="241"/>
      <c r="AN181" s="241">
        <v>0</v>
      </c>
      <c r="AO181" s="241"/>
      <c r="AP181" s="241"/>
      <c r="AQ181" s="241"/>
      <c r="AR181" s="241"/>
      <c r="AS181" s="241"/>
      <c r="AT181" s="241"/>
      <c r="AU181" s="241"/>
      <c r="AV181" s="241"/>
      <c r="AW181" s="241"/>
      <c r="AX181" s="241"/>
      <c r="AY181" s="241"/>
      <c r="AZ181" s="241"/>
      <c r="BA181" s="241"/>
      <c r="BB181" s="241"/>
      <c r="BC181" s="241"/>
      <c r="BD181" s="241"/>
      <c r="BE181" s="241"/>
      <c r="BF181" s="241"/>
      <c r="BG181" s="241"/>
      <c r="BH181" s="241"/>
      <c r="BI181" s="241"/>
      <c r="BJ181" s="241"/>
      <c r="BK181" s="241"/>
      <c r="BL181" s="241"/>
      <c r="BM181" s="241"/>
      <c r="BN181" s="241"/>
      <c r="BO181" s="241"/>
      <c r="BP181" s="241"/>
      <c r="BQ181" s="241"/>
      <c r="BR181" s="241"/>
      <c r="BS181" s="241"/>
      <c r="BT181" s="241"/>
      <c r="BU181" s="241"/>
      <c r="BV181" s="241"/>
      <c r="BW181" s="241"/>
      <c r="BX181" s="241"/>
      <c r="BY181" s="241"/>
      <c r="BZ181" s="241"/>
      <c r="CA181" s="241"/>
      <c r="CB181" s="241"/>
      <c r="CC181" s="241"/>
      <c r="CD181" s="241">
        <v>0</v>
      </c>
      <c r="CE181" s="241"/>
      <c r="CF181" s="241">
        <v>-11.4</v>
      </c>
      <c r="CG181" s="241">
        <v>-1.04</v>
      </c>
      <c r="CH181" s="241">
        <v>180</v>
      </c>
    </row>
    <row r="182" spans="1:86" x14ac:dyDescent="0.25">
      <c r="A182" s="159" t="s">
        <v>763</v>
      </c>
      <c r="B182" s="159">
        <v>0</v>
      </c>
      <c r="C182" s="159">
        <v>750</v>
      </c>
      <c r="D182" s="159">
        <v>1000</v>
      </c>
      <c r="E182" s="159" t="s">
        <v>55</v>
      </c>
      <c r="F182" s="159" t="s">
        <v>281</v>
      </c>
      <c r="G182" s="264">
        <v>9050000</v>
      </c>
      <c r="H182" s="249">
        <v>71.538595301864788</v>
      </c>
      <c r="I182" s="249">
        <v>10.47094043493461</v>
      </c>
      <c r="J182" s="249">
        <v>15.998619783551343</v>
      </c>
      <c r="K182" s="249">
        <v>1.5175532327450372</v>
      </c>
      <c r="L182" s="249">
        <v>3.4933948317015497E-2</v>
      </c>
      <c r="M182" s="249">
        <v>0</v>
      </c>
      <c r="N182" s="249">
        <v>0.40904639520087488</v>
      </c>
      <c r="O182" s="249">
        <v>0</v>
      </c>
      <c r="P182" s="249">
        <v>0</v>
      </c>
      <c r="Q182" s="249">
        <v>0</v>
      </c>
      <c r="R182" s="249">
        <v>0</v>
      </c>
      <c r="S182" s="249">
        <v>3.0310903386313683E-2</v>
      </c>
      <c r="T182" s="249">
        <v>0</v>
      </c>
      <c r="U182" s="249">
        <v>0</v>
      </c>
      <c r="V182" s="249">
        <v>0</v>
      </c>
      <c r="W182" s="249">
        <v>0</v>
      </c>
      <c r="X182" s="249">
        <v>0</v>
      </c>
      <c r="Y182" s="249">
        <v>0</v>
      </c>
      <c r="Z182" s="249">
        <v>0</v>
      </c>
      <c r="AA182" s="249">
        <v>0</v>
      </c>
      <c r="AB182" s="249">
        <v>0</v>
      </c>
      <c r="AC182" s="249">
        <v>0</v>
      </c>
      <c r="AD182" s="249">
        <v>0</v>
      </c>
      <c r="AE182" s="249">
        <v>0</v>
      </c>
      <c r="AF182" s="249">
        <v>-122.30320349979108</v>
      </c>
      <c r="AG182" s="249">
        <v>-113.97577374311049</v>
      </c>
      <c r="AH182" s="249">
        <v>12.7</v>
      </c>
      <c r="AI182" s="249">
        <v>6.35</v>
      </c>
      <c r="AJ182" s="249">
        <v>1.6</v>
      </c>
      <c r="AK182" s="159" t="s">
        <v>228</v>
      </c>
      <c r="AL182" s="159" t="s">
        <v>230</v>
      </c>
      <c r="AM182" s="159"/>
      <c r="AN182" s="159">
        <v>0</v>
      </c>
      <c r="AO182" s="159"/>
      <c r="AP182" s="159"/>
      <c r="AQ182" s="159"/>
      <c r="AR182" s="159"/>
      <c r="AS182" s="159"/>
      <c r="AT182" s="159"/>
      <c r="AU182" s="159"/>
      <c r="AV182" s="159"/>
      <c r="AW182" s="159"/>
      <c r="AX182" s="159"/>
      <c r="AY182" s="159"/>
      <c r="AZ182" s="159"/>
      <c r="BA182" s="159"/>
      <c r="BB182" s="159"/>
      <c r="BC182" s="159"/>
      <c r="BD182" s="159"/>
      <c r="BE182" s="159"/>
      <c r="BF182" s="159"/>
      <c r="BG182" s="159"/>
      <c r="BH182" s="159"/>
      <c r="BI182" s="159"/>
      <c r="BJ182" s="159"/>
      <c r="BK182" s="159"/>
      <c r="BL182" s="159"/>
      <c r="BM182" s="159"/>
      <c r="BN182" s="159"/>
      <c r="BO182" s="159"/>
      <c r="BP182" s="159"/>
      <c r="BQ182" s="159"/>
      <c r="BR182" s="159"/>
      <c r="BS182" s="159"/>
      <c r="BT182" s="159"/>
      <c r="BU182" s="159"/>
      <c r="BV182" s="159"/>
      <c r="BW182" s="159"/>
      <c r="BX182" s="159"/>
      <c r="BY182" s="159"/>
      <c r="BZ182" s="159"/>
      <c r="CA182" s="159"/>
      <c r="CB182" s="159"/>
      <c r="CC182" s="159"/>
      <c r="CD182" s="159">
        <v>0</v>
      </c>
      <c r="CE182" s="159"/>
      <c r="CF182" s="159">
        <v>-14.3</v>
      </c>
      <c r="CG182" s="159">
        <v>-1.89</v>
      </c>
      <c r="CH182" s="159">
        <v>181</v>
      </c>
    </row>
    <row r="183" spans="1:86" x14ac:dyDescent="0.25">
      <c r="A183" s="241" t="s">
        <v>764</v>
      </c>
      <c r="B183" s="241">
        <v>0</v>
      </c>
      <c r="C183" s="241">
        <v>750</v>
      </c>
      <c r="D183" s="241">
        <v>1000</v>
      </c>
      <c r="E183" s="241" t="s">
        <v>55</v>
      </c>
      <c r="F183" s="241" t="s">
        <v>281</v>
      </c>
      <c r="G183" s="265">
        <v>9050000</v>
      </c>
      <c r="H183" s="250">
        <v>71.538595301864788</v>
      </c>
      <c r="I183" s="250">
        <v>10.47094043493461</v>
      </c>
      <c r="J183" s="250">
        <v>15.998619783551343</v>
      </c>
      <c r="K183" s="250">
        <v>1.5175532327450372</v>
      </c>
      <c r="L183" s="250">
        <v>3.4933948317015497E-2</v>
      </c>
      <c r="M183" s="250">
        <v>0</v>
      </c>
      <c r="N183" s="250">
        <v>0.40904639520087488</v>
      </c>
      <c r="O183" s="250">
        <v>0</v>
      </c>
      <c r="P183" s="250">
        <v>0</v>
      </c>
      <c r="Q183" s="250">
        <v>0</v>
      </c>
      <c r="R183" s="250">
        <v>0</v>
      </c>
      <c r="S183" s="250">
        <v>3.0310903386313683E-2</v>
      </c>
      <c r="T183" s="250">
        <v>0</v>
      </c>
      <c r="U183" s="250">
        <v>0</v>
      </c>
      <c r="V183" s="250">
        <v>0</v>
      </c>
      <c r="W183" s="250">
        <v>0</v>
      </c>
      <c r="X183" s="250">
        <v>0</v>
      </c>
      <c r="Y183" s="250">
        <v>0</v>
      </c>
      <c r="Z183" s="250">
        <v>0</v>
      </c>
      <c r="AA183" s="250">
        <v>0</v>
      </c>
      <c r="AB183" s="250">
        <v>0</v>
      </c>
      <c r="AC183" s="250">
        <v>0</v>
      </c>
      <c r="AD183" s="250">
        <v>0</v>
      </c>
      <c r="AE183" s="250">
        <v>0</v>
      </c>
      <c r="AF183" s="250">
        <v>-122.30320349979108</v>
      </c>
      <c r="AG183" s="250">
        <v>-113.97577374311049</v>
      </c>
      <c r="AH183" s="250">
        <v>12.7</v>
      </c>
      <c r="AI183" s="250">
        <v>6.35</v>
      </c>
      <c r="AJ183" s="250">
        <v>1.6</v>
      </c>
      <c r="AK183" s="241" t="s">
        <v>228</v>
      </c>
      <c r="AL183" s="241" t="s">
        <v>230</v>
      </c>
      <c r="AM183" s="241"/>
      <c r="AN183" s="241">
        <v>0</v>
      </c>
      <c r="AO183" s="241"/>
      <c r="AP183" s="241"/>
      <c r="AQ183" s="241"/>
      <c r="AR183" s="241"/>
      <c r="AS183" s="241"/>
      <c r="AT183" s="241"/>
      <c r="AU183" s="241"/>
      <c r="AV183" s="241"/>
      <c r="AW183" s="241"/>
      <c r="AX183" s="241"/>
      <c r="AY183" s="241"/>
      <c r="AZ183" s="241"/>
      <c r="BA183" s="241"/>
      <c r="BB183" s="241"/>
      <c r="BC183" s="241"/>
      <c r="BD183" s="241"/>
      <c r="BE183" s="241"/>
      <c r="BF183" s="241"/>
      <c r="BG183" s="241"/>
      <c r="BH183" s="241"/>
      <c r="BI183" s="241"/>
      <c r="BJ183" s="241"/>
      <c r="BK183" s="241"/>
      <c r="BL183" s="241"/>
      <c r="BM183" s="241"/>
      <c r="BN183" s="241"/>
      <c r="BO183" s="241"/>
      <c r="BP183" s="241"/>
      <c r="BQ183" s="241"/>
      <c r="BR183" s="241"/>
      <c r="BS183" s="241"/>
      <c r="BT183" s="241"/>
      <c r="BU183" s="241"/>
      <c r="BV183" s="241"/>
      <c r="BW183" s="241"/>
      <c r="BX183" s="241"/>
      <c r="BY183" s="241"/>
      <c r="BZ183" s="241"/>
      <c r="CA183" s="241"/>
      <c r="CB183" s="241"/>
      <c r="CC183" s="241"/>
      <c r="CD183" s="241">
        <v>0</v>
      </c>
      <c r="CE183" s="241"/>
      <c r="CF183" s="241">
        <v>-12.3</v>
      </c>
      <c r="CG183" s="241">
        <v>-1.08</v>
      </c>
      <c r="CH183" s="241">
        <v>182</v>
      </c>
    </row>
    <row r="184" spans="1:86" x14ac:dyDescent="0.25">
      <c r="A184" s="159" t="s">
        <v>759</v>
      </c>
      <c r="B184" s="159">
        <v>0</v>
      </c>
      <c r="C184" s="159">
        <v>750</v>
      </c>
      <c r="D184" s="159">
        <v>1000</v>
      </c>
      <c r="E184" s="159" t="s">
        <v>55</v>
      </c>
      <c r="F184" s="159" t="s">
        <v>385</v>
      </c>
      <c r="G184" s="264">
        <v>9330000</v>
      </c>
      <c r="H184" s="249">
        <v>70.452935159948666</v>
      </c>
      <c r="I184" s="249">
        <v>10.592915558890205</v>
      </c>
      <c r="J184" s="249">
        <v>15.279625626775232</v>
      </c>
      <c r="K184" s="249">
        <v>1.3625000936269027</v>
      </c>
      <c r="L184" s="249">
        <v>1.8897467630713567</v>
      </c>
      <c r="M184" s="249">
        <v>0</v>
      </c>
      <c r="N184" s="249">
        <v>0.42227679768762444</v>
      </c>
      <c r="O184" s="249">
        <v>0</v>
      </c>
      <c r="P184" s="249">
        <v>0</v>
      </c>
      <c r="Q184" s="249">
        <v>0</v>
      </c>
      <c r="R184" s="249">
        <v>0</v>
      </c>
      <c r="S184" s="249">
        <v>0</v>
      </c>
      <c r="T184" s="249">
        <v>0</v>
      </c>
      <c r="U184" s="249">
        <v>0</v>
      </c>
      <c r="V184" s="249">
        <v>0</v>
      </c>
      <c r="W184" s="249">
        <v>0</v>
      </c>
      <c r="X184" s="249">
        <v>0</v>
      </c>
      <c r="Y184" s="249">
        <v>0</v>
      </c>
      <c r="Z184" s="249">
        <v>0</v>
      </c>
      <c r="AA184" s="249">
        <v>0</v>
      </c>
      <c r="AB184" s="249">
        <v>0</v>
      </c>
      <c r="AC184" s="249">
        <v>0</v>
      </c>
      <c r="AD184" s="249">
        <v>0</v>
      </c>
      <c r="AE184" s="249">
        <v>0</v>
      </c>
      <c r="AF184" s="249">
        <v>-122.41608632182822</v>
      </c>
      <c r="AG184" s="249">
        <v>-113.97577374311049</v>
      </c>
      <c r="AH184" s="249">
        <v>12.7</v>
      </c>
      <c r="AI184" s="249">
        <v>6.35</v>
      </c>
      <c r="AJ184" s="249">
        <v>1.6</v>
      </c>
      <c r="AK184" s="159" t="s">
        <v>228</v>
      </c>
      <c r="AL184" s="159" t="s">
        <v>230</v>
      </c>
      <c r="AM184" s="159"/>
      <c r="AN184" s="159">
        <v>0</v>
      </c>
      <c r="AO184" s="159"/>
      <c r="AP184" s="159"/>
      <c r="AQ184" s="159"/>
      <c r="AR184" s="159"/>
      <c r="AS184" s="159"/>
      <c r="AT184" s="159"/>
      <c r="AU184" s="159"/>
      <c r="AV184" s="159"/>
      <c r="AW184" s="159"/>
      <c r="AX184" s="159"/>
      <c r="AY184" s="159"/>
      <c r="AZ184" s="159"/>
      <c r="BA184" s="159"/>
      <c r="BB184" s="159"/>
      <c r="BC184" s="159"/>
      <c r="BD184" s="159"/>
      <c r="BE184" s="159"/>
      <c r="BF184" s="159"/>
      <c r="BG184" s="159"/>
      <c r="BH184" s="159"/>
      <c r="BI184" s="159"/>
      <c r="BJ184" s="159"/>
      <c r="BK184" s="159"/>
      <c r="BL184" s="159"/>
      <c r="BM184" s="159"/>
      <c r="BN184" s="159"/>
      <c r="BO184" s="159"/>
      <c r="BP184" s="159"/>
      <c r="BQ184" s="159"/>
      <c r="BR184" s="159"/>
      <c r="BS184" s="159"/>
      <c r="BT184" s="159"/>
      <c r="BU184" s="159"/>
      <c r="BV184" s="159"/>
      <c r="BW184" s="159"/>
      <c r="BX184" s="159"/>
      <c r="BY184" s="159"/>
      <c r="BZ184" s="159"/>
      <c r="CA184" s="159"/>
      <c r="CB184" s="159"/>
      <c r="CC184" s="159"/>
      <c r="CD184" s="159">
        <v>0</v>
      </c>
      <c r="CE184" s="159"/>
      <c r="CF184" s="159">
        <v>-16.3</v>
      </c>
      <c r="CG184" s="159">
        <v>-1.06</v>
      </c>
      <c r="CH184" s="159">
        <v>183</v>
      </c>
    </row>
    <row r="185" spans="1:86" ht="16.5" thickBot="1" x14ac:dyDescent="0.3">
      <c r="A185" s="242" t="s">
        <v>760</v>
      </c>
      <c r="B185" s="242">
        <v>0</v>
      </c>
      <c r="C185" s="242">
        <v>750</v>
      </c>
      <c r="D185" s="242">
        <v>1000</v>
      </c>
      <c r="E185" s="242" t="s">
        <v>55</v>
      </c>
      <c r="F185" s="242" t="s">
        <v>385</v>
      </c>
      <c r="G185" s="266">
        <v>9330000</v>
      </c>
      <c r="H185" s="251">
        <v>70.452935159948666</v>
      </c>
      <c r="I185" s="251">
        <v>10.592915558890205</v>
      </c>
      <c r="J185" s="251">
        <v>15.279625626775232</v>
      </c>
      <c r="K185" s="251">
        <v>1.3625000936269027</v>
      </c>
      <c r="L185" s="251">
        <v>1.8897467630713567</v>
      </c>
      <c r="M185" s="251">
        <v>0</v>
      </c>
      <c r="N185" s="251">
        <v>0.42227679768762444</v>
      </c>
      <c r="O185" s="251">
        <v>0</v>
      </c>
      <c r="P185" s="251">
        <v>0</v>
      </c>
      <c r="Q185" s="251">
        <v>0</v>
      </c>
      <c r="R185" s="251">
        <v>0</v>
      </c>
      <c r="S185" s="251">
        <v>0</v>
      </c>
      <c r="T185" s="251">
        <v>0</v>
      </c>
      <c r="U185" s="251">
        <v>0</v>
      </c>
      <c r="V185" s="251">
        <v>0</v>
      </c>
      <c r="W185" s="251">
        <v>0</v>
      </c>
      <c r="X185" s="251">
        <v>0</v>
      </c>
      <c r="Y185" s="251">
        <v>0</v>
      </c>
      <c r="Z185" s="251">
        <v>0</v>
      </c>
      <c r="AA185" s="251">
        <v>0</v>
      </c>
      <c r="AB185" s="251">
        <v>0</v>
      </c>
      <c r="AC185" s="251">
        <v>0</v>
      </c>
      <c r="AD185" s="251">
        <v>0</v>
      </c>
      <c r="AE185" s="251">
        <v>0</v>
      </c>
      <c r="AF185" s="251">
        <v>-122.41608632182822</v>
      </c>
      <c r="AG185" s="251">
        <v>-113.97577374311049</v>
      </c>
      <c r="AH185" s="251">
        <v>12.7</v>
      </c>
      <c r="AI185" s="251">
        <v>6.35</v>
      </c>
      <c r="AJ185" s="251">
        <v>1.6</v>
      </c>
      <c r="AK185" s="242" t="s">
        <v>228</v>
      </c>
      <c r="AL185" s="242" t="s">
        <v>230</v>
      </c>
      <c r="AM185" s="242"/>
      <c r="AN185" s="242">
        <v>0</v>
      </c>
      <c r="AO185" s="242"/>
      <c r="AP185" s="242"/>
      <c r="AQ185" s="242"/>
      <c r="AR185" s="242"/>
      <c r="AS185" s="242"/>
      <c r="AT185" s="242"/>
      <c r="AU185" s="242"/>
      <c r="AV185" s="242"/>
      <c r="AW185" s="242"/>
      <c r="AX185" s="242"/>
      <c r="AY185" s="242"/>
      <c r="AZ185" s="242"/>
      <c r="BA185" s="242"/>
      <c r="BB185" s="242"/>
      <c r="BC185" s="242"/>
      <c r="BD185" s="242"/>
      <c r="BE185" s="242"/>
      <c r="BF185" s="242"/>
      <c r="BG185" s="242"/>
      <c r="BH185" s="242"/>
      <c r="BI185" s="242"/>
      <c r="BJ185" s="242"/>
      <c r="BK185" s="242"/>
      <c r="BL185" s="242"/>
      <c r="BM185" s="242"/>
      <c r="BN185" s="242"/>
      <c r="BO185" s="242"/>
      <c r="BP185" s="242"/>
      <c r="BQ185" s="242"/>
      <c r="BR185" s="242"/>
      <c r="BS185" s="242"/>
      <c r="BT185" s="242"/>
      <c r="BU185" s="242"/>
      <c r="BV185" s="242"/>
      <c r="BW185" s="242"/>
      <c r="BX185" s="242"/>
      <c r="BY185" s="242"/>
      <c r="BZ185" s="242"/>
      <c r="CA185" s="242"/>
      <c r="CB185" s="242"/>
      <c r="CC185" s="242"/>
      <c r="CD185" s="242">
        <v>0</v>
      </c>
      <c r="CE185" s="242"/>
      <c r="CF185" s="242">
        <v>-13.3</v>
      </c>
      <c r="CG185" s="242">
        <v>-1.73</v>
      </c>
      <c r="CH185" s="242">
        <v>184</v>
      </c>
    </row>
    <row r="186" spans="1:86" x14ac:dyDescent="0.25">
      <c r="A186" s="241" t="s">
        <v>781</v>
      </c>
      <c r="B186" s="241">
        <v>0</v>
      </c>
      <c r="C186" s="241">
        <v>500</v>
      </c>
      <c r="D186" s="241">
        <v>1000</v>
      </c>
      <c r="E186" s="241" t="s">
        <v>227</v>
      </c>
      <c r="F186" s="241" t="s">
        <v>227</v>
      </c>
      <c r="G186" s="265">
        <v>7980000</v>
      </c>
      <c r="H186" s="250">
        <v>11.995047133831507</v>
      </c>
      <c r="I186" s="250">
        <v>18.350432415000672</v>
      </c>
      <c r="J186" s="250">
        <v>1.1879440439435425</v>
      </c>
      <c r="K186" s="250">
        <v>65.606741169346421</v>
      </c>
      <c r="L186" s="250">
        <v>0</v>
      </c>
      <c r="M186" s="250">
        <v>0</v>
      </c>
      <c r="N186" s="250">
        <v>1.6599215210312681</v>
      </c>
      <c r="O186" s="250">
        <v>0</v>
      </c>
      <c r="P186" s="250">
        <v>0</v>
      </c>
      <c r="Q186" s="250">
        <v>1.1085841130134066</v>
      </c>
      <c r="R186" s="250">
        <v>4.1670802547121341E-2</v>
      </c>
      <c r="S186" s="250">
        <v>0</v>
      </c>
      <c r="T186" s="250">
        <v>0</v>
      </c>
      <c r="U186" s="250">
        <v>0</v>
      </c>
      <c r="V186" s="250">
        <v>3.2319427742391174E-2</v>
      </c>
      <c r="W186" s="250">
        <v>1.7339373543669313E-2</v>
      </c>
      <c r="X186" s="250">
        <v>0</v>
      </c>
      <c r="Y186" s="250">
        <v>0</v>
      </c>
      <c r="Z186" s="250">
        <v>0</v>
      </c>
      <c r="AA186" s="250">
        <v>0</v>
      </c>
      <c r="AB186" s="250">
        <v>0</v>
      </c>
      <c r="AC186" s="250">
        <v>0</v>
      </c>
      <c r="AD186" s="250">
        <v>0</v>
      </c>
      <c r="AE186" s="250">
        <v>0</v>
      </c>
      <c r="AF186" s="250">
        <v>-143.76990344322454</v>
      </c>
      <c r="AG186" s="250">
        <v>-143.76990344322454</v>
      </c>
      <c r="AH186" s="250">
        <v>15</v>
      </c>
      <c r="AI186" s="250">
        <v>10</v>
      </c>
      <c r="AJ186" s="250">
        <v>0.5</v>
      </c>
      <c r="AK186" s="241" t="s">
        <v>228</v>
      </c>
      <c r="AL186" s="241" t="s">
        <v>230</v>
      </c>
      <c r="AM186" s="241"/>
      <c r="AN186" s="241">
        <v>0</v>
      </c>
      <c r="AO186" s="241">
        <v>70</v>
      </c>
      <c r="AP186" s="241"/>
      <c r="AQ186" s="241"/>
      <c r="AR186" s="241"/>
      <c r="AS186" s="241"/>
      <c r="AT186" s="241">
        <v>16</v>
      </c>
      <c r="AU186" s="241">
        <v>5</v>
      </c>
      <c r="AV186" s="241"/>
      <c r="AW186" s="241">
        <v>1</v>
      </c>
      <c r="AX186" s="241"/>
      <c r="AY186" s="241"/>
      <c r="AZ186" s="241"/>
      <c r="BA186" s="241"/>
      <c r="BB186" s="241"/>
      <c r="BC186" s="241"/>
      <c r="BD186" s="241">
        <v>1</v>
      </c>
      <c r="BE186" s="241">
        <v>1</v>
      </c>
      <c r="BF186" s="241"/>
      <c r="BG186" s="241"/>
      <c r="BH186" s="241"/>
      <c r="BI186" s="241"/>
      <c r="BJ186" s="241">
        <v>170</v>
      </c>
      <c r="BK186" s="241"/>
      <c r="BL186" s="241"/>
      <c r="BM186" s="241"/>
      <c r="BN186" s="241"/>
      <c r="BO186" s="241">
        <v>34</v>
      </c>
      <c r="BP186" s="241">
        <v>54</v>
      </c>
      <c r="BQ186" s="241"/>
      <c r="BR186" s="241">
        <v>1</v>
      </c>
      <c r="BS186" s="241"/>
      <c r="BT186" s="241">
        <v>53</v>
      </c>
      <c r="BU186" s="241"/>
      <c r="BV186" s="241"/>
      <c r="BW186" s="241"/>
      <c r="BX186" s="241"/>
      <c r="BY186" s="241">
        <v>1</v>
      </c>
      <c r="BZ186" s="241"/>
      <c r="CA186" s="241"/>
      <c r="CB186" s="241"/>
      <c r="CC186" s="241"/>
      <c r="CD186" s="241">
        <v>0</v>
      </c>
      <c r="CE186" s="241"/>
      <c r="CF186" s="241">
        <v>-0.37</v>
      </c>
      <c r="CG186" s="241">
        <v>-0.29699999999999999</v>
      </c>
      <c r="CH186" s="241">
        <v>185</v>
      </c>
    </row>
    <row r="187" spans="1:86" x14ac:dyDescent="0.25">
      <c r="A187" s="159" t="s">
        <v>782</v>
      </c>
      <c r="B187" s="159">
        <v>0</v>
      </c>
      <c r="C187" s="159">
        <v>600</v>
      </c>
      <c r="D187" s="159">
        <v>1000</v>
      </c>
      <c r="E187" s="159" t="s">
        <v>227</v>
      </c>
      <c r="F187" s="159" t="s">
        <v>227</v>
      </c>
      <c r="G187" s="264">
        <v>7980000</v>
      </c>
      <c r="H187" s="249">
        <v>11.995047133831507</v>
      </c>
      <c r="I187" s="249">
        <v>18.350432415000672</v>
      </c>
      <c r="J187" s="249">
        <v>1.1879440439435425</v>
      </c>
      <c r="K187" s="249">
        <v>65.606741169346421</v>
      </c>
      <c r="L187" s="249">
        <v>0</v>
      </c>
      <c r="M187" s="249">
        <v>0</v>
      </c>
      <c r="N187" s="249">
        <v>1.6599215210312681</v>
      </c>
      <c r="O187" s="249">
        <v>0</v>
      </c>
      <c r="P187" s="249">
        <v>0</v>
      </c>
      <c r="Q187" s="249">
        <v>1.1085841130134066</v>
      </c>
      <c r="R187" s="249">
        <v>4.1670802547121341E-2</v>
      </c>
      <c r="S187" s="249">
        <v>0</v>
      </c>
      <c r="T187" s="249">
        <v>0</v>
      </c>
      <c r="U187" s="249">
        <v>0</v>
      </c>
      <c r="V187" s="249">
        <v>3.2319427742391174E-2</v>
      </c>
      <c r="W187" s="249">
        <v>1.7339373543669313E-2</v>
      </c>
      <c r="X187" s="249">
        <v>0</v>
      </c>
      <c r="Y187" s="249">
        <v>0</v>
      </c>
      <c r="Z187" s="249">
        <v>0</v>
      </c>
      <c r="AA187" s="249">
        <v>0</v>
      </c>
      <c r="AB187" s="249">
        <v>0</v>
      </c>
      <c r="AC187" s="249">
        <v>0</v>
      </c>
      <c r="AD187" s="249">
        <v>0</v>
      </c>
      <c r="AE187" s="249">
        <v>0</v>
      </c>
      <c r="AF187" s="249">
        <v>-140.5186477559443</v>
      </c>
      <c r="AG187" s="249">
        <v>-140.5186477559443</v>
      </c>
      <c r="AH187" s="249">
        <v>15</v>
      </c>
      <c r="AI187" s="249">
        <v>10</v>
      </c>
      <c r="AJ187" s="249">
        <v>0.5</v>
      </c>
      <c r="AK187" s="159" t="s">
        <v>228</v>
      </c>
      <c r="AL187" s="159" t="s">
        <v>230</v>
      </c>
      <c r="AM187" s="159"/>
      <c r="AN187" s="159">
        <v>0</v>
      </c>
      <c r="AO187" s="159">
        <v>70</v>
      </c>
      <c r="AP187" s="159"/>
      <c r="AQ187" s="159"/>
      <c r="AR187" s="159"/>
      <c r="AS187" s="159"/>
      <c r="AT187" s="159">
        <v>16</v>
      </c>
      <c r="AU187" s="159">
        <v>5</v>
      </c>
      <c r="AV187" s="159"/>
      <c r="AW187" s="159">
        <v>1</v>
      </c>
      <c r="AX187" s="159"/>
      <c r="AY187" s="159"/>
      <c r="AZ187" s="159"/>
      <c r="BA187" s="159"/>
      <c r="BB187" s="159"/>
      <c r="BC187" s="159"/>
      <c r="BD187" s="159">
        <v>1</v>
      </c>
      <c r="BE187" s="159">
        <v>1</v>
      </c>
      <c r="BF187" s="159"/>
      <c r="BG187" s="159"/>
      <c r="BH187" s="159"/>
      <c r="BI187" s="159"/>
      <c r="BJ187" s="159">
        <v>160</v>
      </c>
      <c r="BK187" s="159"/>
      <c r="BL187" s="159"/>
      <c r="BM187" s="159"/>
      <c r="BN187" s="159"/>
      <c r="BO187" s="159">
        <v>12</v>
      </c>
      <c r="BP187" s="159">
        <v>530</v>
      </c>
      <c r="BQ187" s="159"/>
      <c r="BR187" s="159">
        <v>1</v>
      </c>
      <c r="BS187" s="159"/>
      <c r="BT187" s="159">
        <v>94</v>
      </c>
      <c r="BU187" s="159"/>
      <c r="BV187" s="159"/>
      <c r="BW187" s="159"/>
      <c r="BX187" s="159"/>
      <c r="BY187" s="159">
        <v>1</v>
      </c>
      <c r="BZ187" s="159"/>
      <c r="CA187" s="159"/>
      <c r="CB187" s="159"/>
      <c r="CC187" s="159"/>
      <c r="CD187" s="159">
        <v>0</v>
      </c>
      <c r="CE187" s="159"/>
      <c r="CF187" s="159">
        <v>-0.62</v>
      </c>
      <c r="CG187" s="159">
        <v>-0.49399999999999999</v>
      </c>
      <c r="CH187" s="159">
        <v>186</v>
      </c>
    </row>
    <row r="188" spans="1:86" x14ac:dyDescent="0.25">
      <c r="A188" s="241" t="s">
        <v>783</v>
      </c>
      <c r="B188" s="241">
        <v>0</v>
      </c>
      <c r="C188" s="241">
        <v>500</v>
      </c>
      <c r="D188" s="241">
        <v>1000</v>
      </c>
      <c r="E188" s="241" t="s">
        <v>409</v>
      </c>
      <c r="F188" s="241" t="s">
        <v>409</v>
      </c>
      <c r="G188" s="265">
        <v>7930000</v>
      </c>
      <c r="H188" s="250">
        <v>8.2279089346089727</v>
      </c>
      <c r="I188" s="250">
        <v>19.185680652750424</v>
      </c>
      <c r="J188" s="250">
        <v>0</v>
      </c>
      <c r="K188" s="250">
        <v>70.424573698183323</v>
      </c>
      <c r="L188" s="250">
        <v>0</v>
      </c>
      <c r="M188" s="250">
        <v>0</v>
      </c>
      <c r="N188" s="250">
        <v>0.8399536888781941</v>
      </c>
      <c r="O188" s="250">
        <v>0</v>
      </c>
      <c r="P188" s="250">
        <v>0</v>
      </c>
      <c r="Q188" s="250">
        <v>0.99743165633226827</v>
      </c>
      <c r="R188" s="250">
        <v>0.22871345142424959</v>
      </c>
      <c r="S188" s="250">
        <v>0</v>
      </c>
      <c r="T188" s="250">
        <v>0</v>
      </c>
      <c r="U188" s="250">
        <v>0</v>
      </c>
      <c r="V188" s="250">
        <v>4.4346925276158175E-2</v>
      </c>
      <c r="W188" s="250">
        <v>5.1390992546402933E-2</v>
      </c>
      <c r="X188" s="250">
        <v>0</v>
      </c>
      <c r="Y188" s="250">
        <v>0</v>
      </c>
      <c r="Z188" s="250">
        <v>0</v>
      </c>
      <c r="AA188" s="250">
        <v>0</v>
      </c>
      <c r="AB188" s="250">
        <v>0</v>
      </c>
      <c r="AC188" s="250">
        <v>0</v>
      </c>
      <c r="AD188" s="250">
        <v>0</v>
      </c>
      <c r="AE188" s="250">
        <v>0</v>
      </c>
      <c r="AF188" s="250">
        <v>-144.29538837010668</v>
      </c>
      <c r="AG188" s="250">
        <v>-144.29538837010668</v>
      </c>
      <c r="AH188" s="250">
        <v>15</v>
      </c>
      <c r="AI188" s="250">
        <v>10</v>
      </c>
      <c r="AJ188" s="250">
        <v>0.5</v>
      </c>
      <c r="AK188" s="241" t="s">
        <v>228</v>
      </c>
      <c r="AL188" s="241" t="s">
        <v>230</v>
      </c>
      <c r="AM188" s="241"/>
      <c r="AN188" s="241">
        <v>0</v>
      </c>
      <c r="AO188" s="241">
        <v>70</v>
      </c>
      <c r="AP188" s="241"/>
      <c r="AQ188" s="241"/>
      <c r="AR188" s="241"/>
      <c r="AS188" s="241"/>
      <c r="AT188" s="241">
        <v>16</v>
      </c>
      <c r="AU188" s="241">
        <v>5</v>
      </c>
      <c r="AV188" s="241"/>
      <c r="AW188" s="241">
        <v>1</v>
      </c>
      <c r="AX188" s="241"/>
      <c r="AY188" s="241"/>
      <c r="AZ188" s="241"/>
      <c r="BA188" s="241"/>
      <c r="BB188" s="241"/>
      <c r="BC188" s="241"/>
      <c r="BD188" s="241">
        <v>1</v>
      </c>
      <c r="BE188" s="241">
        <v>1</v>
      </c>
      <c r="BF188" s="241"/>
      <c r="BG188" s="241"/>
      <c r="BH188" s="241"/>
      <c r="BI188" s="241"/>
      <c r="BJ188" s="241">
        <v>42</v>
      </c>
      <c r="BK188" s="241"/>
      <c r="BL188" s="241"/>
      <c r="BM188" s="241"/>
      <c r="BN188" s="241"/>
      <c r="BO188" s="241">
        <v>20</v>
      </c>
      <c r="BP188" s="241">
        <v>210</v>
      </c>
      <c r="BQ188" s="241"/>
      <c r="BR188" s="241">
        <v>1</v>
      </c>
      <c r="BS188" s="241"/>
      <c r="BT188" s="241">
        <v>88</v>
      </c>
      <c r="BU188" s="241"/>
      <c r="BV188" s="241"/>
      <c r="BW188" s="241"/>
      <c r="BX188" s="241"/>
      <c r="BY188" s="241">
        <v>1</v>
      </c>
      <c r="BZ188" s="241"/>
      <c r="CA188" s="241"/>
      <c r="CB188" s="241"/>
      <c r="CC188" s="241"/>
      <c r="CD188" s="241">
        <v>0</v>
      </c>
      <c r="CE188" s="241"/>
      <c r="CF188" s="241">
        <v>-1.17</v>
      </c>
      <c r="CG188" s="241">
        <v>-0.92800000000000005</v>
      </c>
      <c r="CH188" s="241">
        <v>187</v>
      </c>
    </row>
    <row r="189" spans="1:86" ht="16.5" thickBot="1" x14ac:dyDescent="0.3">
      <c r="A189" s="160" t="s">
        <v>784</v>
      </c>
      <c r="B189" s="160">
        <v>0</v>
      </c>
      <c r="C189" s="160">
        <v>600</v>
      </c>
      <c r="D189" s="160">
        <v>1000</v>
      </c>
      <c r="E189" s="160" t="s">
        <v>409</v>
      </c>
      <c r="F189" s="160" t="s">
        <v>409</v>
      </c>
      <c r="G189" s="267">
        <v>7930000</v>
      </c>
      <c r="H189" s="252">
        <v>8.2279089346089727</v>
      </c>
      <c r="I189" s="252">
        <v>19.185680652750424</v>
      </c>
      <c r="J189" s="252">
        <v>0</v>
      </c>
      <c r="K189" s="252">
        <v>70.424573698183323</v>
      </c>
      <c r="L189" s="252">
        <v>0</v>
      </c>
      <c r="M189" s="252">
        <v>0</v>
      </c>
      <c r="N189" s="252">
        <v>0.8399536888781941</v>
      </c>
      <c r="O189" s="252">
        <v>0</v>
      </c>
      <c r="P189" s="252">
        <v>0</v>
      </c>
      <c r="Q189" s="252">
        <v>0.99743165633226827</v>
      </c>
      <c r="R189" s="252">
        <v>0.22871345142424959</v>
      </c>
      <c r="S189" s="252">
        <v>0</v>
      </c>
      <c r="T189" s="252">
        <v>0</v>
      </c>
      <c r="U189" s="252">
        <v>0</v>
      </c>
      <c r="V189" s="252">
        <v>4.4346925276158175E-2</v>
      </c>
      <c r="W189" s="252">
        <v>5.1390992546402933E-2</v>
      </c>
      <c r="X189" s="252">
        <v>0</v>
      </c>
      <c r="Y189" s="252">
        <v>0</v>
      </c>
      <c r="Z189" s="252">
        <v>0</v>
      </c>
      <c r="AA189" s="252">
        <v>0</v>
      </c>
      <c r="AB189" s="252">
        <v>0</v>
      </c>
      <c r="AC189" s="252">
        <v>0</v>
      </c>
      <c r="AD189" s="252">
        <v>0</v>
      </c>
      <c r="AE189" s="252">
        <v>0</v>
      </c>
      <c r="AF189" s="252">
        <v>-141.04327700438887</v>
      </c>
      <c r="AG189" s="252">
        <v>-141.04327700438887</v>
      </c>
      <c r="AH189" s="252">
        <v>15</v>
      </c>
      <c r="AI189" s="252">
        <v>10</v>
      </c>
      <c r="AJ189" s="252">
        <v>0.5</v>
      </c>
      <c r="AK189" s="160" t="s">
        <v>228</v>
      </c>
      <c r="AL189" s="160" t="s">
        <v>230</v>
      </c>
      <c r="AM189" s="160"/>
      <c r="AN189" s="160">
        <v>0</v>
      </c>
      <c r="AO189" s="160">
        <v>70</v>
      </c>
      <c r="AP189" s="160"/>
      <c r="AQ189" s="160"/>
      <c r="AR189" s="160"/>
      <c r="AS189" s="160"/>
      <c r="AT189" s="160">
        <v>16</v>
      </c>
      <c r="AU189" s="160">
        <v>5</v>
      </c>
      <c r="AV189" s="160"/>
      <c r="AW189" s="160">
        <v>1</v>
      </c>
      <c r="AX189" s="160"/>
      <c r="AY189" s="160"/>
      <c r="AZ189" s="160"/>
      <c r="BA189" s="160"/>
      <c r="BB189" s="160"/>
      <c r="BC189" s="160"/>
      <c r="BD189" s="160">
        <v>1</v>
      </c>
      <c r="BE189" s="160">
        <v>1</v>
      </c>
      <c r="BF189" s="160"/>
      <c r="BG189" s="160"/>
      <c r="BH189" s="160"/>
      <c r="BI189" s="160"/>
      <c r="BJ189" s="160">
        <v>110</v>
      </c>
      <c r="BK189" s="160"/>
      <c r="BL189" s="160"/>
      <c r="BM189" s="160"/>
      <c r="BN189" s="160"/>
      <c r="BO189" s="160">
        <v>28</v>
      </c>
      <c r="BP189" s="160">
        <v>810</v>
      </c>
      <c r="BQ189" s="160"/>
      <c r="BR189" s="160">
        <v>3</v>
      </c>
      <c r="BS189" s="160"/>
      <c r="BT189" s="160">
        <v>110</v>
      </c>
      <c r="BU189" s="160"/>
      <c r="BV189" s="160"/>
      <c r="BW189" s="160"/>
      <c r="BX189" s="160"/>
      <c r="BY189" s="160">
        <v>1</v>
      </c>
      <c r="BZ189" s="160"/>
      <c r="CA189" s="160"/>
      <c r="CB189" s="160"/>
      <c r="CC189" s="160"/>
      <c r="CD189" s="160">
        <v>0</v>
      </c>
      <c r="CE189" s="160"/>
      <c r="CF189" s="160">
        <v>-1.21</v>
      </c>
      <c r="CG189" s="160">
        <v>-0.96</v>
      </c>
      <c r="CH189" s="160">
        <v>188</v>
      </c>
    </row>
    <row r="190" spans="1:86" x14ac:dyDescent="0.25">
      <c r="A190" s="271" t="s">
        <v>785</v>
      </c>
      <c r="B190" s="271">
        <v>0</v>
      </c>
      <c r="C190" s="271">
        <v>850</v>
      </c>
      <c r="D190" s="271">
        <v>300</v>
      </c>
      <c r="E190" s="271" t="s">
        <v>233</v>
      </c>
      <c r="F190" s="271" t="s">
        <v>250</v>
      </c>
      <c r="G190" s="273">
        <v>7940000</v>
      </c>
      <c r="H190" s="272">
        <v>28.751016853508379</v>
      </c>
      <c r="I190" s="272">
        <v>21.45539176401909</v>
      </c>
      <c r="J190" s="272">
        <v>0</v>
      </c>
      <c r="K190" s="272">
        <v>48.022800555810861</v>
      </c>
      <c r="L190" s="272">
        <v>0</v>
      </c>
      <c r="M190" s="272">
        <v>0</v>
      </c>
      <c r="N190" s="272">
        <v>0.80824879731592703</v>
      </c>
      <c r="O190" s="272">
        <v>0</v>
      </c>
      <c r="P190" s="272">
        <v>0</v>
      </c>
      <c r="Q190" s="272">
        <v>0.59280690091496557</v>
      </c>
      <c r="R190" s="272">
        <v>0.36973512843078288</v>
      </c>
      <c r="S190" s="272">
        <v>0</v>
      </c>
      <c r="T190" s="272">
        <v>0</v>
      </c>
      <c r="U190" s="272">
        <v>0</v>
      </c>
      <c r="V190" s="272">
        <v>0</v>
      </c>
      <c r="W190" s="272">
        <v>0</v>
      </c>
      <c r="X190" s="272">
        <v>0</v>
      </c>
      <c r="Y190" s="272">
        <v>0</v>
      </c>
      <c r="Z190" s="272">
        <v>0</v>
      </c>
      <c r="AA190" s="272">
        <v>0</v>
      </c>
      <c r="AB190" s="272">
        <v>0</v>
      </c>
      <c r="AC190" s="272">
        <v>0</v>
      </c>
      <c r="AD190" s="272">
        <v>0</v>
      </c>
      <c r="AE190" s="272">
        <v>0</v>
      </c>
      <c r="AF190" s="272">
        <v>-129.95987984877263</v>
      </c>
      <c r="AG190" s="272">
        <v>-60.821750226979574</v>
      </c>
      <c r="AH190" s="272">
        <v>15</v>
      </c>
      <c r="AI190" s="272">
        <v>10</v>
      </c>
      <c r="AJ190" s="272">
        <v>2</v>
      </c>
      <c r="AK190" s="271" t="s">
        <v>245</v>
      </c>
      <c r="AL190" s="271" t="s">
        <v>230</v>
      </c>
      <c r="AM190" s="271"/>
      <c r="AN190" s="271">
        <v>0</v>
      </c>
      <c r="AO190" s="271">
        <v>19.18</v>
      </c>
      <c r="AP190" s="271"/>
      <c r="AQ190" s="271"/>
      <c r="AR190" s="271"/>
      <c r="AS190" s="271"/>
      <c r="AT190" s="271">
        <v>77.8</v>
      </c>
      <c r="AU190" s="271">
        <v>0.46</v>
      </c>
      <c r="AV190" s="271"/>
      <c r="AW190" s="271"/>
      <c r="AX190" s="271"/>
      <c r="AY190" s="271"/>
      <c r="AZ190" s="271"/>
      <c r="BA190" s="271"/>
      <c r="BB190" s="271"/>
      <c r="BC190" s="271"/>
      <c r="BD190" s="271"/>
      <c r="BE190" s="271"/>
      <c r="BF190" s="271"/>
      <c r="BG190" s="271"/>
      <c r="BH190" s="271"/>
      <c r="BI190" s="271"/>
      <c r="BJ190" s="271">
        <v>49.67</v>
      </c>
      <c r="BK190" s="271"/>
      <c r="BL190" s="271"/>
      <c r="BM190" s="271"/>
      <c r="BN190" s="271"/>
      <c r="BO190" s="271">
        <v>84.21</v>
      </c>
      <c r="BP190" s="271">
        <v>162.54</v>
      </c>
      <c r="BQ190" s="271"/>
      <c r="BR190" s="271"/>
      <c r="BS190" s="271"/>
      <c r="BT190" s="271">
        <v>18.48</v>
      </c>
      <c r="BU190" s="271"/>
      <c r="BV190" s="271"/>
      <c r="BW190" s="271"/>
      <c r="BX190" s="271"/>
      <c r="BY190" s="271"/>
      <c r="BZ190" s="271"/>
      <c r="CA190" s="271"/>
      <c r="CB190" s="271"/>
      <c r="CC190" s="271"/>
      <c r="CD190" s="271">
        <v>0</v>
      </c>
      <c r="CE190" s="271"/>
      <c r="CF190" s="271">
        <v>-343.8</v>
      </c>
      <c r="CG190" s="271">
        <v>-10.58</v>
      </c>
      <c r="CH190" s="271">
        <v>189</v>
      </c>
    </row>
    <row r="191" spans="1:86" ht="16.5" thickBot="1" x14ac:dyDescent="0.3">
      <c r="A191" s="160" t="s">
        <v>786</v>
      </c>
      <c r="B191" s="160">
        <v>0</v>
      </c>
      <c r="C191" s="160">
        <v>850</v>
      </c>
      <c r="D191" s="160">
        <v>300</v>
      </c>
      <c r="E191" s="160" t="s">
        <v>233</v>
      </c>
      <c r="F191" s="160" t="s">
        <v>239</v>
      </c>
      <c r="G191" s="267">
        <v>8860000</v>
      </c>
      <c r="H191" s="252">
        <v>73.616065298412209</v>
      </c>
      <c r="I191" s="252">
        <v>8.1916815023149212</v>
      </c>
      <c r="J191" s="252">
        <v>10.146309488962684</v>
      </c>
      <c r="K191" s="252">
        <v>3.268710357746841</v>
      </c>
      <c r="L191" s="252">
        <v>0.16553996507087509</v>
      </c>
      <c r="M191" s="252">
        <v>0.20652466030902325</v>
      </c>
      <c r="N191" s="252">
        <v>0.88609379191923843</v>
      </c>
      <c r="O191" s="252">
        <v>0.38342933644214711</v>
      </c>
      <c r="P191" s="252">
        <v>0.22881655334885451</v>
      </c>
      <c r="Q191" s="252">
        <v>2.1663400199378318</v>
      </c>
      <c r="R191" s="252">
        <v>0.40534548649494556</v>
      </c>
      <c r="S191" s="252">
        <v>0.33514353904042166</v>
      </c>
      <c r="T191" s="252">
        <v>0</v>
      </c>
      <c r="U191" s="252">
        <v>0</v>
      </c>
      <c r="V191" s="252">
        <v>0</v>
      </c>
      <c r="W191" s="252">
        <v>0</v>
      </c>
      <c r="X191" s="252">
        <v>0</v>
      </c>
      <c r="Y191" s="252">
        <v>0</v>
      </c>
      <c r="Z191" s="252">
        <v>0</v>
      </c>
      <c r="AA191" s="252">
        <v>0</v>
      </c>
      <c r="AB191" s="252">
        <v>0</v>
      </c>
      <c r="AC191" s="252">
        <v>0</v>
      </c>
      <c r="AD191" s="252">
        <v>0</v>
      </c>
      <c r="AE191" s="252">
        <v>0</v>
      </c>
      <c r="AF191" s="252">
        <v>-120.17191689567275</v>
      </c>
      <c r="AG191" s="252">
        <v>-60.821750226979574</v>
      </c>
      <c r="AH191" s="252">
        <v>15</v>
      </c>
      <c r="AI191" s="252">
        <v>10</v>
      </c>
      <c r="AJ191" s="252">
        <v>2</v>
      </c>
      <c r="AK191" s="160" t="s">
        <v>245</v>
      </c>
      <c r="AL191" s="160" t="s">
        <v>230</v>
      </c>
      <c r="AM191" s="160"/>
      <c r="AN191" s="160">
        <v>0</v>
      </c>
      <c r="AO191" s="160">
        <v>19.18</v>
      </c>
      <c r="AP191" s="160"/>
      <c r="AQ191" s="160"/>
      <c r="AR191" s="160"/>
      <c r="AS191" s="160"/>
      <c r="AT191" s="160">
        <v>77.8</v>
      </c>
      <c r="AU191" s="160">
        <v>0.46</v>
      </c>
      <c r="AV191" s="160"/>
      <c r="AW191" s="160"/>
      <c r="AX191" s="160"/>
      <c r="AY191" s="160"/>
      <c r="AZ191" s="160"/>
      <c r="BA191" s="160"/>
      <c r="BB191" s="160"/>
      <c r="BC191" s="160"/>
      <c r="BD191" s="160"/>
      <c r="BE191" s="160"/>
      <c r="BF191" s="160"/>
      <c r="BG191" s="160"/>
      <c r="BH191" s="160"/>
      <c r="BI191" s="160"/>
      <c r="BJ191" s="160">
        <v>27.54</v>
      </c>
      <c r="BK191" s="160"/>
      <c r="BL191" s="160"/>
      <c r="BM191" s="160"/>
      <c r="BN191" s="160"/>
      <c r="BO191" s="160">
        <v>149.31</v>
      </c>
      <c r="BP191" s="160">
        <v>53.27</v>
      </c>
      <c r="BQ191" s="160"/>
      <c r="BR191" s="160"/>
      <c r="BS191" s="160"/>
      <c r="BT191" s="160">
        <v>7.03</v>
      </c>
      <c r="BU191" s="160"/>
      <c r="BV191" s="160"/>
      <c r="BW191" s="160"/>
      <c r="BX191" s="160"/>
      <c r="BY191" s="160"/>
      <c r="BZ191" s="160"/>
      <c r="CA191" s="160"/>
      <c r="CB191" s="160"/>
      <c r="CC191" s="160"/>
      <c r="CD191" s="160">
        <v>0</v>
      </c>
      <c r="CE191" s="160"/>
      <c r="CF191" s="160">
        <v>-31.2</v>
      </c>
      <c r="CG191" s="160">
        <v>-0.31</v>
      </c>
      <c r="CH191" s="160">
        <v>190</v>
      </c>
    </row>
    <row r="192" spans="1:86" x14ac:dyDescent="0.25">
      <c r="A192" s="241" t="s">
        <v>787</v>
      </c>
      <c r="B192" s="241">
        <v>0</v>
      </c>
      <c r="C192" s="241">
        <v>700</v>
      </c>
      <c r="D192" s="241">
        <v>15</v>
      </c>
      <c r="E192" s="241" t="s">
        <v>48</v>
      </c>
      <c r="F192" s="241" t="s">
        <v>239</v>
      </c>
      <c r="G192" s="265">
        <v>8860000</v>
      </c>
      <c r="H192" s="250">
        <v>74.196714441831276</v>
      </c>
      <c r="I192" s="250">
        <v>8.3196467397750542</v>
      </c>
      <c r="J192" s="250">
        <v>11.151905115481981</v>
      </c>
      <c r="K192" s="250">
        <v>4.3316474391635102</v>
      </c>
      <c r="L192" s="250">
        <v>0</v>
      </c>
      <c r="M192" s="250">
        <v>4.1890328109324112E-3</v>
      </c>
      <c r="N192" s="250">
        <v>0.67398899767450038</v>
      </c>
      <c r="O192" s="250">
        <v>4.8036080193784164E-2</v>
      </c>
      <c r="P192" s="250">
        <v>2.5784385162758204E-3</v>
      </c>
      <c r="Q192" s="250">
        <v>0.98866915803409705</v>
      </c>
      <c r="R192" s="250">
        <v>0.28262455651860086</v>
      </c>
      <c r="S192" s="250">
        <v>0</v>
      </c>
      <c r="T192" s="250">
        <v>0</v>
      </c>
      <c r="U192" s="250">
        <v>0</v>
      </c>
      <c r="V192" s="250">
        <v>0</v>
      </c>
      <c r="W192" s="250">
        <v>0</v>
      </c>
      <c r="X192" s="250">
        <v>0</v>
      </c>
      <c r="Y192" s="250">
        <v>0</v>
      </c>
      <c r="Z192" s="250">
        <v>0</v>
      </c>
      <c r="AA192" s="250">
        <v>0</v>
      </c>
      <c r="AB192" s="250">
        <v>0</v>
      </c>
      <c r="AC192" s="250">
        <v>0</v>
      </c>
      <c r="AD192" s="250">
        <v>0</v>
      </c>
      <c r="AE192" s="250">
        <v>0</v>
      </c>
      <c r="AF192" s="250">
        <v>-124.51377510865618</v>
      </c>
      <c r="AG192" s="250">
        <v>-121.74823772574202</v>
      </c>
      <c r="AH192" s="250">
        <v>20</v>
      </c>
      <c r="AI192" s="250">
        <v>10</v>
      </c>
      <c r="AJ192" s="250">
        <v>3</v>
      </c>
      <c r="AK192" s="241" t="s">
        <v>245</v>
      </c>
      <c r="AL192" s="241" t="s">
        <v>230</v>
      </c>
      <c r="AM192" s="241"/>
      <c r="AN192" s="241">
        <v>0</v>
      </c>
      <c r="AO192" s="241">
        <v>14</v>
      </c>
      <c r="AP192" s="241"/>
      <c r="AQ192" s="241">
        <v>10</v>
      </c>
      <c r="AR192" s="241">
        <v>11</v>
      </c>
      <c r="AS192" s="241"/>
      <c r="AT192" s="241">
        <v>74</v>
      </c>
      <c r="AU192" s="241">
        <v>6</v>
      </c>
      <c r="AV192" s="241"/>
      <c r="AW192" s="241"/>
      <c r="AX192" s="241">
        <v>19</v>
      </c>
      <c r="AY192" s="241"/>
      <c r="AZ192" s="241">
        <v>8</v>
      </c>
      <c r="BA192" s="241"/>
      <c r="BB192" s="241"/>
      <c r="BC192" s="258"/>
      <c r="BD192" s="258"/>
      <c r="BE192" s="258"/>
      <c r="BF192" s="258"/>
      <c r="BG192" s="258"/>
      <c r="BH192" s="258"/>
      <c r="BI192" s="258"/>
      <c r="BJ192" s="258"/>
      <c r="BK192" s="258"/>
      <c r="BL192" s="258"/>
      <c r="BM192" s="258"/>
      <c r="BN192" s="258"/>
      <c r="BO192" s="258"/>
      <c r="BP192" s="258"/>
      <c r="BQ192" s="258"/>
      <c r="BR192" s="258"/>
      <c r="BS192" s="258"/>
      <c r="BT192" s="258"/>
      <c r="BU192" s="258"/>
      <c r="BV192" s="258"/>
      <c r="BW192" s="258"/>
      <c r="BX192" s="258"/>
      <c r="BY192" s="258"/>
      <c r="BZ192" s="258"/>
      <c r="CA192" s="258"/>
      <c r="CB192" s="258"/>
      <c r="CC192" s="258"/>
      <c r="CD192" s="241">
        <v>0</v>
      </c>
      <c r="CE192" s="241"/>
      <c r="CF192" s="241">
        <v>-5.43</v>
      </c>
      <c r="CG192" s="241">
        <v>-0.42</v>
      </c>
      <c r="CH192" s="241">
        <v>191</v>
      </c>
    </row>
    <row r="193" spans="1:86" x14ac:dyDescent="0.25">
      <c r="A193" s="159" t="s">
        <v>788</v>
      </c>
      <c r="B193" s="159">
        <v>0</v>
      </c>
      <c r="C193" s="159">
        <v>700</v>
      </c>
      <c r="D193" s="159">
        <v>60</v>
      </c>
      <c r="E193" s="159" t="s">
        <v>48</v>
      </c>
      <c r="F193" s="159" t="s">
        <v>239</v>
      </c>
      <c r="G193" s="264">
        <v>8860000</v>
      </c>
      <c r="H193" s="249">
        <v>74.196714441831276</v>
      </c>
      <c r="I193" s="249">
        <v>8.3196467397750542</v>
      </c>
      <c r="J193" s="249">
        <v>11.151905115481981</v>
      </c>
      <c r="K193" s="249">
        <v>4.3316474391635102</v>
      </c>
      <c r="L193" s="249">
        <v>0</v>
      </c>
      <c r="M193" s="249">
        <v>4.1890328109324112E-3</v>
      </c>
      <c r="N193" s="249">
        <v>0.67398899767450038</v>
      </c>
      <c r="O193" s="249">
        <v>4.8036080193784164E-2</v>
      </c>
      <c r="P193" s="249">
        <v>2.5784385162758204E-3</v>
      </c>
      <c r="Q193" s="249">
        <v>0.98866915803409705</v>
      </c>
      <c r="R193" s="249">
        <v>0.28262455651860086</v>
      </c>
      <c r="S193" s="249">
        <v>0</v>
      </c>
      <c r="T193" s="249">
        <v>0</v>
      </c>
      <c r="U193" s="249">
        <v>0</v>
      </c>
      <c r="V193" s="249">
        <v>0</v>
      </c>
      <c r="W193" s="249">
        <v>0</v>
      </c>
      <c r="X193" s="249">
        <v>0</v>
      </c>
      <c r="Y193" s="249">
        <v>0</v>
      </c>
      <c r="Z193" s="249">
        <v>0</v>
      </c>
      <c r="AA193" s="249">
        <v>0</v>
      </c>
      <c r="AB193" s="249">
        <v>0</v>
      </c>
      <c r="AC193" s="249">
        <v>0</v>
      </c>
      <c r="AD193" s="249">
        <v>0</v>
      </c>
      <c r="AE193" s="249">
        <v>0</v>
      </c>
      <c r="AF193" s="249">
        <v>-124.51377510865618</v>
      </c>
      <c r="AG193" s="249">
        <v>-121.74823772574202</v>
      </c>
      <c r="AH193" s="249">
        <v>20</v>
      </c>
      <c r="AI193" s="249">
        <v>10</v>
      </c>
      <c r="AJ193" s="249">
        <v>3</v>
      </c>
      <c r="AK193" s="159" t="s">
        <v>245</v>
      </c>
      <c r="AL193" s="159" t="s">
        <v>230</v>
      </c>
      <c r="AM193" s="159"/>
      <c r="AN193" s="159">
        <v>0</v>
      </c>
      <c r="AO193" s="159">
        <v>14</v>
      </c>
      <c r="AP193" s="159"/>
      <c r="AQ193" s="159">
        <v>10</v>
      </c>
      <c r="AR193" s="159">
        <v>11</v>
      </c>
      <c r="AS193" s="159"/>
      <c r="AT193" s="159">
        <v>74</v>
      </c>
      <c r="AU193" s="159">
        <v>6</v>
      </c>
      <c r="AV193" s="159"/>
      <c r="AW193" s="159"/>
      <c r="AX193" s="159">
        <v>19</v>
      </c>
      <c r="AY193" s="159"/>
      <c r="AZ193" s="159">
        <v>8</v>
      </c>
      <c r="BA193" s="159"/>
      <c r="BB193" s="159"/>
      <c r="BC193" s="259"/>
      <c r="BD193" s="259"/>
      <c r="BE193" s="259"/>
      <c r="BF193" s="259"/>
      <c r="BG193" s="259"/>
      <c r="BH193" s="259"/>
      <c r="BI193" s="259"/>
      <c r="BJ193" s="259"/>
      <c r="BK193" s="259"/>
      <c r="BL193" s="259"/>
      <c r="BM193" s="259"/>
      <c r="BN193" s="259"/>
      <c r="BO193" s="259"/>
      <c r="BP193" s="259"/>
      <c r="BQ193" s="259"/>
      <c r="BR193" s="259"/>
      <c r="BS193" s="259"/>
      <c r="BT193" s="259"/>
      <c r="BU193" s="259"/>
      <c r="BV193" s="259"/>
      <c r="BW193" s="259"/>
      <c r="BX193" s="259"/>
      <c r="BY193" s="259"/>
      <c r="BZ193" s="259"/>
      <c r="CA193" s="259"/>
      <c r="CB193" s="259"/>
      <c r="CC193" s="259"/>
      <c r="CD193" s="159">
        <v>0</v>
      </c>
      <c r="CE193" s="159"/>
      <c r="CF193" s="159">
        <v>-8.4</v>
      </c>
      <c r="CG193" s="159">
        <v>-0.56000000000000005</v>
      </c>
      <c r="CH193" s="159">
        <v>192</v>
      </c>
    </row>
    <row r="194" spans="1:86" x14ac:dyDescent="0.25">
      <c r="A194" s="241" t="s">
        <v>789</v>
      </c>
      <c r="B194" s="241">
        <v>0</v>
      </c>
      <c r="C194" s="241">
        <v>700</v>
      </c>
      <c r="D194" s="241">
        <v>120</v>
      </c>
      <c r="E194" s="241" t="s">
        <v>48</v>
      </c>
      <c r="F194" s="241" t="s">
        <v>239</v>
      </c>
      <c r="G194" s="265">
        <v>8860000</v>
      </c>
      <c r="H194" s="250">
        <v>74.196714441831276</v>
      </c>
      <c r="I194" s="250">
        <v>8.3196467397750542</v>
      </c>
      <c r="J194" s="250">
        <v>11.151905115481981</v>
      </c>
      <c r="K194" s="250">
        <v>4.3316474391635102</v>
      </c>
      <c r="L194" s="250">
        <v>0</v>
      </c>
      <c r="M194" s="250">
        <v>4.1890328109324112E-3</v>
      </c>
      <c r="N194" s="250">
        <v>0.67398899767450038</v>
      </c>
      <c r="O194" s="250">
        <v>4.8036080193784164E-2</v>
      </c>
      <c r="P194" s="250">
        <v>2.5784385162758204E-3</v>
      </c>
      <c r="Q194" s="250">
        <v>0.98866915803409705</v>
      </c>
      <c r="R194" s="250">
        <v>0.28262455651860086</v>
      </c>
      <c r="S194" s="250">
        <v>0</v>
      </c>
      <c r="T194" s="250">
        <v>0</v>
      </c>
      <c r="U194" s="250">
        <v>0</v>
      </c>
      <c r="V194" s="250">
        <v>0</v>
      </c>
      <c r="W194" s="250">
        <v>0</v>
      </c>
      <c r="X194" s="250">
        <v>0</v>
      </c>
      <c r="Y194" s="250">
        <v>0</v>
      </c>
      <c r="Z194" s="250">
        <v>0</v>
      </c>
      <c r="AA194" s="250">
        <v>0</v>
      </c>
      <c r="AB194" s="250">
        <v>0</v>
      </c>
      <c r="AC194" s="250">
        <v>0</v>
      </c>
      <c r="AD194" s="250">
        <v>0</v>
      </c>
      <c r="AE194" s="250">
        <v>0</v>
      </c>
      <c r="AF194" s="250">
        <v>-124.51377510865618</v>
      </c>
      <c r="AG194" s="250">
        <v>-121.74823772574202</v>
      </c>
      <c r="AH194" s="250">
        <v>20</v>
      </c>
      <c r="AI194" s="250">
        <v>10</v>
      </c>
      <c r="AJ194" s="250">
        <v>3</v>
      </c>
      <c r="AK194" s="241" t="s">
        <v>245</v>
      </c>
      <c r="AL194" s="241" t="s">
        <v>230</v>
      </c>
      <c r="AM194" s="241"/>
      <c r="AN194" s="241">
        <v>0</v>
      </c>
      <c r="AO194" s="241">
        <v>14</v>
      </c>
      <c r="AP194" s="241"/>
      <c r="AQ194" s="241">
        <v>10</v>
      </c>
      <c r="AR194" s="241">
        <v>11</v>
      </c>
      <c r="AS194" s="241"/>
      <c r="AT194" s="241">
        <v>74</v>
      </c>
      <c r="AU194" s="241">
        <v>6</v>
      </c>
      <c r="AV194" s="241"/>
      <c r="AW194" s="241"/>
      <c r="AX194" s="241">
        <v>19</v>
      </c>
      <c r="AY194" s="241"/>
      <c r="AZ194" s="241">
        <v>8</v>
      </c>
      <c r="BA194" s="241"/>
      <c r="BB194" s="241"/>
      <c r="BC194" s="258"/>
      <c r="BD194" s="258"/>
      <c r="BE194" s="258"/>
      <c r="BF194" s="258"/>
      <c r="BG194" s="258"/>
      <c r="BH194" s="258"/>
      <c r="BI194" s="258"/>
      <c r="BJ194" s="258"/>
      <c r="BK194" s="258"/>
      <c r="BL194" s="258"/>
      <c r="BM194" s="258"/>
      <c r="BN194" s="258"/>
      <c r="BO194" s="258"/>
      <c r="BP194" s="258"/>
      <c r="BQ194" s="258"/>
      <c r="BR194" s="258"/>
      <c r="BS194" s="258"/>
      <c r="BT194" s="258"/>
      <c r="BU194" s="258"/>
      <c r="BV194" s="258"/>
      <c r="BW194" s="258"/>
      <c r="BX194" s="258"/>
      <c r="BY194" s="258"/>
      <c r="BZ194" s="258"/>
      <c r="CA194" s="258"/>
      <c r="CB194" s="258"/>
      <c r="CC194" s="258"/>
      <c r="CD194" s="241">
        <v>0</v>
      </c>
      <c r="CE194" s="241"/>
      <c r="CF194" s="241">
        <v>-10.210000000000001</v>
      </c>
      <c r="CG194" s="241">
        <v>-0.71</v>
      </c>
      <c r="CH194" s="241">
        <v>193</v>
      </c>
    </row>
    <row r="195" spans="1:86" ht="16.5" thickBot="1" x14ac:dyDescent="0.3">
      <c r="A195" s="160" t="s">
        <v>790</v>
      </c>
      <c r="B195" s="160">
        <v>0</v>
      </c>
      <c r="C195" s="160">
        <v>700</v>
      </c>
      <c r="D195" s="160">
        <v>167</v>
      </c>
      <c r="E195" s="160" t="s">
        <v>48</v>
      </c>
      <c r="F195" s="160" t="s">
        <v>239</v>
      </c>
      <c r="G195" s="267">
        <v>8860000</v>
      </c>
      <c r="H195" s="252">
        <v>74.196714441831276</v>
      </c>
      <c r="I195" s="252">
        <v>8.3196467397750542</v>
      </c>
      <c r="J195" s="252">
        <v>11.151905115481981</v>
      </c>
      <c r="K195" s="252">
        <v>4.3316474391635102</v>
      </c>
      <c r="L195" s="252">
        <v>0</v>
      </c>
      <c r="M195" s="252">
        <v>4.1890328109324112E-3</v>
      </c>
      <c r="N195" s="252">
        <v>0.67398899767450038</v>
      </c>
      <c r="O195" s="252">
        <v>4.8036080193784164E-2</v>
      </c>
      <c r="P195" s="252">
        <v>2.5784385162758204E-3</v>
      </c>
      <c r="Q195" s="252">
        <v>0.98866915803409705</v>
      </c>
      <c r="R195" s="252">
        <v>0.28262455651860086</v>
      </c>
      <c r="S195" s="252">
        <v>0</v>
      </c>
      <c r="T195" s="252">
        <v>0</v>
      </c>
      <c r="U195" s="252">
        <v>0</v>
      </c>
      <c r="V195" s="252">
        <v>0</v>
      </c>
      <c r="W195" s="252">
        <v>0</v>
      </c>
      <c r="X195" s="252">
        <v>0</v>
      </c>
      <c r="Y195" s="252">
        <v>0</v>
      </c>
      <c r="Z195" s="252">
        <v>0</v>
      </c>
      <c r="AA195" s="252">
        <v>0</v>
      </c>
      <c r="AB195" s="252">
        <v>0</v>
      </c>
      <c r="AC195" s="252">
        <v>0</v>
      </c>
      <c r="AD195" s="252">
        <v>0</v>
      </c>
      <c r="AE195" s="252">
        <v>0</v>
      </c>
      <c r="AF195" s="252">
        <v>-124.51377510865618</v>
      </c>
      <c r="AG195" s="252">
        <v>-121.74823772574202</v>
      </c>
      <c r="AH195" s="252">
        <v>20</v>
      </c>
      <c r="AI195" s="252">
        <v>10</v>
      </c>
      <c r="AJ195" s="252">
        <v>3</v>
      </c>
      <c r="AK195" s="160" t="s">
        <v>245</v>
      </c>
      <c r="AL195" s="160" t="s">
        <v>230</v>
      </c>
      <c r="AM195" s="160"/>
      <c r="AN195" s="160">
        <v>0</v>
      </c>
      <c r="AO195" s="160">
        <v>14</v>
      </c>
      <c r="AP195" s="160"/>
      <c r="AQ195" s="160">
        <v>10</v>
      </c>
      <c r="AR195" s="160">
        <v>11</v>
      </c>
      <c r="AS195" s="160"/>
      <c r="AT195" s="160">
        <v>74</v>
      </c>
      <c r="AU195" s="160">
        <v>6</v>
      </c>
      <c r="AV195" s="160"/>
      <c r="AW195" s="160"/>
      <c r="AX195" s="160">
        <v>19</v>
      </c>
      <c r="AY195" s="160"/>
      <c r="AZ195" s="160">
        <v>8</v>
      </c>
      <c r="BA195" s="160"/>
      <c r="BB195" s="160"/>
      <c r="BC195" s="260"/>
      <c r="BD195" s="260"/>
      <c r="BE195" s="260"/>
      <c r="BF195" s="260"/>
      <c r="BG195" s="260"/>
      <c r="BH195" s="260"/>
      <c r="BI195" s="260"/>
      <c r="BJ195" s="260"/>
      <c r="BK195" s="260"/>
      <c r="BL195" s="260"/>
      <c r="BM195" s="260"/>
      <c r="BN195" s="260"/>
      <c r="BO195" s="260"/>
      <c r="BP195" s="260"/>
      <c r="BQ195" s="260"/>
      <c r="BR195" s="260"/>
      <c r="BS195" s="260"/>
      <c r="BT195" s="260"/>
      <c r="BU195" s="260"/>
      <c r="BV195" s="260"/>
      <c r="BW195" s="260"/>
      <c r="BX195" s="260"/>
      <c r="BY195" s="260"/>
      <c r="BZ195" s="260"/>
      <c r="CA195" s="260"/>
      <c r="CB195" s="260"/>
      <c r="CC195" s="260"/>
      <c r="CD195" s="160">
        <v>0</v>
      </c>
      <c r="CE195" s="160"/>
      <c r="CF195" s="160">
        <v>-12.27</v>
      </c>
      <c r="CG195" s="160">
        <v>-0.79</v>
      </c>
      <c r="CH195" s="160">
        <v>194</v>
      </c>
    </row>
    <row r="196" spans="1:86" x14ac:dyDescent="0.25">
      <c r="A196" s="159" t="s">
        <v>791</v>
      </c>
      <c r="B196" s="159">
        <v>0</v>
      </c>
      <c r="C196" s="159">
        <v>700</v>
      </c>
      <c r="D196" s="159">
        <v>72</v>
      </c>
      <c r="E196" s="159" t="s">
        <v>48</v>
      </c>
      <c r="F196" s="159" t="s">
        <v>239</v>
      </c>
      <c r="G196" s="264">
        <v>8860000</v>
      </c>
      <c r="H196" s="249">
        <v>76.344614098583591</v>
      </c>
      <c r="I196" s="249">
        <v>8.3268540268964948</v>
      </c>
      <c r="J196" s="249">
        <v>10.313735708893415</v>
      </c>
      <c r="K196" s="249">
        <v>4.4301973080815218</v>
      </c>
      <c r="L196" s="249">
        <v>2.1336835345773641E-2</v>
      </c>
      <c r="M196" s="249">
        <v>3.1489884565122139E-4</v>
      </c>
      <c r="N196" s="249">
        <v>0.56294712335355157</v>
      </c>
      <c r="O196" s="249">
        <v>0</v>
      </c>
      <c r="P196" s="249">
        <v>0</v>
      </c>
      <c r="Q196" s="249">
        <v>0</v>
      </c>
      <c r="R196" s="249">
        <v>0</v>
      </c>
      <c r="S196" s="249">
        <v>0</v>
      </c>
      <c r="T196" s="249">
        <v>0</v>
      </c>
      <c r="U196" s="249">
        <v>0</v>
      </c>
      <c r="V196" s="249">
        <v>0</v>
      </c>
      <c r="W196" s="249">
        <v>0</v>
      </c>
      <c r="X196" s="249">
        <v>0</v>
      </c>
      <c r="Y196" s="249">
        <v>0</v>
      </c>
      <c r="Z196" s="249">
        <v>0</v>
      </c>
      <c r="AA196" s="249">
        <v>0</v>
      </c>
      <c r="AB196" s="249">
        <v>0</v>
      </c>
      <c r="AC196" s="249">
        <v>0</v>
      </c>
      <c r="AD196" s="249">
        <v>0</v>
      </c>
      <c r="AE196" s="249">
        <v>0</v>
      </c>
      <c r="AF196" s="249">
        <v>-124.21542200799192</v>
      </c>
      <c r="AG196" s="249">
        <v>-121.74823772574202</v>
      </c>
      <c r="AH196" s="249">
        <v>10</v>
      </c>
      <c r="AI196" s="249">
        <v>10</v>
      </c>
      <c r="AJ196" s="249">
        <v>10</v>
      </c>
      <c r="AK196" s="159" t="s">
        <v>245</v>
      </c>
      <c r="AL196" s="159" t="s">
        <v>247</v>
      </c>
      <c r="AM196" s="159"/>
      <c r="AN196" s="159">
        <v>0</v>
      </c>
      <c r="AO196" s="159">
        <v>332.5</v>
      </c>
      <c r="AP196" s="159"/>
      <c r="AQ196" s="159"/>
      <c r="AR196" s="159"/>
      <c r="AS196" s="159">
        <v>3300</v>
      </c>
      <c r="AT196" s="159">
        <v>8</v>
      </c>
      <c r="AU196" s="159">
        <v>47</v>
      </c>
      <c r="AV196" s="159"/>
      <c r="AW196" s="159">
        <v>8</v>
      </c>
      <c r="AX196" s="159"/>
      <c r="AY196" s="159"/>
      <c r="AZ196" s="159"/>
      <c r="BA196" s="159"/>
      <c r="BB196" s="159"/>
      <c r="BC196" s="259"/>
      <c r="BD196" s="259"/>
      <c r="BE196" s="259">
        <v>11.1</v>
      </c>
      <c r="BF196" s="259"/>
      <c r="BG196" s="259"/>
      <c r="BH196" s="259"/>
      <c r="BI196" s="259"/>
      <c r="BJ196" s="259"/>
      <c r="BK196" s="259"/>
      <c r="BL196" s="259"/>
      <c r="BM196" s="259"/>
      <c r="BN196" s="259"/>
      <c r="BO196" s="259"/>
      <c r="BP196" s="259"/>
      <c r="BQ196" s="259"/>
      <c r="BR196" s="259"/>
      <c r="BS196" s="259"/>
      <c r="BT196" s="259"/>
      <c r="BU196" s="259"/>
      <c r="BV196" s="259"/>
      <c r="BW196" s="259"/>
      <c r="BX196" s="259"/>
      <c r="BY196" s="259"/>
      <c r="BZ196" s="259"/>
      <c r="CA196" s="259"/>
      <c r="CB196" s="259"/>
      <c r="CC196" s="259"/>
      <c r="CD196" s="159">
        <v>0</v>
      </c>
      <c r="CE196" s="159"/>
      <c r="CF196" s="159">
        <v>-5</v>
      </c>
      <c r="CG196" s="159">
        <v>-1.04</v>
      </c>
      <c r="CH196" s="159">
        <v>195</v>
      </c>
    </row>
    <row r="197" spans="1:86" ht="16.5" thickBot="1" x14ac:dyDescent="0.3">
      <c r="A197" s="242" t="s">
        <v>792</v>
      </c>
      <c r="B197" s="242">
        <v>0</v>
      </c>
      <c r="C197" s="242">
        <v>700</v>
      </c>
      <c r="D197" s="242">
        <v>72</v>
      </c>
      <c r="E197" s="242" t="s">
        <v>48</v>
      </c>
      <c r="F197" s="242" t="s">
        <v>368</v>
      </c>
      <c r="G197" s="266">
        <v>8220000</v>
      </c>
      <c r="H197" s="251">
        <v>49.212787400782311</v>
      </c>
      <c r="I197" s="251">
        <v>24.149652947758476</v>
      </c>
      <c r="J197" s="251">
        <v>5.3202186043084216</v>
      </c>
      <c r="K197" s="251">
        <v>19.122676352511832</v>
      </c>
      <c r="L197" s="251">
        <v>0.16282651708341928</v>
      </c>
      <c r="M197" s="251">
        <v>0.99578143027561672</v>
      </c>
      <c r="N197" s="251">
        <v>1.0360567472799023</v>
      </c>
      <c r="O197" s="251">
        <v>0</v>
      </c>
      <c r="P197" s="251">
        <v>0</v>
      </c>
      <c r="Q197" s="251">
        <v>0</v>
      </c>
      <c r="R197" s="251">
        <v>0</v>
      </c>
      <c r="S197" s="251">
        <v>0</v>
      </c>
      <c r="T197" s="251">
        <v>0</v>
      </c>
      <c r="U197" s="251">
        <v>0</v>
      </c>
      <c r="V197" s="251">
        <v>0</v>
      </c>
      <c r="W197" s="251">
        <v>0</v>
      </c>
      <c r="X197" s="251">
        <v>0</v>
      </c>
      <c r="Y197" s="251">
        <v>0</v>
      </c>
      <c r="Z197" s="251">
        <v>0</v>
      </c>
      <c r="AA197" s="251">
        <v>0</v>
      </c>
      <c r="AB197" s="251">
        <v>0</v>
      </c>
      <c r="AC197" s="251">
        <v>0</v>
      </c>
      <c r="AD197" s="251">
        <v>0</v>
      </c>
      <c r="AE197" s="251">
        <v>0</v>
      </c>
      <c r="AF197" s="251">
        <v>-131.3023053220528</v>
      </c>
      <c r="AG197" s="251">
        <v>-121.74823772574202</v>
      </c>
      <c r="AH197" s="251">
        <v>10</v>
      </c>
      <c r="AI197" s="251">
        <v>10</v>
      </c>
      <c r="AJ197" s="251">
        <v>10</v>
      </c>
      <c r="AK197" s="242" t="s">
        <v>245</v>
      </c>
      <c r="AL197" s="242" t="s">
        <v>247</v>
      </c>
      <c r="AM197" s="242"/>
      <c r="AN197" s="242">
        <v>0</v>
      </c>
      <c r="AO197" s="242">
        <v>332.5</v>
      </c>
      <c r="AP197" s="242"/>
      <c r="AQ197" s="242"/>
      <c r="AR197" s="242"/>
      <c r="AS197" s="242">
        <v>3300</v>
      </c>
      <c r="AT197" s="242">
        <v>8</v>
      </c>
      <c r="AU197" s="242">
        <v>47</v>
      </c>
      <c r="AV197" s="242"/>
      <c r="AW197" s="242">
        <v>8</v>
      </c>
      <c r="AX197" s="242"/>
      <c r="AY197" s="242"/>
      <c r="AZ197" s="242"/>
      <c r="BA197" s="242"/>
      <c r="BB197" s="242"/>
      <c r="BC197" s="261"/>
      <c r="BD197" s="261"/>
      <c r="BE197" s="261"/>
      <c r="BF197" s="261"/>
      <c r="BG197" s="261"/>
      <c r="BH197" s="261"/>
      <c r="BI197" s="261"/>
      <c r="BJ197" s="261"/>
      <c r="BK197" s="261"/>
      <c r="BL197" s="261"/>
      <c r="BM197" s="261"/>
      <c r="BN197" s="261"/>
      <c r="BO197" s="261"/>
      <c r="BP197" s="261"/>
      <c r="BQ197" s="261"/>
      <c r="BR197" s="261"/>
      <c r="BS197" s="261"/>
      <c r="BT197" s="261"/>
      <c r="BU197" s="261"/>
      <c r="BV197" s="261"/>
      <c r="BW197" s="261"/>
      <c r="BX197" s="261"/>
      <c r="BY197" s="261"/>
      <c r="BZ197" s="261"/>
      <c r="CA197" s="261"/>
      <c r="CB197" s="261"/>
      <c r="CC197" s="261"/>
      <c r="CD197" s="242">
        <v>0</v>
      </c>
      <c r="CE197" s="242"/>
      <c r="CF197" s="242">
        <v>-10</v>
      </c>
      <c r="CG197" s="242">
        <v>-12.9</v>
      </c>
      <c r="CH197" s="242">
        <v>196</v>
      </c>
    </row>
    <row r="198" spans="1:86" x14ac:dyDescent="0.25">
      <c r="A198" s="159" t="s">
        <v>793</v>
      </c>
      <c r="B198" s="159">
        <v>0</v>
      </c>
      <c r="C198" s="159">
        <v>700</v>
      </c>
      <c r="D198" s="159">
        <v>100</v>
      </c>
      <c r="E198" s="159" t="s">
        <v>48</v>
      </c>
      <c r="F198" s="159" t="s">
        <v>239</v>
      </c>
      <c r="G198" s="264">
        <v>8860000</v>
      </c>
      <c r="H198" s="249">
        <v>73.983282435619998</v>
      </c>
      <c r="I198" s="249">
        <v>8.3027748803838577</v>
      </c>
      <c r="J198" s="249">
        <v>11.129289566897105</v>
      </c>
      <c r="K198" s="249">
        <v>4.322863058190169</v>
      </c>
      <c r="L198" s="249">
        <v>0</v>
      </c>
      <c r="M198" s="249">
        <v>0</v>
      </c>
      <c r="N198" s="249">
        <v>0.76230513632657826</v>
      </c>
      <c r="O198" s="249">
        <v>0</v>
      </c>
      <c r="P198" s="249">
        <v>0</v>
      </c>
      <c r="Q198" s="249">
        <v>0.98666418263784428</v>
      </c>
      <c r="R198" s="249">
        <v>0.51282073994443611</v>
      </c>
      <c r="S198" s="249">
        <v>0</v>
      </c>
      <c r="T198" s="249">
        <v>0</v>
      </c>
      <c r="U198" s="249">
        <v>0</v>
      </c>
      <c r="V198" s="249">
        <v>0</v>
      </c>
      <c r="W198" s="249">
        <v>0</v>
      </c>
      <c r="X198" s="249">
        <v>0</v>
      </c>
      <c r="Y198" s="249">
        <v>0</v>
      </c>
      <c r="Z198" s="249">
        <v>0</v>
      </c>
      <c r="AA198" s="249">
        <v>0</v>
      </c>
      <c r="AB198" s="249">
        <v>0</v>
      </c>
      <c r="AC198" s="249">
        <v>0</v>
      </c>
      <c r="AD198" s="249">
        <v>0</v>
      </c>
      <c r="AE198" s="249">
        <v>0</v>
      </c>
      <c r="AF198" s="249">
        <v>-124.3774896678361</v>
      </c>
      <c r="AG198" s="249">
        <v>-121.74823772574202</v>
      </c>
      <c r="AH198" s="249">
        <v>10</v>
      </c>
      <c r="AI198" s="249">
        <v>8</v>
      </c>
      <c r="AJ198" s="249">
        <v>1</v>
      </c>
      <c r="AK198" s="159" t="s">
        <v>245</v>
      </c>
      <c r="AL198" s="159" t="s">
        <v>230</v>
      </c>
      <c r="AM198" s="159"/>
      <c r="AN198" s="159">
        <v>0</v>
      </c>
      <c r="AO198" s="159"/>
      <c r="AP198" s="159"/>
      <c r="AQ198" s="159"/>
      <c r="AR198" s="159"/>
      <c r="AS198" s="159"/>
      <c r="AT198" s="159"/>
      <c r="AU198" s="159"/>
      <c r="AV198" s="159"/>
      <c r="AW198" s="159"/>
      <c r="AX198" s="159"/>
      <c r="AY198" s="159">
        <v>3.22</v>
      </c>
      <c r="AZ198" s="159"/>
      <c r="BA198" s="159"/>
      <c r="BB198" s="159"/>
      <c r="BC198" s="259"/>
      <c r="BD198" s="259"/>
      <c r="BE198" s="259"/>
      <c r="BF198" s="259">
        <v>13.1</v>
      </c>
      <c r="BG198" s="259"/>
      <c r="BH198" s="259"/>
      <c r="BI198" s="259"/>
      <c r="BJ198" s="259"/>
      <c r="BK198" s="259"/>
      <c r="BL198" s="259"/>
      <c r="BM198" s="259"/>
      <c r="BN198" s="259"/>
      <c r="BO198" s="259"/>
      <c r="BP198" s="259"/>
      <c r="BQ198" s="259"/>
      <c r="BR198" s="259">
        <v>0.33</v>
      </c>
      <c r="BS198" s="259"/>
      <c r="BT198" s="259">
        <v>3.62</v>
      </c>
      <c r="BU198" s="259"/>
      <c r="BV198" s="259"/>
      <c r="BW198" s="259"/>
      <c r="BX198" s="259"/>
      <c r="BY198" s="259"/>
      <c r="BZ198" s="259"/>
      <c r="CA198" s="259"/>
      <c r="CB198" s="259"/>
      <c r="CC198" s="259"/>
      <c r="CD198" s="159">
        <v>0</v>
      </c>
      <c r="CE198" s="159"/>
      <c r="CF198" s="159">
        <v>-3</v>
      </c>
      <c r="CG198" s="159">
        <v>-0.05</v>
      </c>
      <c r="CH198" s="159">
        <v>197</v>
      </c>
    </row>
    <row r="199" spans="1:86" x14ac:dyDescent="0.25">
      <c r="A199" s="241" t="s">
        <v>794</v>
      </c>
      <c r="B199" s="241">
        <v>0</v>
      </c>
      <c r="C199" s="241">
        <v>700</v>
      </c>
      <c r="D199" s="241">
        <v>100</v>
      </c>
      <c r="E199" s="241" t="s">
        <v>48</v>
      </c>
      <c r="F199" s="241" t="s">
        <v>239</v>
      </c>
      <c r="G199" s="265">
        <v>8860000</v>
      </c>
      <c r="H199" s="250">
        <v>73.983282435619998</v>
      </c>
      <c r="I199" s="250">
        <v>8.3027748803838577</v>
      </c>
      <c r="J199" s="250">
        <v>11.129289566897105</v>
      </c>
      <c r="K199" s="250">
        <v>4.322863058190169</v>
      </c>
      <c r="L199" s="250">
        <v>0</v>
      </c>
      <c r="M199" s="250">
        <v>0</v>
      </c>
      <c r="N199" s="250">
        <v>0.76230513632657826</v>
      </c>
      <c r="O199" s="250">
        <v>0</v>
      </c>
      <c r="P199" s="250">
        <v>0</v>
      </c>
      <c r="Q199" s="250">
        <v>0.98666418263784428</v>
      </c>
      <c r="R199" s="250">
        <v>0.51282073994443611</v>
      </c>
      <c r="S199" s="250">
        <v>0</v>
      </c>
      <c r="T199" s="250">
        <v>0</v>
      </c>
      <c r="U199" s="250">
        <v>0</v>
      </c>
      <c r="V199" s="250">
        <v>0</v>
      </c>
      <c r="W199" s="250">
        <v>0</v>
      </c>
      <c r="X199" s="250">
        <v>0</v>
      </c>
      <c r="Y199" s="250">
        <v>0</v>
      </c>
      <c r="Z199" s="250">
        <v>0</v>
      </c>
      <c r="AA199" s="250">
        <v>0</v>
      </c>
      <c r="AB199" s="250">
        <v>0</v>
      </c>
      <c r="AC199" s="250">
        <v>0</v>
      </c>
      <c r="AD199" s="250">
        <v>0</v>
      </c>
      <c r="AE199" s="250">
        <v>0</v>
      </c>
      <c r="AF199" s="250">
        <v>-124.3774896678361</v>
      </c>
      <c r="AG199" s="250">
        <v>-121.74823772574202</v>
      </c>
      <c r="AH199" s="250">
        <v>10</v>
      </c>
      <c r="AI199" s="250">
        <v>8</v>
      </c>
      <c r="AJ199" s="250">
        <v>1</v>
      </c>
      <c r="AK199" s="241" t="s">
        <v>245</v>
      </c>
      <c r="AL199" s="241" t="s">
        <v>230</v>
      </c>
      <c r="AM199" s="241"/>
      <c r="AN199" s="241">
        <v>0</v>
      </c>
      <c r="AO199" s="241"/>
      <c r="AP199" s="241"/>
      <c r="AQ199" s="241"/>
      <c r="AR199" s="241"/>
      <c r="AS199" s="241"/>
      <c r="AT199" s="241"/>
      <c r="AU199" s="241"/>
      <c r="AV199" s="241"/>
      <c r="AW199" s="241"/>
      <c r="AX199" s="241"/>
      <c r="AY199" s="241">
        <v>3.22</v>
      </c>
      <c r="AZ199" s="241"/>
      <c r="BA199" s="241"/>
      <c r="BB199" s="241"/>
      <c r="BC199" s="258"/>
      <c r="BD199" s="258"/>
      <c r="BE199" s="258"/>
      <c r="BF199" s="258">
        <v>13.1</v>
      </c>
      <c r="BG199" s="258"/>
      <c r="BH199" s="258"/>
      <c r="BI199" s="258"/>
      <c r="BJ199" s="258"/>
      <c r="BK199" s="258"/>
      <c r="BL199" s="258"/>
      <c r="BM199" s="258"/>
      <c r="BN199" s="258"/>
      <c r="BO199" s="258"/>
      <c r="BP199" s="258"/>
      <c r="BQ199" s="258"/>
      <c r="BR199" s="258">
        <v>3.58</v>
      </c>
      <c r="BS199" s="258"/>
      <c r="BT199" s="258">
        <v>3.09</v>
      </c>
      <c r="BU199" s="258"/>
      <c r="BV199" s="258"/>
      <c r="BW199" s="258"/>
      <c r="BX199" s="258"/>
      <c r="BY199" s="258"/>
      <c r="BZ199" s="258"/>
      <c r="CA199" s="258"/>
      <c r="CB199" s="258">
        <v>60</v>
      </c>
      <c r="CC199" s="258"/>
      <c r="CD199" s="241">
        <v>0</v>
      </c>
      <c r="CE199" s="241"/>
      <c r="CF199" s="241">
        <v>-3</v>
      </c>
      <c r="CG199" s="241">
        <v>-0.05</v>
      </c>
      <c r="CH199" s="241">
        <v>198</v>
      </c>
    </row>
    <row r="200" spans="1:86" x14ac:dyDescent="0.25">
      <c r="A200" s="159" t="s">
        <v>795</v>
      </c>
      <c r="B200" s="159">
        <v>0</v>
      </c>
      <c r="C200" s="159">
        <v>700</v>
      </c>
      <c r="D200" s="159">
        <v>100</v>
      </c>
      <c r="E200" s="159" t="s">
        <v>48</v>
      </c>
      <c r="F200" s="159" t="s">
        <v>239</v>
      </c>
      <c r="G200" s="264">
        <v>8860000</v>
      </c>
      <c r="H200" s="249">
        <v>73.983282435619998</v>
      </c>
      <c r="I200" s="249">
        <v>8.3027748803838577</v>
      </c>
      <c r="J200" s="249">
        <v>11.129289566897105</v>
      </c>
      <c r="K200" s="249">
        <v>4.322863058190169</v>
      </c>
      <c r="L200" s="249">
        <v>0</v>
      </c>
      <c r="M200" s="249">
        <v>0</v>
      </c>
      <c r="N200" s="249">
        <v>0.76230513632657826</v>
      </c>
      <c r="O200" s="249">
        <v>0</v>
      </c>
      <c r="P200" s="249">
        <v>0</v>
      </c>
      <c r="Q200" s="249">
        <v>0.98666418263784428</v>
      </c>
      <c r="R200" s="249">
        <v>0.51282073994443611</v>
      </c>
      <c r="S200" s="249">
        <v>0</v>
      </c>
      <c r="T200" s="249">
        <v>0</v>
      </c>
      <c r="U200" s="249">
        <v>0</v>
      </c>
      <c r="V200" s="249">
        <v>0</v>
      </c>
      <c r="W200" s="249">
        <v>0</v>
      </c>
      <c r="X200" s="249">
        <v>0</v>
      </c>
      <c r="Y200" s="249">
        <v>0</v>
      </c>
      <c r="Z200" s="249">
        <v>0</v>
      </c>
      <c r="AA200" s="249">
        <v>0</v>
      </c>
      <c r="AB200" s="249">
        <v>0</v>
      </c>
      <c r="AC200" s="249">
        <v>0</v>
      </c>
      <c r="AD200" s="249">
        <v>0</v>
      </c>
      <c r="AE200" s="249">
        <v>0</v>
      </c>
      <c r="AF200" s="249">
        <v>-124.3774896678361</v>
      </c>
      <c r="AG200" s="249">
        <v>-121.74823772574202</v>
      </c>
      <c r="AH200" s="249">
        <v>10</v>
      </c>
      <c r="AI200" s="249">
        <v>8</v>
      </c>
      <c r="AJ200" s="249">
        <v>1</v>
      </c>
      <c r="AK200" s="159" t="s">
        <v>245</v>
      </c>
      <c r="AL200" s="159" t="s">
        <v>230</v>
      </c>
      <c r="AM200" s="159"/>
      <c r="AN200" s="159">
        <v>0</v>
      </c>
      <c r="AO200" s="159"/>
      <c r="AP200" s="159"/>
      <c r="AQ200" s="159"/>
      <c r="AR200" s="159"/>
      <c r="AS200" s="159"/>
      <c r="AT200" s="159"/>
      <c r="AU200" s="159"/>
      <c r="AV200" s="159"/>
      <c r="AW200" s="159"/>
      <c r="AX200" s="159"/>
      <c r="AY200" s="159">
        <v>3.22</v>
      </c>
      <c r="AZ200" s="159"/>
      <c r="BA200" s="159"/>
      <c r="BB200" s="159"/>
      <c r="BC200" s="259"/>
      <c r="BD200" s="259"/>
      <c r="BE200" s="259"/>
      <c r="BF200" s="259">
        <v>13.1</v>
      </c>
      <c r="BG200" s="259"/>
      <c r="BH200" s="259"/>
      <c r="BI200" s="259"/>
      <c r="BJ200" s="259"/>
      <c r="BK200" s="259"/>
      <c r="BL200" s="259"/>
      <c r="BM200" s="259"/>
      <c r="BN200" s="259"/>
      <c r="BO200" s="259">
        <v>0.66</v>
      </c>
      <c r="BP200" s="259">
        <v>2.71</v>
      </c>
      <c r="BQ200" s="259"/>
      <c r="BR200" s="259">
        <v>2315.0100000000002</v>
      </c>
      <c r="BS200" s="259"/>
      <c r="BT200" s="259">
        <v>4.87</v>
      </c>
      <c r="BU200" s="259"/>
      <c r="BV200" s="259"/>
      <c r="BW200" s="259"/>
      <c r="BX200" s="259"/>
      <c r="BY200" s="259"/>
      <c r="BZ200" s="259"/>
      <c r="CA200" s="259">
        <v>409.48</v>
      </c>
      <c r="CB200" s="259">
        <v>1200</v>
      </c>
      <c r="CC200" s="259"/>
      <c r="CD200" s="159">
        <v>0</v>
      </c>
      <c r="CE200" s="159"/>
      <c r="CF200" s="159">
        <v>-9</v>
      </c>
      <c r="CG200" s="159">
        <v>-0.3</v>
      </c>
      <c r="CH200" s="159">
        <v>199</v>
      </c>
    </row>
    <row r="201" spans="1:86" ht="16.5" thickBot="1" x14ac:dyDescent="0.3">
      <c r="A201" s="242" t="s">
        <v>796</v>
      </c>
      <c r="B201" s="242">
        <v>0</v>
      </c>
      <c r="C201" s="242">
        <v>700</v>
      </c>
      <c r="D201" s="242">
        <v>100</v>
      </c>
      <c r="E201" s="242" t="s">
        <v>48</v>
      </c>
      <c r="F201" s="242" t="s">
        <v>239</v>
      </c>
      <c r="G201" s="266">
        <v>8860000</v>
      </c>
      <c r="H201" s="251">
        <v>73.983282435619998</v>
      </c>
      <c r="I201" s="251">
        <v>8.3027748803838577</v>
      </c>
      <c r="J201" s="251">
        <v>11.129289566897105</v>
      </c>
      <c r="K201" s="251">
        <v>4.322863058190169</v>
      </c>
      <c r="L201" s="251">
        <v>0</v>
      </c>
      <c r="M201" s="251">
        <v>0</v>
      </c>
      <c r="N201" s="251">
        <v>0.76230513632657826</v>
      </c>
      <c r="O201" s="251">
        <v>0</v>
      </c>
      <c r="P201" s="251">
        <v>0</v>
      </c>
      <c r="Q201" s="251">
        <v>0.98666418263784428</v>
      </c>
      <c r="R201" s="251">
        <v>0.51282073994443611</v>
      </c>
      <c r="S201" s="251">
        <v>0</v>
      </c>
      <c r="T201" s="251">
        <v>0</v>
      </c>
      <c r="U201" s="251">
        <v>0</v>
      </c>
      <c r="V201" s="251">
        <v>0</v>
      </c>
      <c r="W201" s="251">
        <v>0</v>
      </c>
      <c r="X201" s="251">
        <v>0</v>
      </c>
      <c r="Y201" s="251">
        <v>0</v>
      </c>
      <c r="Z201" s="251">
        <v>0</v>
      </c>
      <c r="AA201" s="251">
        <v>0</v>
      </c>
      <c r="AB201" s="251">
        <v>0</v>
      </c>
      <c r="AC201" s="251">
        <v>0</v>
      </c>
      <c r="AD201" s="251">
        <v>0</v>
      </c>
      <c r="AE201" s="251">
        <v>0</v>
      </c>
      <c r="AF201" s="251">
        <v>-124.3774896678361</v>
      </c>
      <c r="AG201" s="251">
        <v>-121.74823772574202</v>
      </c>
      <c r="AH201" s="251">
        <v>10</v>
      </c>
      <c r="AI201" s="251">
        <v>8</v>
      </c>
      <c r="AJ201" s="251">
        <v>1</v>
      </c>
      <c r="AK201" s="242" t="s">
        <v>245</v>
      </c>
      <c r="AL201" s="242" t="s">
        <v>230</v>
      </c>
      <c r="AM201" s="242"/>
      <c r="AN201" s="242">
        <v>0</v>
      </c>
      <c r="AO201" s="242"/>
      <c r="AP201" s="242"/>
      <c r="AQ201" s="242"/>
      <c r="AR201" s="242"/>
      <c r="AS201" s="242"/>
      <c r="AT201" s="242"/>
      <c r="AU201" s="242"/>
      <c r="AV201" s="242"/>
      <c r="AW201" s="242"/>
      <c r="AX201" s="242"/>
      <c r="AY201" s="242">
        <v>3.22</v>
      </c>
      <c r="AZ201" s="242"/>
      <c r="BA201" s="242"/>
      <c r="BB201" s="242"/>
      <c r="BC201" s="261"/>
      <c r="BD201" s="261"/>
      <c r="BE201" s="261"/>
      <c r="BF201" s="261">
        <v>13.1</v>
      </c>
      <c r="BG201" s="261"/>
      <c r="BH201" s="261"/>
      <c r="BI201" s="261"/>
      <c r="BJ201" s="261"/>
      <c r="BK201" s="261"/>
      <c r="BL201" s="261"/>
      <c r="BM201" s="261"/>
      <c r="BN201" s="261"/>
      <c r="BO201" s="261">
        <v>14.09</v>
      </c>
      <c r="BP201" s="261">
        <v>36.25</v>
      </c>
      <c r="BQ201" s="261"/>
      <c r="BR201" s="261">
        <v>11803.87</v>
      </c>
      <c r="BS201" s="261"/>
      <c r="BT201" s="261">
        <v>36.479999999999997</v>
      </c>
      <c r="BU201" s="261"/>
      <c r="BV201" s="261"/>
      <c r="BW201" s="261"/>
      <c r="BX201" s="261"/>
      <c r="BY201" s="261"/>
      <c r="BZ201" s="261"/>
      <c r="CA201" s="261">
        <v>2476.27</v>
      </c>
      <c r="CB201" s="261">
        <v>12000</v>
      </c>
      <c r="CC201" s="261"/>
      <c r="CD201" s="242">
        <v>0</v>
      </c>
      <c r="CE201" s="242"/>
      <c r="CF201" s="242">
        <v>-34</v>
      </c>
      <c r="CG201" s="242">
        <v>-2.42</v>
      </c>
      <c r="CH201" s="242">
        <v>200</v>
      </c>
    </row>
    <row r="202" spans="1:86" x14ac:dyDescent="0.25">
      <c r="A202" s="159" t="s">
        <v>797</v>
      </c>
      <c r="B202" s="159">
        <v>0</v>
      </c>
      <c r="C202" s="159">
        <v>850</v>
      </c>
      <c r="D202" s="159">
        <v>500</v>
      </c>
      <c r="E202" s="159" t="s">
        <v>233</v>
      </c>
      <c r="F202" s="159" t="s">
        <v>251</v>
      </c>
      <c r="G202" s="264">
        <v>8900000</v>
      </c>
      <c r="H202" s="249">
        <v>99.405007211082889</v>
      </c>
      <c r="I202" s="249">
        <v>0</v>
      </c>
      <c r="J202" s="249">
        <v>0</v>
      </c>
      <c r="K202" s="249">
        <v>5.2545171415407883E-2</v>
      </c>
      <c r="L202" s="249">
        <v>0</v>
      </c>
      <c r="M202" s="249">
        <v>1.9919550813171767E-2</v>
      </c>
      <c r="N202" s="249">
        <v>0.20297891753716812</v>
      </c>
      <c r="O202" s="249">
        <v>0</v>
      </c>
      <c r="P202" s="249">
        <v>2.4521811769797626E-2</v>
      </c>
      <c r="Q202" s="249">
        <v>0.18805148032719665</v>
      </c>
      <c r="R202" s="249">
        <v>9.7740143998352388E-2</v>
      </c>
      <c r="S202" s="249">
        <v>9.2357130560205523E-3</v>
      </c>
      <c r="T202" s="249">
        <v>0</v>
      </c>
      <c r="U202" s="249">
        <v>0</v>
      </c>
      <c r="V202" s="249">
        <v>0</v>
      </c>
      <c r="W202" s="249">
        <v>0</v>
      </c>
      <c r="X202" s="249">
        <v>0</v>
      </c>
      <c r="Y202" s="249">
        <v>0</v>
      </c>
      <c r="Z202" s="249">
        <v>0</v>
      </c>
      <c r="AA202" s="249">
        <v>0</v>
      </c>
      <c r="AB202" s="249">
        <v>0</v>
      </c>
      <c r="AC202" s="249">
        <v>0</v>
      </c>
      <c r="AD202" s="249">
        <v>0</v>
      </c>
      <c r="AE202" s="249">
        <v>0</v>
      </c>
      <c r="AF202" s="249">
        <v>-116.51724624395071</v>
      </c>
      <c r="AG202" s="249">
        <v>-60.821750226979574</v>
      </c>
      <c r="AH202" s="159">
        <v>32</v>
      </c>
      <c r="AI202" s="159">
        <v>13</v>
      </c>
      <c r="AJ202" s="159">
        <v>1.5</v>
      </c>
      <c r="AK202" s="159" t="s">
        <v>245</v>
      </c>
      <c r="AL202" s="159" t="s">
        <v>230</v>
      </c>
      <c r="AM202" s="159"/>
      <c r="AN202" s="159">
        <v>0</v>
      </c>
      <c r="AO202" s="159"/>
      <c r="AP202" s="159"/>
      <c r="AQ202" s="159"/>
      <c r="AR202" s="159"/>
      <c r="AS202" s="159"/>
      <c r="AT202" s="249"/>
      <c r="AU202" s="249"/>
      <c r="AV202" s="249"/>
      <c r="AW202" s="159"/>
      <c r="AX202" s="159"/>
      <c r="AY202" s="159"/>
      <c r="AZ202" s="159"/>
      <c r="BA202" s="159"/>
      <c r="BB202" s="159"/>
      <c r="BC202" s="259"/>
      <c r="BD202" s="259"/>
      <c r="BE202" s="259"/>
      <c r="BF202" s="259"/>
      <c r="BG202" s="259"/>
      <c r="BH202" s="259"/>
      <c r="BI202" s="259"/>
      <c r="BJ202" s="259"/>
      <c r="BK202" s="259"/>
      <c r="BL202" s="259"/>
      <c r="BM202" s="259"/>
      <c r="BN202" s="259"/>
      <c r="BO202" s="259"/>
      <c r="BP202" s="259"/>
      <c r="BQ202" s="259"/>
      <c r="BR202" s="259"/>
      <c r="BS202" s="259"/>
      <c r="BT202" s="259"/>
      <c r="BU202" s="259"/>
      <c r="BV202" s="259"/>
      <c r="BW202" s="259"/>
      <c r="BX202" s="259"/>
      <c r="BY202" s="259"/>
      <c r="BZ202" s="259"/>
      <c r="CA202" s="259"/>
      <c r="CB202" s="259"/>
      <c r="CC202" s="259"/>
      <c r="CD202" s="159">
        <v>0</v>
      </c>
      <c r="CE202" s="159"/>
      <c r="CF202" s="159"/>
      <c r="CG202" s="159">
        <v>-0.1</v>
      </c>
      <c r="CH202" s="159">
        <v>201</v>
      </c>
    </row>
    <row r="203" spans="1:86" ht="16.5" thickBot="1" x14ac:dyDescent="0.3">
      <c r="A203" s="242" t="s">
        <v>798</v>
      </c>
      <c r="B203" s="242">
        <v>0</v>
      </c>
      <c r="C203" s="242">
        <v>850</v>
      </c>
      <c r="D203" s="242">
        <v>500</v>
      </c>
      <c r="E203" s="242" t="s">
        <v>233</v>
      </c>
      <c r="F203" s="242" t="s">
        <v>250</v>
      </c>
      <c r="G203" s="266">
        <v>7940000</v>
      </c>
      <c r="H203" s="251">
        <v>29.853286811557286</v>
      </c>
      <c r="I203" s="251">
        <v>21.780057959342944</v>
      </c>
      <c r="J203" s="251">
        <v>0</v>
      </c>
      <c r="K203" s="251">
        <v>44.946720488780194</v>
      </c>
      <c r="L203" s="251">
        <v>0</v>
      </c>
      <c r="M203" s="251">
        <v>0</v>
      </c>
      <c r="N203" s="251">
        <v>0.76724059632432517</v>
      </c>
      <c r="O203" s="251">
        <v>1.0278617290112175</v>
      </c>
      <c r="P203" s="251">
        <v>0.66041672804561968</v>
      </c>
      <c r="Q203" s="251">
        <v>0.25668367592267316</v>
      </c>
      <c r="R203" s="251">
        <v>0.32326722088436061</v>
      </c>
      <c r="S203" s="251">
        <v>0.36655603362591699</v>
      </c>
      <c r="T203" s="251">
        <v>0</v>
      </c>
      <c r="U203" s="251">
        <v>0</v>
      </c>
      <c r="V203" s="251">
        <v>1.7908756505471524E-2</v>
      </c>
      <c r="W203" s="251">
        <v>0</v>
      </c>
      <c r="X203" s="251">
        <v>0</v>
      </c>
      <c r="Y203" s="251">
        <v>0</v>
      </c>
      <c r="Z203" s="251">
        <v>0</v>
      </c>
      <c r="AA203" s="251">
        <v>0</v>
      </c>
      <c r="AB203" s="251">
        <v>0</v>
      </c>
      <c r="AC203" s="251">
        <v>0</v>
      </c>
      <c r="AD203" s="251">
        <v>0</v>
      </c>
      <c r="AE203" s="251">
        <v>0</v>
      </c>
      <c r="AF203" s="251">
        <v>-130.21999024067256</v>
      </c>
      <c r="AG203" s="251">
        <v>-60.821750226979574</v>
      </c>
      <c r="AH203" s="242">
        <v>32</v>
      </c>
      <c r="AI203" s="242">
        <v>13</v>
      </c>
      <c r="AJ203" s="242">
        <v>1.5</v>
      </c>
      <c r="AK203" s="242" t="s">
        <v>245</v>
      </c>
      <c r="AL203" s="242" t="s">
        <v>230</v>
      </c>
      <c r="AM203" s="242"/>
      <c r="AN203" s="242">
        <v>0</v>
      </c>
      <c r="AO203" s="242"/>
      <c r="AP203" s="242"/>
      <c r="AQ203" s="242"/>
      <c r="AR203" s="242"/>
      <c r="AS203" s="242"/>
      <c r="AT203" s="251"/>
      <c r="AU203" s="251"/>
      <c r="AV203" s="251"/>
      <c r="AW203" s="242"/>
      <c r="AX203" s="242"/>
      <c r="AY203" s="242"/>
      <c r="AZ203" s="242"/>
      <c r="BA203" s="242"/>
      <c r="BB203" s="242"/>
      <c r="BC203" s="261"/>
      <c r="BD203" s="261"/>
      <c r="BE203" s="261"/>
      <c r="BF203" s="261"/>
      <c r="BG203" s="261"/>
      <c r="BH203" s="261"/>
      <c r="BI203" s="261"/>
      <c r="BJ203" s="261"/>
      <c r="BK203" s="261"/>
      <c r="BL203" s="261"/>
      <c r="BM203" s="261"/>
      <c r="BN203" s="261"/>
      <c r="BO203" s="261"/>
      <c r="BP203" s="261"/>
      <c r="BQ203" s="261"/>
      <c r="BR203" s="261"/>
      <c r="BS203" s="261"/>
      <c r="BT203" s="261"/>
      <c r="BU203" s="261"/>
      <c r="BV203" s="261"/>
      <c r="BW203" s="261"/>
      <c r="BX203" s="261"/>
      <c r="BY203" s="261"/>
      <c r="BZ203" s="261"/>
      <c r="CA203" s="261"/>
      <c r="CB203" s="261"/>
      <c r="CC203" s="261"/>
      <c r="CD203" s="242">
        <v>0</v>
      </c>
      <c r="CE203" s="242"/>
      <c r="CF203" s="242"/>
      <c r="CG203" s="242">
        <v>-28.6</v>
      </c>
      <c r="CH203" s="242">
        <v>202</v>
      </c>
    </row>
    <row r="204" spans="1:86" x14ac:dyDescent="0.25">
      <c r="A204" s="241" t="s">
        <v>799</v>
      </c>
      <c r="B204" s="241">
        <v>0</v>
      </c>
      <c r="C204" s="241">
        <v>600</v>
      </c>
      <c r="D204" s="241">
        <v>48</v>
      </c>
      <c r="E204" s="241" t="s">
        <v>48</v>
      </c>
      <c r="F204" s="241" t="s">
        <v>409</v>
      </c>
      <c r="G204" s="265">
        <v>7930000</v>
      </c>
      <c r="H204" s="250">
        <v>7.4404581350516272</v>
      </c>
      <c r="I204" s="250">
        <v>18.894828805363559</v>
      </c>
      <c r="J204" s="250">
        <v>0</v>
      </c>
      <c r="K204" s="250">
        <v>69.240441290391942</v>
      </c>
      <c r="L204" s="250">
        <v>0</v>
      </c>
      <c r="M204" s="250">
        <v>0</v>
      </c>
      <c r="N204" s="250">
        <v>1.9870790314260103</v>
      </c>
      <c r="O204" s="250">
        <v>0</v>
      </c>
      <c r="P204" s="250">
        <v>0</v>
      </c>
      <c r="Q204" s="250">
        <v>1.9432203984789072</v>
      </c>
      <c r="R204" s="250">
        <v>0.36359740878116575</v>
      </c>
      <c r="S204" s="250">
        <v>0</v>
      </c>
      <c r="T204" s="250">
        <v>0</v>
      </c>
      <c r="U204" s="250">
        <v>0</v>
      </c>
      <c r="V204" s="250">
        <v>7.9313133506530908E-2</v>
      </c>
      <c r="W204" s="250">
        <v>5.1061797000254913E-2</v>
      </c>
      <c r="X204" s="250">
        <v>0</v>
      </c>
      <c r="Y204" s="250">
        <v>0</v>
      </c>
      <c r="Z204" s="250">
        <v>0</v>
      </c>
      <c r="AA204" s="250">
        <v>0</v>
      </c>
      <c r="AB204" s="250">
        <v>0</v>
      </c>
      <c r="AC204" s="250">
        <v>0</v>
      </c>
      <c r="AD204" s="250">
        <v>0</v>
      </c>
      <c r="AE204" s="250">
        <v>0</v>
      </c>
      <c r="AF204" s="250">
        <v>-141.56327052462905</v>
      </c>
      <c r="AG204" s="250">
        <v>-125.32307267842094</v>
      </c>
      <c r="AH204" s="241">
        <v>10</v>
      </c>
      <c r="AI204" s="241">
        <v>5</v>
      </c>
      <c r="AJ204" s="241">
        <v>2</v>
      </c>
      <c r="AK204" s="241" t="s">
        <v>245</v>
      </c>
      <c r="AL204" s="241" t="s">
        <v>247</v>
      </c>
      <c r="AM204" s="241"/>
      <c r="AN204" s="241">
        <v>0</v>
      </c>
      <c r="AO204" s="241"/>
      <c r="AP204" s="241"/>
      <c r="AQ204" s="241"/>
      <c r="AR204" s="241"/>
      <c r="AS204" s="241"/>
      <c r="AT204" s="250"/>
      <c r="AU204" s="250"/>
      <c r="AV204" s="250"/>
      <c r="AW204" s="241"/>
      <c r="AX204" s="241"/>
      <c r="AY204" s="241"/>
      <c r="AZ204" s="241"/>
      <c r="BA204" s="241"/>
      <c r="BB204" s="241"/>
      <c r="BC204" s="258"/>
      <c r="BD204" s="258"/>
      <c r="BE204" s="258"/>
      <c r="BF204" s="258"/>
      <c r="BG204" s="258"/>
      <c r="BH204" s="258">
        <v>0</v>
      </c>
      <c r="BI204" s="258"/>
      <c r="BJ204" s="258"/>
      <c r="BK204" s="258"/>
      <c r="BL204" s="258"/>
      <c r="BM204" s="258"/>
      <c r="BN204" s="258"/>
      <c r="BO204" s="258"/>
      <c r="BP204" s="258"/>
      <c r="BQ204" s="258"/>
      <c r="BR204" s="258"/>
      <c r="BS204" s="258"/>
      <c r="BT204" s="258"/>
      <c r="BU204" s="258"/>
      <c r="BV204" s="258"/>
      <c r="BW204" s="258"/>
      <c r="BX204" s="258"/>
      <c r="BY204" s="258"/>
      <c r="BZ204" s="258"/>
      <c r="CA204" s="258"/>
      <c r="CB204" s="258"/>
      <c r="CC204" s="258"/>
      <c r="CD204" s="241">
        <v>0</v>
      </c>
      <c r="CE204" s="241"/>
      <c r="CF204" s="241">
        <v>-70.900000000000006</v>
      </c>
      <c r="CG204" s="241"/>
      <c r="CH204" s="241">
        <v>203</v>
      </c>
    </row>
    <row r="205" spans="1:86" x14ac:dyDescent="0.25">
      <c r="A205" s="159" t="s">
        <v>800</v>
      </c>
      <c r="B205" s="159">
        <v>0</v>
      </c>
      <c r="C205" s="159">
        <v>600</v>
      </c>
      <c r="D205" s="159">
        <v>48</v>
      </c>
      <c r="E205" s="159" t="s">
        <v>48</v>
      </c>
      <c r="F205" s="159" t="s">
        <v>409</v>
      </c>
      <c r="G205" s="264">
        <v>7930000</v>
      </c>
      <c r="H205" s="249">
        <v>7.4404581350516272</v>
      </c>
      <c r="I205" s="249">
        <v>18.894828805363559</v>
      </c>
      <c r="J205" s="249">
        <v>0</v>
      </c>
      <c r="K205" s="249">
        <v>69.240441290391942</v>
      </c>
      <c r="L205" s="249">
        <v>0</v>
      </c>
      <c r="M205" s="249">
        <v>0</v>
      </c>
      <c r="N205" s="249">
        <v>1.9870790314260103</v>
      </c>
      <c r="O205" s="249">
        <v>0</v>
      </c>
      <c r="P205" s="249">
        <v>0</v>
      </c>
      <c r="Q205" s="249">
        <v>1.9432203984789072</v>
      </c>
      <c r="R205" s="249">
        <v>0.36359740878116575</v>
      </c>
      <c r="S205" s="249">
        <v>0</v>
      </c>
      <c r="T205" s="249">
        <v>0</v>
      </c>
      <c r="U205" s="249">
        <v>0</v>
      </c>
      <c r="V205" s="249">
        <v>7.9313133506530908E-2</v>
      </c>
      <c r="W205" s="249">
        <v>5.1061797000254913E-2</v>
      </c>
      <c r="X205" s="249">
        <v>0</v>
      </c>
      <c r="Y205" s="249">
        <v>0</v>
      </c>
      <c r="Z205" s="249">
        <v>0</v>
      </c>
      <c r="AA205" s="249">
        <v>0</v>
      </c>
      <c r="AB205" s="249">
        <v>0</v>
      </c>
      <c r="AC205" s="249">
        <v>0</v>
      </c>
      <c r="AD205" s="249">
        <v>0</v>
      </c>
      <c r="AE205" s="249">
        <v>0</v>
      </c>
      <c r="AF205" s="249">
        <v>-141.56327052462905</v>
      </c>
      <c r="AG205" s="249">
        <v>-125.32307267842094</v>
      </c>
      <c r="AH205" s="159">
        <v>10</v>
      </c>
      <c r="AI205" s="159">
        <v>5</v>
      </c>
      <c r="AJ205" s="159">
        <v>2</v>
      </c>
      <c r="AK205" s="159" t="s">
        <v>245</v>
      </c>
      <c r="AL205" s="159" t="s">
        <v>247</v>
      </c>
      <c r="AM205" s="159"/>
      <c r="AN205" s="159">
        <v>0</v>
      </c>
      <c r="AO205" s="159"/>
      <c r="AP205" s="159"/>
      <c r="AQ205" s="159"/>
      <c r="AR205" s="159"/>
      <c r="AS205" s="159"/>
      <c r="AT205" s="249"/>
      <c r="AU205" s="249"/>
      <c r="AV205" s="249"/>
      <c r="AW205" s="159"/>
      <c r="AX205" s="159"/>
      <c r="AY205" s="159"/>
      <c r="AZ205" s="159"/>
      <c r="BA205" s="159"/>
      <c r="BB205" s="159"/>
      <c r="BC205" s="259"/>
      <c r="BD205" s="259"/>
      <c r="BE205" s="259"/>
      <c r="BF205" s="259"/>
      <c r="BG205" s="259"/>
      <c r="BH205" s="259">
        <v>1000</v>
      </c>
      <c r="BI205" s="259"/>
      <c r="BJ205" s="259"/>
      <c r="BK205" s="259"/>
      <c r="BL205" s="259"/>
      <c r="BM205" s="259"/>
      <c r="BN205" s="259"/>
      <c r="BO205" s="259"/>
      <c r="BP205" s="259"/>
      <c r="BQ205" s="259"/>
      <c r="BR205" s="259"/>
      <c r="BS205" s="259"/>
      <c r="BT205" s="259"/>
      <c r="BU205" s="259"/>
      <c r="BV205" s="259"/>
      <c r="BW205" s="259"/>
      <c r="BX205" s="259"/>
      <c r="BY205" s="259"/>
      <c r="BZ205" s="259"/>
      <c r="CA205" s="259"/>
      <c r="CB205" s="259"/>
      <c r="CC205" s="259"/>
      <c r="CD205" s="159">
        <v>0</v>
      </c>
      <c r="CE205" s="159"/>
      <c r="CF205" s="159">
        <v>-189.7</v>
      </c>
      <c r="CG205" s="159"/>
      <c r="CH205" s="159">
        <v>204</v>
      </c>
    </row>
    <row r="206" spans="1:86" x14ac:dyDescent="0.25">
      <c r="A206" s="241" t="s">
        <v>801</v>
      </c>
      <c r="B206" s="241">
        <v>0</v>
      </c>
      <c r="C206" s="241">
        <v>600</v>
      </c>
      <c r="D206" s="241">
        <v>48</v>
      </c>
      <c r="E206" s="241" t="s">
        <v>48</v>
      </c>
      <c r="F206" s="241" t="s">
        <v>409</v>
      </c>
      <c r="G206" s="265">
        <v>7930000</v>
      </c>
      <c r="H206" s="250">
        <v>7.4404581350516272</v>
      </c>
      <c r="I206" s="250">
        <v>18.894828805363559</v>
      </c>
      <c r="J206" s="250">
        <v>0</v>
      </c>
      <c r="K206" s="250">
        <v>69.240441290391942</v>
      </c>
      <c r="L206" s="250">
        <v>0</v>
      </c>
      <c r="M206" s="250">
        <v>0</v>
      </c>
      <c r="N206" s="250">
        <v>1.9870790314260103</v>
      </c>
      <c r="O206" s="250">
        <v>0</v>
      </c>
      <c r="P206" s="250">
        <v>0</v>
      </c>
      <c r="Q206" s="250">
        <v>1.9432203984789072</v>
      </c>
      <c r="R206" s="250">
        <v>0.36359740878116575</v>
      </c>
      <c r="S206" s="250">
        <v>0</v>
      </c>
      <c r="T206" s="250">
        <v>0</v>
      </c>
      <c r="U206" s="250">
        <v>0</v>
      </c>
      <c r="V206" s="250">
        <v>7.9313133506530908E-2</v>
      </c>
      <c r="W206" s="250">
        <v>5.1061797000254913E-2</v>
      </c>
      <c r="X206" s="250">
        <v>0</v>
      </c>
      <c r="Y206" s="250">
        <v>0</v>
      </c>
      <c r="Z206" s="250">
        <v>0</v>
      </c>
      <c r="AA206" s="250">
        <v>0</v>
      </c>
      <c r="AB206" s="250">
        <v>0</v>
      </c>
      <c r="AC206" s="250">
        <v>0</v>
      </c>
      <c r="AD206" s="250">
        <v>0</v>
      </c>
      <c r="AE206" s="250">
        <v>0</v>
      </c>
      <c r="AF206" s="250">
        <v>-141.56327052462905</v>
      </c>
      <c r="AG206" s="250">
        <v>-125.32307267842094</v>
      </c>
      <c r="AH206" s="241">
        <v>10</v>
      </c>
      <c r="AI206" s="241">
        <v>5</v>
      </c>
      <c r="AJ206" s="241">
        <v>2</v>
      </c>
      <c r="AK206" s="241" t="s">
        <v>245</v>
      </c>
      <c r="AL206" s="241" t="s">
        <v>247</v>
      </c>
      <c r="AM206" s="241"/>
      <c r="AN206" s="241">
        <v>0</v>
      </c>
      <c r="AO206" s="241"/>
      <c r="AP206" s="241"/>
      <c r="AQ206" s="241"/>
      <c r="AR206" s="241"/>
      <c r="AS206" s="241"/>
      <c r="AT206" s="250"/>
      <c r="AU206" s="250"/>
      <c r="AV206" s="250"/>
      <c r="AW206" s="241"/>
      <c r="AX206" s="241"/>
      <c r="AY206" s="241"/>
      <c r="AZ206" s="241"/>
      <c r="BA206" s="241"/>
      <c r="BB206" s="241"/>
      <c r="BC206" s="258"/>
      <c r="BD206" s="258"/>
      <c r="BE206" s="258"/>
      <c r="BF206" s="258"/>
      <c r="BG206" s="258"/>
      <c r="BH206" s="258">
        <v>5000</v>
      </c>
      <c r="BI206" s="258"/>
      <c r="BJ206" s="258"/>
      <c r="BK206" s="258"/>
      <c r="BL206" s="258"/>
      <c r="BM206" s="258"/>
      <c r="BN206" s="258"/>
      <c r="BO206" s="258"/>
      <c r="BP206" s="258"/>
      <c r="BQ206" s="258"/>
      <c r="BR206" s="258"/>
      <c r="BS206" s="258"/>
      <c r="BT206" s="258"/>
      <c r="BU206" s="258"/>
      <c r="BV206" s="258"/>
      <c r="BW206" s="258"/>
      <c r="BX206" s="258"/>
      <c r="BY206" s="258"/>
      <c r="BZ206" s="258"/>
      <c r="CA206" s="258"/>
      <c r="CB206" s="258"/>
      <c r="CC206" s="258"/>
      <c r="CD206" s="241">
        <v>0</v>
      </c>
      <c r="CE206" s="241"/>
      <c r="CF206" s="241">
        <v>-89.4</v>
      </c>
      <c r="CG206" s="241"/>
      <c r="CH206" s="241">
        <v>205</v>
      </c>
    </row>
    <row r="207" spans="1:86" ht="16.5" thickBot="1" x14ac:dyDescent="0.3">
      <c r="A207" s="160" t="s">
        <v>802</v>
      </c>
      <c r="B207" s="160">
        <v>0</v>
      </c>
      <c r="C207" s="160">
        <v>600</v>
      </c>
      <c r="D207" s="160">
        <v>48</v>
      </c>
      <c r="E207" s="160" t="s">
        <v>48</v>
      </c>
      <c r="F207" s="160" t="s">
        <v>409</v>
      </c>
      <c r="G207" s="267">
        <v>7930000</v>
      </c>
      <c r="H207" s="252">
        <v>7.4404581350516272</v>
      </c>
      <c r="I207" s="252">
        <v>18.894828805363559</v>
      </c>
      <c r="J207" s="252">
        <v>0</v>
      </c>
      <c r="K207" s="252">
        <v>69.240441290391942</v>
      </c>
      <c r="L207" s="252">
        <v>0</v>
      </c>
      <c r="M207" s="252">
        <v>0</v>
      </c>
      <c r="N207" s="252">
        <v>1.9870790314260103</v>
      </c>
      <c r="O207" s="252">
        <v>0</v>
      </c>
      <c r="P207" s="252">
        <v>0</v>
      </c>
      <c r="Q207" s="252">
        <v>1.9432203984789072</v>
      </c>
      <c r="R207" s="252">
        <v>0.36359740878116575</v>
      </c>
      <c r="S207" s="252">
        <v>0</v>
      </c>
      <c r="T207" s="252">
        <v>0</v>
      </c>
      <c r="U207" s="252">
        <v>0</v>
      </c>
      <c r="V207" s="252">
        <v>7.9313133506530908E-2</v>
      </c>
      <c r="W207" s="252">
        <v>5.1061797000254913E-2</v>
      </c>
      <c r="X207" s="252">
        <v>0</v>
      </c>
      <c r="Y207" s="252">
        <v>0</v>
      </c>
      <c r="Z207" s="252">
        <v>0</v>
      </c>
      <c r="AA207" s="252">
        <v>0</v>
      </c>
      <c r="AB207" s="252">
        <v>0</v>
      </c>
      <c r="AC207" s="252">
        <v>0</v>
      </c>
      <c r="AD207" s="252">
        <v>0</v>
      </c>
      <c r="AE207" s="252">
        <v>0</v>
      </c>
      <c r="AF207" s="252">
        <v>-141.56327052462905</v>
      </c>
      <c r="AG207" s="252">
        <v>-125.32307267842094</v>
      </c>
      <c r="AH207" s="160">
        <v>10</v>
      </c>
      <c r="AI207" s="160">
        <v>5</v>
      </c>
      <c r="AJ207" s="160">
        <v>2</v>
      </c>
      <c r="AK207" s="160" t="s">
        <v>245</v>
      </c>
      <c r="AL207" s="160" t="s">
        <v>247</v>
      </c>
      <c r="AM207" s="160"/>
      <c r="AN207" s="160">
        <v>0</v>
      </c>
      <c r="AO207" s="160"/>
      <c r="AP207" s="160"/>
      <c r="AQ207" s="160"/>
      <c r="AR207" s="160"/>
      <c r="AS207" s="160"/>
      <c r="AT207" s="252"/>
      <c r="AU207" s="252"/>
      <c r="AV207" s="252"/>
      <c r="AW207" s="160"/>
      <c r="AX207" s="160"/>
      <c r="AY207" s="160"/>
      <c r="AZ207" s="160"/>
      <c r="BA207" s="160"/>
      <c r="BB207" s="160"/>
      <c r="BC207" s="260"/>
      <c r="BD207" s="260"/>
      <c r="BE207" s="260"/>
      <c r="BF207" s="260"/>
      <c r="BG207" s="260"/>
      <c r="BH207" s="260">
        <v>10000</v>
      </c>
      <c r="BI207" s="260"/>
      <c r="BJ207" s="260"/>
      <c r="BK207" s="260"/>
      <c r="BL207" s="260"/>
      <c r="BM207" s="260"/>
      <c r="BN207" s="260"/>
      <c r="BO207" s="260"/>
      <c r="BP207" s="260"/>
      <c r="BQ207" s="260"/>
      <c r="BR207" s="260"/>
      <c r="BS207" s="260"/>
      <c r="BT207" s="260"/>
      <c r="BU207" s="260"/>
      <c r="BV207" s="260"/>
      <c r="BW207" s="260"/>
      <c r="BX207" s="260"/>
      <c r="BY207" s="260"/>
      <c r="BZ207" s="260"/>
      <c r="CA207" s="260"/>
      <c r="CB207" s="260"/>
      <c r="CC207" s="260"/>
      <c r="CD207" s="160">
        <v>0</v>
      </c>
      <c r="CE207" s="160"/>
      <c r="CF207" s="160">
        <v>-32</v>
      </c>
      <c r="CG207" s="160"/>
      <c r="CH207" s="160">
        <v>206</v>
      </c>
    </row>
    <row r="208" spans="1:86" x14ac:dyDescent="0.25">
      <c r="A208" s="241" t="s">
        <v>803</v>
      </c>
      <c r="B208" s="241">
        <v>0</v>
      </c>
      <c r="C208" s="241">
        <v>750</v>
      </c>
      <c r="D208" s="241">
        <v>300</v>
      </c>
      <c r="E208" s="241" t="s">
        <v>269</v>
      </c>
      <c r="F208" s="241" t="s">
        <v>458</v>
      </c>
      <c r="G208" s="265">
        <v>8300000</v>
      </c>
      <c r="H208" s="250">
        <v>75.232874245137765</v>
      </c>
      <c r="I208" s="250">
        <v>21.898613249254257</v>
      </c>
      <c r="J208" s="250">
        <v>0</v>
      </c>
      <c r="K208" s="250">
        <v>1.0194520044415587</v>
      </c>
      <c r="L208" s="250">
        <v>0</v>
      </c>
      <c r="M208" s="250">
        <v>0</v>
      </c>
      <c r="N208" s="250">
        <v>0</v>
      </c>
      <c r="O208" s="250">
        <v>0.63309556465597905</v>
      </c>
      <c r="P208" s="250">
        <v>0.59469808280824166</v>
      </c>
      <c r="Q208" s="250">
        <v>0</v>
      </c>
      <c r="R208" s="250">
        <v>0.23703744566220261</v>
      </c>
      <c r="S208" s="250">
        <v>0</v>
      </c>
      <c r="T208" s="250">
        <v>0</v>
      </c>
      <c r="U208" s="250">
        <v>0</v>
      </c>
      <c r="V208" s="250">
        <v>0</v>
      </c>
      <c r="W208" s="250">
        <v>0</v>
      </c>
      <c r="X208" s="250">
        <v>0</v>
      </c>
      <c r="Y208" s="250">
        <v>0</v>
      </c>
      <c r="Z208" s="250">
        <v>0</v>
      </c>
      <c r="AA208" s="250">
        <v>0</v>
      </c>
      <c r="AB208" s="250">
        <v>0</v>
      </c>
      <c r="AC208" s="250">
        <v>0</v>
      </c>
      <c r="AD208" s="250">
        <v>0.38422940804000261</v>
      </c>
      <c r="AE208" s="250">
        <v>0</v>
      </c>
      <c r="AF208" s="250">
        <v>-127.14831531311583</v>
      </c>
      <c r="AG208" s="250">
        <v>-62.627031133800095</v>
      </c>
      <c r="AH208" s="241">
        <v>10</v>
      </c>
      <c r="AI208" s="241">
        <v>10</v>
      </c>
      <c r="AJ208" s="241">
        <v>1</v>
      </c>
      <c r="AK208" s="241" t="s">
        <v>245</v>
      </c>
      <c r="AL208" s="241" t="s">
        <v>247</v>
      </c>
      <c r="AM208" s="241"/>
      <c r="AN208" s="241">
        <v>0</v>
      </c>
      <c r="AO208" s="241">
        <v>21.1</v>
      </c>
      <c r="AP208" s="241"/>
      <c r="AQ208" s="241"/>
      <c r="AR208" s="241">
        <v>152</v>
      </c>
      <c r="AS208" s="241">
        <v>61.4</v>
      </c>
      <c r="AT208" s="250">
        <v>32.200000000000003</v>
      </c>
      <c r="AU208" s="250">
        <v>5.88</v>
      </c>
      <c r="AV208" s="250">
        <v>2.96</v>
      </c>
      <c r="AW208" s="241">
        <v>4.42</v>
      </c>
      <c r="AX208" s="241">
        <v>3.2</v>
      </c>
      <c r="AY208" s="241">
        <v>4.42</v>
      </c>
      <c r="AZ208" s="241">
        <v>5.88</v>
      </c>
      <c r="BA208" s="241"/>
      <c r="BB208" s="241"/>
      <c r="BC208" s="258"/>
      <c r="BD208" s="258"/>
      <c r="BE208" s="258">
        <v>17.600000000000001</v>
      </c>
      <c r="BF208" s="258"/>
      <c r="BG208" s="258"/>
      <c r="BH208" s="258"/>
      <c r="BI208" s="258"/>
      <c r="BJ208" s="258"/>
      <c r="BK208" s="258"/>
      <c r="BL208" s="258"/>
      <c r="BM208" s="258"/>
      <c r="BN208" s="258"/>
      <c r="BO208" s="258"/>
      <c r="BP208" s="258"/>
      <c r="BQ208" s="258"/>
      <c r="BR208" s="258"/>
      <c r="BS208" s="258"/>
      <c r="BT208" s="258"/>
      <c r="BU208" s="258"/>
      <c r="BV208" s="258"/>
      <c r="BW208" s="258"/>
      <c r="BX208" s="258"/>
      <c r="BY208" s="258"/>
      <c r="BZ208" s="258"/>
      <c r="CA208" s="258"/>
      <c r="CB208" s="258"/>
      <c r="CC208" s="258"/>
      <c r="CD208" s="241">
        <v>0</v>
      </c>
      <c r="CE208" s="241"/>
      <c r="CF208" s="241"/>
      <c r="CG208" s="241">
        <v>-4.8</v>
      </c>
      <c r="CH208" s="241">
        <v>207</v>
      </c>
    </row>
    <row r="209" spans="1:86" x14ac:dyDescent="0.25">
      <c r="A209" s="159" t="s">
        <v>804</v>
      </c>
      <c r="B209" s="159">
        <v>0</v>
      </c>
      <c r="C209" s="159">
        <v>750</v>
      </c>
      <c r="D209" s="159">
        <v>300</v>
      </c>
      <c r="E209" s="159" t="s">
        <v>269</v>
      </c>
      <c r="F209" s="159" t="s">
        <v>298</v>
      </c>
      <c r="G209" s="264">
        <v>8860000</v>
      </c>
      <c r="H209" s="249">
        <v>71.911970583722621</v>
      </c>
      <c r="I209" s="249">
        <v>8.2019063849681739</v>
      </c>
      <c r="J209" s="249">
        <v>10.158974144425537</v>
      </c>
      <c r="K209" s="249">
        <v>4.3637204964148362</v>
      </c>
      <c r="L209" s="249">
        <v>0.16574659257669244</v>
      </c>
      <c r="M209" s="249">
        <v>2.0678244504052999E-2</v>
      </c>
      <c r="N209" s="249">
        <v>0.88719981698132011</v>
      </c>
      <c r="O209" s="249">
        <v>0.5645704913935522</v>
      </c>
      <c r="P209" s="249">
        <v>0.31819744846037262</v>
      </c>
      <c r="Q209" s="249">
        <v>2.1690440523742311</v>
      </c>
      <c r="R209" s="249">
        <v>0.30438858000595581</v>
      </c>
      <c r="S209" s="249">
        <v>0.33556186626148315</v>
      </c>
      <c r="T209" s="249">
        <v>0</v>
      </c>
      <c r="U209" s="249">
        <v>0.59804129791119121</v>
      </c>
      <c r="V209" s="249">
        <v>0</v>
      </c>
      <c r="W209" s="249">
        <v>0</v>
      </c>
      <c r="X209" s="249">
        <v>0</v>
      </c>
      <c r="Y209" s="249">
        <v>0</v>
      </c>
      <c r="Z209" s="249">
        <v>0</v>
      </c>
      <c r="AA209" s="249">
        <v>0</v>
      </c>
      <c r="AB209" s="249">
        <v>0</v>
      </c>
      <c r="AC209" s="249">
        <v>0</v>
      </c>
      <c r="AD209" s="249">
        <v>0</v>
      </c>
      <c r="AE209" s="249">
        <v>0</v>
      </c>
      <c r="AF209" s="249">
        <v>-124.04680995429123</v>
      </c>
      <c r="AG209" s="249">
        <v>-62.627031133800095</v>
      </c>
      <c r="AH209" s="159">
        <v>10</v>
      </c>
      <c r="AI209" s="159">
        <v>10</v>
      </c>
      <c r="AJ209" s="159">
        <v>1</v>
      </c>
      <c r="AK209" s="159" t="s">
        <v>245</v>
      </c>
      <c r="AL209" s="159" t="s">
        <v>247</v>
      </c>
      <c r="AM209" s="159"/>
      <c r="AN209" s="159">
        <v>0</v>
      </c>
      <c r="AO209" s="159">
        <v>21.1</v>
      </c>
      <c r="AP209" s="159"/>
      <c r="AQ209" s="159"/>
      <c r="AR209" s="159">
        <v>152</v>
      </c>
      <c r="AS209" s="159">
        <v>61.4</v>
      </c>
      <c r="AT209" s="249">
        <v>32.200000000000003</v>
      </c>
      <c r="AU209" s="249">
        <v>5.88</v>
      </c>
      <c r="AV209" s="249">
        <v>2.96</v>
      </c>
      <c r="AW209" s="159">
        <v>4.42</v>
      </c>
      <c r="AX209" s="159">
        <v>3.2</v>
      </c>
      <c r="AY209" s="159">
        <v>4.42</v>
      </c>
      <c r="AZ209" s="159">
        <v>5.88</v>
      </c>
      <c r="BA209" s="159"/>
      <c r="BB209" s="159"/>
      <c r="BC209" s="259"/>
      <c r="BD209" s="259"/>
      <c r="BE209" s="259">
        <v>17.600000000000001</v>
      </c>
      <c r="BF209" s="259"/>
      <c r="BG209" s="259"/>
      <c r="BH209" s="259"/>
      <c r="BI209" s="259"/>
      <c r="BJ209" s="259"/>
      <c r="BK209" s="259"/>
      <c r="BL209" s="259"/>
      <c r="BM209" s="259"/>
      <c r="BN209" s="259"/>
      <c r="BO209" s="259"/>
      <c r="BP209" s="259"/>
      <c r="BQ209" s="259"/>
      <c r="BR209" s="259"/>
      <c r="BS209" s="259"/>
      <c r="BT209" s="259"/>
      <c r="BU209" s="259"/>
      <c r="BV209" s="259"/>
      <c r="BW209" s="259"/>
      <c r="BX209" s="259"/>
      <c r="BY209" s="259"/>
      <c r="BZ209" s="259"/>
      <c r="CA209" s="259"/>
      <c r="CB209" s="259"/>
      <c r="CC209" s="259"/>
      <c r="CD209" s="159">
        <v>0</v>
      </c>
      <c r="CE209" s="159"/>
      <c r="CF209" s="159"/>
      <c r="CG209" s="159">
        <v>-2.5499999999999998</v>
      </c>
      <c r="CH209" s="159">
        <v>208</v>
      </c>
    </row>
    <row r="210" spans="1:86" ht="16.5" thickBot="1" x14ac:dyDescent="0.3">
      <c r="A210" s="242" t="s">
        <v>805</v>
      </c>
      <c r="B210" s="242">
        <v>0</v>
      </c>
      <c r="C210" s="242">
        <v>750</v>
      </c>
      <c r="D210" s="242">
        <v>300</v>
      </c>
      <c r="E210" s="242" t="s">
        <v>269</v>
      </c>
      <c r="F210" s="242" t="s">
        <v>239</v>
      </c>
      <c r="G210" s="266">
        <v>8860000</v>
      </c>
      <c r="H210" s="251">
        <v>71.621746619157307</v>
      </c>
      <c r="I210" s="251">
        <v>8.6857497088102793</v>
      </c>
      <c r="J210" s="251">
        <v>10.494763091264408</v>
      </c>
      <c r="K210" s="251">
        <v>3.8249327276330694</v>
      </c>
      <c r="L210" s="251">
        <v>0.16603644709957008</v>
      </c>
      <c r="M210" s="251">
        <v>2.0714406229018149E-2</v>
      </c>
      <c r="N210" s="251">
        <v>0.88875133533020712</v>
      </c>
      <c r="O210" s="251">
        <v>0.565557801647535</v>
      </c>
      <c r="P210" s="251">
        <v>0.31875390617193422</v>
      </c>
      <c r="Q210" s="251">
        <v>2.1728372358064068</v>
      </c>
      <c r="R210" s="251">
        <v>0.30492088902815306</v>
      </c>
      <c r="S210" s="251">
        <v>0.33614869054021546</v>
      </c>
      <c r="T210" s="251">
        <v>0</v>
      </c>
      <c r="U210" s="251">
        <v>0.59908714128191976</v>
      </c>
      <c r="V210" s="251">
        <v>0</v>
      </c>
      <c r="W210" s="251">
        <v>0</v>
      </c>
      <c r="X210" s="251">
        <v>0</v>
      </c>
      <c r="Y210" s="251">
        <v>0</v>
      </c>
      <c r="Z210" s="251">
        <v>0</v>
      </c>
      <c r="AA210" s="251">
        <v>0</v>
      </c>
      <c r="AB210" s="251">
        <v>0</v>
      </c>
      <c r="AC210" s="251">
        <v>0</v>
      </c>
      <c r="AD210" s="251">
        <v>0</v>
      </c>
      <c r="AE210" s="251">
        <v>0</v>
      </c>
      <c r="AF210" s="251">
        <v>-124.08766842921236</v>
      </c>
      <c r="AG210" s="251">
        <v>-62.627031133800095</v>
      </c>
      <c r="AH210" s="242">
        <v>10</v>
      </c>
      <c r="AI210" s="242">
        <v>10</v>
      </c>
      <c r="AJ210" s="242">
        <v>1</v>
      </c>
      <c r="AK210" s="242" t="s">
        <v>245</v>
      </c>
      <c r="AL210" s="242" t="s">
        <v>247</v>
      </c>
      <c r="AM210" s="242"/>
      <c r="AN210" s="242">
        <v>0</v>
      </c>
      <c r="AO210" s="242">
        <v>21.1</v>
      </c>
      <c r="AP210" s="242"/>
      <c r="AQ210" s="242"/>
      <c r="AR210" s="242">
        <v>152</v>
      </c>
      <c r="AS210" s="242">
        <v>61.4</v>
      </c>
      <c r="AT210" s="251">
        <v>32.200000000000003</v>
      </c>
      <c r="AU210" s="251">
        <v>5.88</v>
      </c>
      <c r="AV210" s="251">
        <v>2.96</v>
      </c>
      <c r="AW210" s="242">
        <v>4.42</v>
      </c>
      <c r="AX210" s="242">
        <v>3.2</v>
      </c>
      <c r="AY210" s="242">
        <v>4.42</v>
      </c>
      <c r="AZ210" s="242">
        <v>5.88</v>
      </c>
      <c r="BA210" s="242"/>
      <c r="BB210" s="242"/>
      <c r="BC210" s="261"/>
      <c r="BD210" s="261"/>
      <c r="BE210" s="261">
        <v>17.600000000000001</v>
      </c>
      <c r="BF210" s="261"/>
      <c r="BG210" s="261"/>
      <c r="BH210" s="261"/>
      <c r="BI210" s="261"/>
      <c r="BJ210" s="261"/>
      <c r="BK210" s="261"/>
      <c r="BL210" s="261"/>
      <c r="BM210" s="261"/>
      <c r="BN210" s="261"/>
      <c r="BO210" s="261"/>
      <c r="BP210" s="261"/>
      <c r="BQ210" s="261"/>
      <c r="BR210" s="261"/>
      <c r="BS210" s="261"/>
      <c r="BT210" s="261"/>
      <c r="BU210" s="261"/>
      <c r="BV210" s="261"/>
      <c r="BW210" s="261"/>
      <c r="BX210" s="261"/>
      <c r="BY210" s="261"/>
      <c r="BZ210" s="261"/>
      <c r="CA210" s="261"/>
      <c r="CB210" s="261"/>
      <c r="CC210" s="261"/>
      <c r="CD210" s="242">
        <v>0</v>
      </c>
      <c r="CE210" s="242"/>
      <c r="CF210" s="242"/>
      <c r="CG210" s="242">
        <v>-2.81</v>
      </c>
      <c r="CH210" s="242">
        <v>209</v>
      </c>
    </row>
    <row r="211" spans="1:86" x14ac:dyDescent="0.25">
      <c r="A211" s="159" t="s">
        <v>806</v>
      </c>
      <c r="B211" s="159">
        <v>0</v>
      </c>
      <c r="C211" s="159">
        <v>550</v>
      </c>
      <c r="D211" s="159">
        <v>1000</v>
      </c>
      <c r="E211" s="159" t="s">
        <v>264</v>
      </c>
      <c r="F211" s="159" t="s">
        <v>264</v>
      </c>
      <c r="G211" s="264">
        <v>7980000</v>
      </c>
      <c r="H211" s="249">
        <v>12.642111420380591</v>
      </c>
      <c r="I211" s="249">
        <v>18.452583764182695</v>
      </c>
      <c r="J211" s="249">
        <v>1.3371178265872956</v>
      </c>
      <c r="K211" s="249">
        <v>64.42710535390556</v>
      </c>
      <c r="L211" s="249">
        <v>0</v>
      </c>
      <c r="M211" s="249">
        <v>0</v>
      </c>
      <c r="N211" s="249">
        <v>1.9292878445632553</v>
      </c>
      <c r="O211" s="249">
        <v>0</v>
      </c>
      <c r="P211" s="249">
        <v>0</v>
      </c>
      <c r="Q211" s="249">
        <v>1.0724427134092454</v>
      </c>
      <c r="R211" s="249">
        <v>0.13935107697134658</v>
      </c>
      <c r="S211" s="249">
        <v>0</v>
      </c>
      <c r="T211" s="249">
        <v>0</v>
      </c>
      <c r="U211" s="249">
        <v>0</v>
      </c>
      <c r="V211" s="249">
        <v>0</v>
      </c>
      <c r="W211" s="249">
        <v>0</v>
      </c>
      <c r="X211" s="249">
        <v>0</v>
      </c>
      <c r="Y211" s="249">
        <v>0</v>
      </c>
      <c r="Z211" s="249">
        <v>0</v>
      </c>
      <c r="AA211" s="249">
        <v>0</v>
      </c>
      <c r="AB211" s="249">
        <v>0</v>
      </c>
      <c r="AC211" s="249">
        <v>0</v>
      </c>
      <c r="AD211" s="249">
        <v>0</v>
      </c>
      <c r="AE211" s="249">
        <v>0</v>
      </c>
      <c r="AF211" s="249">
        <v>-142.02465787336922</v>
      </c>
      <c r="AG211" s="249">
        <v>-142.02465787336922</v>
      </c>
      <c r="AH211" s="159">
        <v>12</v>
      </c>
      <c r="AI211" s="159">
        <v>6</v>
      </c>
      <c r="AJ211" s="159">
        <v>1.5</v>
      </c>
      <c r="AK211" s="159" t="s">
        <v>228</v>
      </c>
      <c r="AL211" s="159" t="s">
        <v>230</v>
      </c>
      <c r="AM211" s="159"/>
      <c r="AN211" s="159">
        <v>0</v>
      </c>
      <c r="AO211" s="159"/>
      <c r="AP211" s="159"/>
      <c r="AQ211" s="159"/>
      <c r="AR211" s="159"/>
      <c r="AS211" s="159"/>
      <c r="AT211" s="249"/>
      <c r="AU211" s="249"/>
      <c r="AV211" s="249"/>
      <c r="AW211" s="159"/>
      <c r="AX211" s="159"/>
      <c r="AY211" s="159"/>
      <c r="AZ211" s="159"/>
      <c r="BA211" s="159"/>
      <c r="BB211" s="159"/>
      <c r="BC211" s="259"/>
      <c r="BD211" s="259"/>
      <c r="BE211" s="259"/>
      <c r="BF211" s="259"/>
      <c r="BG211" s="259"/>
      <c r="BH211" s="259"/>
      <c r="BI211" s="259"/>
      <c r="BJ211" s="259"/>
      <c r="BK211" s="259"/>
      <c r="BL211" s="259"/>
      <c r="BM211" s="259"/>
      <c r="BN211" s="259"/>
      <c r="BO211" s="259"/>
      <c r="BP211" s="259"/>
      <c r="BQ211" s="259"/>
      <c r="BR211" s="259"/>
      <c r="BS211" s="259"/>
      <c r="BT211" s="259"/>
      <c r="BU211" s="259"/>
      <c r="BV211" s="259"/>
      <c r="BW211" s="259"/>
      <c r="BX211" s="259"/>
      <c r="BY211" s="259"/>
      <c r="BZ211" s="259"/>
      <c r="CA211" s="259"/>
      <c r="CB211" s="259"/>
      <c r="CC211" s="259"/>
      <c r="CD211" s="159">
        <v>0</v>
      </c>
      <c r="CE211" s="159"/>
      <c r="CF211" s="159"/>
      <c r="CG211" s="159">
        <v>-0.38</v>
      </c>
      <c r="CH211" s="159">
        <v>210</v>
      </c>
    </row>
    <row r="212" spans="1:86" ht="16.5" thickBot="1" x14ac:dyDescent="0.3">
      <c r="A212" s="242" t="s">
        <v>807</v>
      </c>
      <c r="B212" s="242">
        <v>0</v>
      </c>
      <c r="C212" s="242">
        <v>650</v>
      </c>
      <c r="D212" s="242">
        <v>1000</v>
      </c>
      <c r="E212" s="242" t="s">
        <v>264</v>
      </c>
      <c r="F212" s="242" t="s">
        <v>264</v>
      </c>
      <c r="G212" s="266">
        <v>7980000</v>
      </c>
      <c r="H212" s="251">
        <v>12.642111420380591</v>
      </c>
      <c r="I212" s="251">
        <v>18.452583764182695</v>
      </c>
      <c r="J212" s="251">
        <v>1.3371178265872956</v>
      </c>
      <c r="K212" s="251">
        <v>64.42710535390556</v>
      </c>
      <c r="L212" s="251">
        <v>0</v>
      </c>
      <c r="M212" s="251">
        <v>0</v>
      </c>
      <c r="N212" s="251">
        <v>1.9292878445632553</v>
      </c>
      <c r="O212" s="251">
        <v>0</v>
      </c>
      <c r="P212" s="251">
        <v>0</v>
      </c>
      <c r="Q212" s="251">
        <v>1.0724427134092454</v>
      </c>
      <c r="R212" s="251">
        <v>0.13935107697134658</v>
      </c>
      <c r="S212" s="251">
        <v>0</v>
      </c>
      <c r="T212" s="251">
        <v>0</v>
      </c>
      <c r="U212" s="251">
        <v>0</v>
      </c>
      <c r="V212" s="251">
        <v>0</v>
      </c>
      <c r="W212" s="251">
        <v>0</v>
      </c>
      <c r="X212" s="251">
        <v>0</v>
      </c>
      <c r="Y212" s="251">
        <v>0</v>
      </c>
      <c r="Z212" s="251">
        <v>0</v>
      </c>
      <c r="AA212" s="251">
        <v>0</v>
      </c>
      <c r="AB212" s="251">
        <v>0</v>
      </c>
      <c r="AC212" s="251">
        <v>0</v>
      </c>
      <c r="AD212" s="251">
        <v>0</v>
      </c>
      <c r="AE212" s="251">
        <v>0</v>
      </c>
      <c r="AF212" s="251">
        <v>-138.77321751842982</v>
      </c>
      <c r="AG212" s="251">
        <v>-138.77321751842982</v>
      </c>
      <c r="AH212" s="242">
        <v>12</v>
      </c>
      <c r="AI212" s="242">
        <v>6</v>
      </c>
      <c r="AJ212" s="242">
        <v>1.5</v>
      </c>
      <c r="AK212" s="242" t="s">
        <v>228</v>
      </c>
      <c r="AL212" s="242" t="s">
        <v>230</v>
      </c>
      <c r="AM212" s="242"/>
      <c r="AN212" s="242">
        <v>0</v>
      </c>
      <c r="AO212" s="242"/>
      <c r="AP212" s="242"/>
      <c r="AQ212" s="242"/>
      <c r="AR212" s="242"/>
      <c r="AS212" s="242"/>
      <c r="AT212" s="251"/>
      <c r="AU212" s="251"/>
      <c r="AV212" s="251"/>
      <c r="AW212" s="242"/>
      <c r="AX212" s="242"/>
      <c r="AY212" s="242"/>
      <c r="AZ212" s="242"/>
      <c r="BA212" s="242"/>
      <c r="BB212" s="242"/>
      <c r="BC212" s="261"/>
      <c r="BD212" s="261"/>
      <c r="BE212" s="261"/>
      <c r="BF212" s="261"/>
      <c r="BG212" s="261"/>
      <c r="BH212" s="261"/>
      <c r="BI212" s="261"/>
      <c r="BJ212" s="261"/>
      <c r="BK212" s="261"/>
      <c r="BL212" s="261"/>
      <c r="BM212" s="261"/>
      <c r="BN212" s="261"/>
      <c r="BO212" s="261"/>
      <c r="BP212" s="261"/>
      <c r="BQ212" s="261"/>
      <c r="BR212" s="261"/>
      <c r="BS212" s="261"/>
      <c r="BT212" s="261"/>
      <c r="BU212" s="261"/>
      <c r="BV212" s="261"/>
      <c r="BW212" s="261"/>
      <c r="BX212" s="261"/>
      <c r="BY212" s="261"/>
      <c r="BZ212" s="261"/>
      <c r="CA212" s="261"/>
      <c r="CB212" s="261"/>
      <c r="CC212" s="261"/>
      <c r="CD212" s="242">
        <v>0</v>
      </c>
      <c r="CE212" s="242"/>
      <c r="CF212" s="242"/>
      <c r="CG212" s="242">
        <v>-0.28999999999999998</v>
      </c>
      <c r="CH212" s="242">
        <v>211</v>
      </c>
    </row>
    <row r="213" spans="1:86" ht="16.5" thickBot="1" x14ac:dyDescent="0.3">
      <c r="A213" s="256" t="s">
        <v>808</v>
      </c>
      <c r="B213" s="256">
        <v>0</v>
      </c>
      <c r="C213" s="256">
        <v>850</v>
      </c>
      <c r="D213" s="256">
        <v>400</v>
      </c>
      <c r="E213" s="256" t="s">
        <v>233</v>
      </c>
      <c r="F213" s="256" t="s">
        <v>239</v>
      </c>
      <c r="G213" s="268">
        <v>8860000</v>
      </c>
      <c r="H213" s="257">
        <v>73.981909876303831</v>
      </c>
      <c r="I213" s="257">
        <v>8.2896865821436005</v>
      </c>
      <c r="J213" s="257">
        <v>10.765705096691875</v>
      </c>
      <c r="K213" s="257">
        <v>4.5802964723608914</v>
      </c>
      <c r="L213" s="257">
        <v>6.6912603054468639E-2</v>
      </c>
      <c r="M213" s="257">
        <v>0</v>
      </c>
      <c r="N213" s="257">
        <v>0.5820202902742897</v>
      </c>
      <c r="O213" s="257">
        <v>0.63817461148909826</v>
      </c>
      <c r="P213" s="257">
        <v>0</v>
      </c>
      <c r="Q213" s="257">
        <v>0.78808706281738694</v>
      </c>
      <c r="R213" s="257">
        <v>0.30720740486456288</v>
      </c>
      <c r="S213" s="257">
        <v>0</v>
      </c>
      <c r="T213" s="257">
        <v>0</v>
      </c>
      <c r="U213" s="257">
        <v>0</v>
      </c>
      <c r="V213" s="257">
        <v>0</v>
      </c>
      <c r="W213" s="257">
        <v>0</v>
      </c>
      <c r="X213" s="257">
        <v>0</v>
      </c>
      <c r="Y213" s="257">
        <v>0</v>
      </c>
      <c r="Z213" s="257">
        <v>0</v>
      </c>
      <c r="AA213" s="257">
        <v>0</v>
      </c>
      <c r="AB213" s="257">
        <v>0</v>
      </c>
      <c r="AC213" s="257">
        <v>0</v>
      </c>
      <c r="AD213" s="257">
        <v>0</v>
      </c>
      <c r="AE213" s="257">
        <v>0</v>
      </c>
      <c r="AF213" s="257">
        <v>-119.73616810721417</v>
      </c>
      <c r="AG213" s="257">
        <v>-60.821750226979574</v>
      </c>
      <c r="AH213" s="256">
        <v>15</v>
      </c>
      <c r="AI213" s="256">
        <v>10</v>
      </c>
      <c r="AJ213" s="256">
        <v>2</v>
      </c>
      <c r="AK213" s="256" t="s">
        <v>245</v>
      </c>
      <c r="AL213" s="256" t="s">
        <v>230</v>
      </c>
      <c r="AM213" s="256"/>
      <c r="AN213" s="256">
        <v>0</v>
      </c>
      <c r="AO213" s="256">
        <v>149.5</v>
      </c>
      <c r="AP213" s="256"/>
      <c r="AQ213" s="256"/>
      <c r="AR213" s="256"/>
      <c r="AS213" s="256"/>
      <c r="AT213" s="257">
        <v>60.8</v>
      </c>
      <c r="AU213" s="257">
        <v>26.3</v>
      </c>
      <c r="AV213" s="257"/>
      <c r="AW213" s="256">
        <v>21.4</v>
      </c>
      <c r="AX213" s="256"/>
      <c r="AY213" s="256">
        <v>12.9</v>
      </c>
      <c r="AZ213" s="256"/>
      <c r="BA213" s="256"/>
      <c r="BB213" s="256"/>
      <c r="BC213" s="262"/>
      <c r="BD213" s="262"/>
      <c r="BE213" s="262"/>
      <c r="BF213" s="262"/>
      <c r="BG213" s="262"/>
      <c r="BH213" s="262"/>
      <c r="BI213" s="262"/>
      <c r="BJ213" s="262">
        <v>29.7</v>
      </c>
      <c r="BK213" s="262"/>
      <c r="BL213" s="262"/>
      <c r="BM213" s="262"/>
      <c r="BN213" s="262"/>
      <c r="BO213" s="262">
        <v>91.5</v>
      </c>
      <c r="BP213" s="262">
        <v>37.5</v>
      </c>
      <c r="BQ213" s="262"/>
      <c r="BR213" s="262">
        <v>32.5</v>
      </c>
      <c r="BS213" s="262"/>
      <c r="BT213" s="262">
        <v>6.4</v>
      </c>
      <c r="BU213" s="262"/>
      <c r="BV213" s="262"/>
      <c r="BW213" s="262"/>
      <c r="BX213" s="262"/>
      <c r="BY213" s="262"/>
      <c r="BZ213" s="262"/>
      <c r="CA213" s="262"/>
      <c r="CB213" s="262"/>
      <c r="CC213" s="262"/>
      <c r="CD213" s="256">
        <v>0</v>
      </c>
      <c r="CE213" s="256"/>
      <c r="CF213" s="256">
        <v>-26.7</v>
      </c>
      <c r="CG213" s="256">
        <v>-0.75</v>
      </c>
      <c r="CH213" s="256">
        <v>212</v>
      </c>
    </row>
    <row r="214" spans="1:86" ht="16.5" thickBot="1" x14ac:dyDescent="0.3">
      <c r="A214" s="142" t="s">
        <v>809</v>
      </c>
      <c r="B214" s="142">
        <v>0</v>
      </c>
      <c r="C214" s="142">
        <v>700</v>
      </c>
      <c r="D214" s="142">
        <v>100</v>
      </c>
      <c r="E214" s="142" t="s">
        <v>233</v>
      </c>
      <c r="F214" s="142" t="s">
        <v>298</v>
      </c>
      <c r="G214" s="269">
        <v>8860000</v>
      </c>
      <c r="H214" s="144">
        <v>74.200080615187872</v>
      </c>
      <c r="I214" s="144">
        <v>8.3163704532095206</v>
      </c>
      <c r="J214" s="144">
        <v>11.147513482272929</v>
      </c>
      <c r="K214" s="144">
        <v>4.3299416313623551</v>
      </c>
      <c r="L214" s="144">
        <v>0</v>
      </c>
      <c r="M214" s="144">
        <v>4.1873831649377772E-3</v>
      </c>
      <c r="N214" s="144">
        <v>0.67372358002307031</v>
      </c>
      <c r="O214" s="144">
        <v>4.8017163529516745E-2</v>
      </c>
      <c r="P214" s="144">
        <v>2.5774231241882523E-3</v>
      </c>
      <c r="Q214" s="144">
        <v>0.98827981896940587</v>
      </c>
      <c r="R214" s="144">
        <v>0.28251325863942706</v>
      </c>
      <c r="S214" s="144">
        <v>6.7951905167918285E-3</v>
      </c>
      <c r="T214" s="144">
        <v>0</v>
      </c>
      <c r="U214" s="144">
        <v>0</v>
      </c>
      <c r="V214" s="144">
        <v>0</v>
      </c>
      <c r="W214" s="144">
        <v>0</v>
      </c>
      <c r="X214" s="144">
        <v>0</v>
      </c>
      <c r="Y214" s="144">
        <v>0</v>
      </c>
      <c r="Z214" s="144">
        <v>0</v>
      </c>
      <c r="AA214" s="144">
        <v>0</v>
      </c>
      <c r="AB214" s="144">
        <v>0</v>
      </c>
      <c r="AC214" s="144">
        <v>0</v>
      </c>
      <c r="AD214" s="144">
        <v>0</v>
      </c>
      <c r="AE214" s="144">
        <v>0</v>
      </c>
      <c r="AF214" s="144">
        <v>-124.51095135457241</v>
      </c>
      <c r="AG214" s="144">
        <v>-63.529671587210359</v>
      </c>
      <c r="AH214" s="142">
        <v>30</v>
      </c>
      <c r="AI214" s="142">
        <v>10</v>
      </c>
      <c r="AJ214" s="142">
        <v>2</v>
      </c>
      <c r="AK214" s="142" t="s">
        <v>245</v>
      </c>
      <c r="AL214" s="142" t="s">
        <v>230</v>
      </c>
      <c r="AM214" s="142"/>
      <c r="AN214" s="142">
        <v>0</v>
      </c>
      <c r="AO214" s="142">
        <v>6.06</v>
      </c>
      <c r="AP214" s="142"/>
      <c r="AQ214" s="142"/>
      <c r="AR214" s="142"/>
      <c r="AS214" s="142"/>
      <c r="AT214" s="144">
        <v>9.5399999999999991</v>
      </c>
      <c r="AU214" s="144">
        <v>1.72</v>
      </c>
      <c r="AV214" s="144"/>
      <c r="AW214" s="142">
        <v>0.12</v>
      </c>
      <c r="AX214" s="142"/>
      <c r="AY214" s="142">
        <v>0.27</v>
      </c>
      <c r="AZ214" s="142"/>
      <c r="BA214" s="142"/>
      <c r="BB214" s="142"/>
      <c r="BC214" s="153"/>
      <c r="BD214" s="153"/>
      <c r="BE214" s="153"/>
      <c r="BF214" s="153"/>
      <c r="BG214" s="153"/>
      <c r="BH214" s="153"/>
      <c r="BI214" s="153"/>
      <c r="BJ214" s="153"/>
      <c r="BK214" s="153"/>
      <c r="BL214" s="153"/>
      <c r="BM214" s="153"/>
      <c r="BN214" s="153"/>
      <c r="BO214" s="153"/>
      <c r="BP214" s="153"/>
      <c r="BQ214" s="153"/>
      <c r="BR214" s="153"/>
      <c r="BS214" s="153"/>
      <c r="BT214" s="153"/>
      <c r="BU214" s="153"/>
      <c r="BV214" s="153"/>
      <c r="BW214" s="153"/>
      <c r="BX214" s="153"/>
      <c r="BY214" s="153"/>
      <c r="BZ214" s="153"/>
      <c r="CA214" s="153"/>
      <c r="CB214" s="153"/>
      <c r="CC214" s="153"/>
      <c r="CD214" s="142">
        <v>0</v>
      </c>
      <c r="CE214" s="142"/>
      <c r="CF214" s="142">
        <v>-20</v>
      </c>
      <c r="CG214" s="142">
        <v>-0.41</v>
      </c>
      <c r="CH214" s="142">
        <v>213</v>
      </c>
    </row>
    <row r="215" spans="1:86" x14ac:dyDescent="0.25">
      <c r="A215" s="159" t="s">
        <v>810</v>
      </c>
      <c r="B215" s="159">
        <v>0</v>
      </c>
      <c r="C215" s="159">
        <v>800</v>
      </c>
      <c r="D215" s="159">
        <v>400</v>
      </c>
      <c r="E215" s="159" t="s">
        <v>233</v>
      </c>
      <c r="F215" s="159" t="s">
        <v>298</v>
      </c>
      <c r="G215" s="264">
        <v>8860000</v>
      </c>
      <c r="H215" s="249">
        <v>74.915643402739775</v>
      </c>
      <c r="I215" s="249">
        <v>8.322063683582293</v>
      </c>
      <c r="J215" s="249">
        <v>11.155144859770511</v>
      </c>
      <c r="K215" s="249">
        <v>4.3329058277442627</v>
      </c>
      <c r="L215" s="249">
        <v>0</v>
      </c>
      <c r="M215" s="249">
        <v>0</v>
      </c>
      <c r="N215" s="249">
        <v>0</v>
      </c>
      <c r="O215" s="249">
        <v>0</v>
      </c>
      <c r="P215" s="249">
        <v>2.5791875794511192E-3</v>
      </c>
      <c r="Q215" s="249">
        <v>0.98895637669537684</v>
      </c>
      <c r="R215" s="249">
        <v>0.28270666188833793</v>
      </c>
      <c r="S215" s="249">
        <v>0</v>
      </c>
      <c r="T215" s="249">
        <v>0</v>
      </c>
      <c r="U215" s="249">
        <v>0</v>
      </c>
      <c r="V215" s="249">
        <v>0</v>
      </c>
      <c r="W215" s="249">
        <v>0</v>
      </c>
      <c r="X215" s="249">
        <v>0</v>
      </c>
      <c r="Y215" s="249">
        <v>0</v>
      </c>
      <c r="Z215" s="249">
        <v>0</v>
      </c>
      <c r="AA215" s="249">
        <v>0</v>
      </c>
      <c r="AB215" s="249">
        <v>0</v>
      </c>
      <c r="AC215" s="249">
        <v>0</v>
      </c>
      <c r="AD215" s="249">
        <v>0</v>
      </c>
      <c r="AE215" s="249">
        <v>0</v>
      </c>
      <c r="AF215" s="249">
        <v>-120.90042630664524</v>
      </c>
      <c r="AG215" s="249">
        <v>-61.724390680389831</v>
      </c>
      <c r="AH215" s="159">
        <v>15</v>
      </c>
      <c r="AI215" s="159">
        <v>10</v>
      </c>
      <c r="AJ215" s="159">
        <v>2</v>
      </c>
      <c r="AK215" s="159" t="s">
        <v>245</v>
      </c>
      <c r="AL215" s="159" t="s">
        <v>230</v>
      </c>
      <c r="AM215" s="159"/>
      <c r="AN215" s="159">
        <v>0</v>
      </c>
      <c r="AO215" s="159">
        <v>76.459999999999994</v>
      </c>
      <c r="AP215" s="159"/>
      <c r="AQ215" s="159"/>
      <c r="AR215" s="159"/>
      <c r="AS215" s="159"/>
      <c r="AT215" s="249">
        <v>26.18</v>
      </c>
      <c r="AU215" s="249">
        <v>12.19</v>
      </c>
      <c r="AV215" s="249"/>
      <c r="AW215" s="159"/>
      <c r="AX215" s="159"/>
      <c r="AY215" s="159"/>
      <c r="AZ215" s="159"/>
      <c r="BA215" s="159"/>
      <c r="BB215" s="159"/>
      <c r="BC215" s="259"/>
      <c r="BD215" s="259"/>
      <c r="BE215" s="259"/>
      <c r="BF215" s="259"/>
      <c r="BG215" s="259"/>
      <c r="BH215" s="259"/>
      <c r="BI215" s="259"/>
      <c r="BJ215" s="259">
        <v>56.99</v>
      </c>
      <c r="BK215" s="259"/>
      <c r="BL215" s="259"/>
      <c r="BM215" s="259"/>
      <c r="BN215" s="259"/>
      <c r="BO215" s="259">
        <v>25.9</v>
      </c>
      <c r="BP215" s="259">
        <v>35.130000000000003</v>
      </c>
      <c r="BQ215" s="259"/>
      <c r="BR215" s="259">
        <v>1.8</v>
      </c>
      <c r="BS215" s="259"/>
      <c r="BT215" s="259"/>
      <c r="BU215" s="259"/>
      <c r="BV215" s="259"/>
      <c r="BW215" s="259"/>
      <c r="BX215" s="259"/>
      <c r="BY215" s="259"/>
      <c r="BZ215" s="259"/>
      <c r="CA215" s="259"/>
      <c r="CB215" s="259"/>
      <c r="CC215" s="259"/>
      <c r="CD215" s="159">
        <v>0</v>
      </c>
      <c r="CE215" s="159"/>
      <c r="CF215" s="159">
        <v>-13.5</v>
      </c>
      <c r="CG215" s="159">
        <v>0.20399999999999999</v>
      </c>
      <c r="CH215" s="159">
        <v>214</v>
      </c>
    </row>
    <row r="216" spans="1:86" x14ac:dyDescent="0.25">
      <c r="A216" s="159" t="s">
        <v>811</v>
      </c>
      <c r="B216" s="159">
        <v>0</v>
      </c>
      <c r="C216" s="159">
        <v>700</v>
      </c>
      <c r="D216" s="159">
        <v>168</v>
      </c>
      <c r="E216" s="159" t="s">
        <v>233</v>
      </c>
      <c r="F216" s="159" t="s">
        <v>487</v>
      </c>
      <c r="G216" s="264">
        <v>7850000</v>
      </c>
      <c r="H216" s="249">
        <v>23.600038227554464</v>
      </c>
      <c r="I216" s="249">
        <v>21.251438715936718</v>
      </c>
      <c r="J216" s="249">
        <v>0.87251135956639791</v>
      </c>
      <c r="K216" s="249">
        <v>51.384779266092856</v>
      </c>
      <c r="L216" s="249">
        <v>0</v>
      </c>
      <c r="M216" s="249">
        <v>0</v>
      </c>
      <c r="N216" s="249">
        <v>0.91841108974067198</v>
      </c>
      <c r="O216" s="249">
        <v>0</v>
      </c>
      <c r="P216" s="249">
        <v>4.6331989128388033E-2</v>
      </c>
      <c r="Q216" s="249">
        <v>0.86853099022197522</v>
      </c>
      <c r="R216" s="249">
        <v>0.30470901975855896</v>
      </c>
      <c r="S216" s="249">
        <v>0</v>
      </c>
      <c r="T216" s="249">
        <v>0.11935810567086076</v>
      </c>
      <c r="U216" s="249">
        <v>0</v>
      </c>
      <c r="V216" s="249">
        <v>2.5065202190880764E-2</v>
      </c>
      <c r="W216" s="249">
        <v>0</v>
      </c>
      <c r="X216" s="249">
        <v>2.3081881216678323E-2</v>
      </c>
      <c r="Y216" s="249">
        <v>0</v>
      </c>
      <c r="Z216" s="249">
        <v>0</v>
      </c>
      <c r="AA216" s="249">
        <v>0</v>
      </c>
      <c r="AB216" s="249">
        <v>0</v>
      </c>
      <c r="AC216" s="249">
        <v>0.58574415292155302</v>
      </c>
      <c r="AD216" s="249">
        <v>0</v>
      </c>
      <c r="AE216" s="249">
        <v>0</v>
      </c>
      <c r="AF216" s="249">
        <v>-135.68673034387308</v>
      </c>
      <c r="AG216" s="249">
        <v>-63.529671587210359</v>
      </c>
      <c r="AH216" s="159">
        <v>25.6</v>
      </c>
      <c r="AI216" s="159">
        <v>12.8</v>
      </c>
      <c r="AJ216" s="159">
        <v>1.6</v>
      </c>
      <c r="AK216" s="159" t="s">
        <v>245</v>
      </c>
      <c r="AL216" s="159" t="s">
        <v>247</v>
      </c>
      <c r="AM216" s="159"/>
      <c r="AN216" s="159">
        <v>2</v>
      </c>
      <c r="AO216" s="159"/>
      <c r="AP216" s="159"/>
      <c r="AQ216" s="159"/>
      <c r="AR216" s="159"/>
      <c r="AS216" s="159"/>
      <c r="AT216" s="159"/>
      <c r="AU216" s="159"/>
      <c r="AV216" s="159"/>
      <c r="AW216" s="159"/>
      <c r="AX216" s="159"/>
      <c r="AY216" s="159"/>
      <c r="AZ216" s="159"/>
      <c r="BA216" s="159"/>
      <c r="BB216" s="159"/>
      <c r="BC216" s="159"/>
      <c r="BD216" s="159"/>
      <c r="BE216" s="159"/>
      <c r="BF216" s="159"/>
      <c r="BG216" s="159"/>
      <c r="BH216" s="159"/>
      <c r="BI216" s="159"/>
      <c r="BJ216" s="159"/>
      <c r="BK216" s="159"/>
      <c r="BL216" s="249"/>
      <c r="BM216" s="249"/>
      <c r="BN216" s="249"/>
      <c r="BO216" s="159"/>
      <c r="BP216" s="159"/>
      <c r="BQ216" s="159"/>
      <c r="BR216" s="159"/>
      <c r="BS216" s="159"/>
      <c r="BT216" s="159"/>
      <c r="BU216" s="159"/>
      <c r="BV216" s="159"/>
      <c r="BW216" s="159"/>
      <c r="BX216" s="159"/>
      <c r="BY216" s="159"/>
      <c r="BZ216" s="159"/>
      <c r="CA216" s="159"/>
      <c r="CB216" s="159"/>
      <c r="CC216" s="159"/>
      <c r="CD216" s="159">
        <v>0</v>
      </c>
      <c r="CE216" s="159"/>
      <c r="CF216" s="159">
        <v>-94.23</v>
      </c>
      <c r="CG216" s="159"/>
      <c r="CH216" s="159">
        <v>215</v>
      </c>
    </row>
    <row r="217" spans="1:86" ht="16.5" thickBot="1" x14ac:dyDescent="0.3">
      <c r="A217" s="242" t="s">
        <v>812</v>
      </c>
      <c r="B217" s="242">
        <v>0</v>
      </c>
      <c r="C217" s="242">
        <v>700</v>
      </c>
      <c r="D217" s="242">
        <v>336</v>
      </c>
      <c r="E217" s="242" t="s">
        <v>233</v>
      </c>
      <c r="F217" s="242" t="s">
        <v>487</v>
      </c>
      <c r="G217" s="266">
        <v>7850000</v>
      </c>
      <c r="H217" s="251">
        <v>23.600038227554464</v>
      </c>
      <c r="I217" s="251">
        <v>21.251438715936718</v>
      </c>
      <c r="J217" s="251">
        <v>0.87251135956639791</v>
      </c>
      <c r="K217" s="251">
        <v>51.384779266092856</v>
      </c>
      <c r="L217" s="251">
        <v>0</v>
      </c>
      <c r="M217" s="251">
        <v>0</v>
      </c>
      <c r="N217" s="251">
        <v>0.91841108974067198</v>
      </c>
      <c r="O217" s="251">
        <v>0</v>
      </c>
      <c r="P217" s="251">
        <v>4.6331989128388033E-2</v>
      </c>
      <c r="Q217" s="251">
        <v>0.86853099022197522</v>
      </c>
      <c r="R217" s="251">
        <v>0.30470901975855896</v>
      </c>
      <c r="S217" s="251">
        <v>0</v>
      </c>
      <c r="T217" s="251">
        <v>0.11935810567086076</v>
      </c>
      <c r="U217" s="251">
        <v>0</v>
      </c>
      <c r="V217" s="251">
        <v>2.5065202190880764E-2</v>
      </c>
      <c r="W217" s="251">
        <v>0</v>
      </c>
      <c r="X217" s="251">
        <v>2.3081881216678323E-2</v>
      </c>
      <c r="Y217" s="251">
        <v>0</v>
      </c>
      <c r="Z217" s="251">
        <v>0</v>
      </c>
      <c r="AA217" s="251">
        <v>0</v>
      </c>
      <c r="AB217" s="251">
        <v>0</v>
      </c>
      <c r="AC217" s="251">
        <v>0.58574415292155302</v>
      </c>
      <c r="AD217" s="251">
        <v>0</v>
      </c>
      <c r="AE217" s="251">
        <v>0</v>
      </c>
      <c r="AF217" s="251">
        <v>-135.68673034387308</v>
      </c>
      <c r="AG217" s="251">
        <v>-63.529671587210359</v>
      </c>
      <c r="AH217" s="242">
        <v>25.6</v>
      </c>
      <c r="AI217" s="242">
        <v>12.8</v>
      </c>
      <c r="AJ217" s="242">
        <v>1.6</v>
      </c>
      <c r="AK217" s="242" t="s">
        <v>245</v>
      </c>
      <c r="AL217" s="242" t="s">
        <v>247</v>
      </c>
      <c r="AM217" s="242"/>
      <c r="AN217" s="242">
        <v>2</v>
      </c>
      <c r="AO217" s="242"/>
      <c r="AP217" s="242"/>
      <c r="AQ217" s="242"/>
      <c r="AR217" s="242"/>
      <c r="AS217" s="242"/>
      <c r="AT217" s="242"/>
      <c r="AU217" s="242"/>
      <c r="AV217" s="242"/>
      <c r="AW217" s="242"/>
      <c r="AX217" s="242"/>
      <c r="AY217" s="242"/>
      <c r="AZ217" s="242"/>
      <c r="BA217" s="242"/>
      <c r="BB217" s="242"/>
      <c r="BC217" s="242"/>
      <c r="BD217" s="242"/>
      <c r="BE217" s="242"/>
      <c r="BF217" s="242"/>
      <c r="BG217" s="242"/>
      <c r="BH217" s="242"/>
      <c r="BI217" s="242"/>
      <c r="BJ217" s="242"/>
      <c r="BK217" s="242"/>
      <c r="BL217" s="251"/>
      <c r="BM217" s="251"/>
      <c r="BN217" s="251"/>
      <c r="BO217" s="242"/>
      <c r="BP217" s="242"/>
      <c r="BQ217" s="242"/>
      <c r="BR217" s="242"/>
      <c r="BS217" s="242"/>
      <c r="BT217" s="242"/>
      <c r="BU217" s="242"/>
      <c r="BV217" s="242"/>
      <c r="BW217" s="242"/>
      <c r="BX217" s="242"/>
      <c r="BY217" s="242"/>
      <c r="BZ217" s="242"/>
      <c r="CA217" s="242"/>
      <c r="CB217" s="242"/>
      <c r="CC217" s="242"/>
      <c r="CD217" s="242">
        <v>0</v>
      </c>
      <c r="CE217" s="242"/>
      <c r="CF217" s="242">
        <v>-97.31</v>
      </c>
      <c r="CG217" s="242"/>
      <c r="CH217" s="242">
        <v>216</v>
      </c>
    </row>
    <row r="218" spans="1:86" x14ac:dyDescent="0.25">
      <c r="A218" s="159" t="s">
        <v>813</v>
      </c>
      <c r="B218" s="159">
        <v>0</v>
      </c>
      <c r="C218" s="159">
        <v>650</v>
      </c>
      <c r="D218" s="159">
        <v>15</v>
      </c>
      <c r="E218" s="159" t="s">
        <v>233</v>
      </c>
      <c r="F218" s="159" t="s">
        <v>493</v>
      </c>
      <c r="G218" s="264">
        <v>9220000</v>
      </c>
      <c r="H218" s="249">
        <v>74.148777135847197</v>
      </c>
      <c r="I218" s="249">
        <v>1.6677918702059928</v>
      </c>
      <c r="J218" s="249">
        <v>17.535716129532382</v>
      </c>
      <c r="K218" s="249">
        <v>3.9284110006802928</v>
      </c>
      <c r="L218" s="249">
        <v>0</v>
      </c>
      <c r="M218" s="249">
        <v>7.6877985866735582E-2</v>
      </c>
      <c r="N218" s="249">
        <v>1.1073364513752983</v>
      </c>
      <c r="O218" s="249">
        <v>0.8875650172809959</v>
      </c>
      <c r="P218" s="249">
        <v>2.7040017351318914E-2</v>
      </c>
      <c r="Q218" s="249">
        <v>0.52992754546058451</v>
      </c>
      <c r="R218" s="249">
        <v>0</v>
      </c>
      <c r="S218" s="249">
        <v>0</v>
      </c>
      <c r="T218" s="249">
        <v>9.05568463991996E-2</v>
      </c>
      <c r="U218" s="249">
        <v>0</v>
      </c>
      <c r="V218" s="249">
        <v>0</v>
      </c>
      <c r="W218" s="249">
        <v>0</v>
      </c>
      <c r="X218" s="249">
        <v>0</v>
      </c>
      <c r="Y218" s="249">
        <v>0</v>
      </c>
      <c r="Z218" s="249">
        <v>0</v>
      </c>
      <c r="AA218" s="249">
        <v>0</v>
      </c>
      <c r="AB218" s="249">
        <v>0</v>
      </c>
      <c r="AC218" s="249">
        <v>0</v>
      </c>
      <c r="AD218" s="249">
        <v>0</v>
      </c>
      <c r="AE218" s="249">
        <v>0</v>
      </c>
      <c r="AF218" s="249">
        <v>-124.41412875304353</v>
      </c>
      <c r="AG218" s="249">
        <v>-64.432312040620616</v>
      </c>
      <c r="AH218" s="159">
        <v>30</v>
      </c>
      <c r="AI218" s="159">
        <v>12</v>
      </c>
      <c r="AJ218" s="159">
        <v>1.5</v>
      </c>
      <c r="AK218" s="159" t="s">
        <v>245</v>
      </c>
      <c r="AL218" s="159" t="s">
        <v>247</v>
      </c>
      <c r="AM218" s="159"/>
      <c r="AN218" s="159">
        <v>0</v>
      </c>
      <c r="AO218" s="159"/>
      <c r="AP218" s="159"/>
      <c r="AQ218" s="159"/>
      <c r="AR218" s="159"/>
      <c r="AS218" s="159"/>
      <c r="AT218" s="249"/>
      <c r="AU218" s="249"/>
      <c r="AV218" s="249"/>
      <c r="AW218" s="159"/>
      <c r="AX218" s="159"/>
      <c r="AY218" s="159"/>
      <c r="AZ218" s="159"/>
      <c r="BA218" s="159"/>
      <c r="BB218" s="159"/>
      <c r="BC218" s="259"/>
      <c r="BD218" s="259"/>
      <c r="BE218" s="259"/>
      <c r="BF218" s="259"/>
      <c r="BG218" s="259"/>
      <c r="BH218" s="259"/>
      <c r="BI218" s="259"/>
      <c r="BJ218" s="259"/>
      <c r="BK218" s="259"/>
      <c r="BL218" s="259"/>
      <c r="BM218" s="259"/>
      <c r="BN218" s="259"/>
      <c r="BO218" s="259"/>
      <c r="BP218" s="259"/>
      <c r="BQ218" s="259"/>
      <c r="BR218" s="259"/>
      <c r="BS218" s="259"/>
      <c r="BT218" s="259"/>
      <c r="BU218" s="259"/>
      <c r="BV218" s="259"/>
      <c r="BW218" s="259"/>
      <c r="BX218" s="259"/>
      <c r="BY218" s="259"/>
      <c r="BZ218" s="259"/>
      <c r="CA218" s="259"/>
      <c r="CB218" s="259"/>
      <c r="CC218" s="259"/>
      <c r="CD218" s="159">
        <v>0</v>
      </c>
      <c r="CE218" s="159"/>
      <c r="CF218" s="159"/>
      <c r="CG218" s="159">
        <v>-2.7</v>
      </c>
      <c r="CH218" s="159">
        <v>217</v>
      </c>
    </row>
    <row r="219" spans="1:86" x14ac:dyDescent="0.25">
      <c r="A219" s="241" t="s">
        <v>814</v>
      </c>
      <c r="B219" s="241">
        <v>0</v>
      </c>
      <c r="C219" s="241">
        <v>650</v>
      </c>
      <c r="D219" s="241">
        <v>35</v>
      </c>
      <c r="E219" s="241" t="s">
        <v>233</v>
      </c>
      <c r="F219" s="241" t="s">
        <v>493</v>
      </c>
      <c r="G219" s="265">
        <v>9220000</v>
      </c>
      <c r="H219" s="250">
        <v>74.148777135847197</v>
      </c>
      <c r="I219" s="250">
        <v>1.6677918702059928</v>
      </c>
      <c r="J219" s="250">
        <v>17.535716129532382</v>
      </c>
      <c r="K219" s="250">
        <v>3.9284110006802928</v>
      </c>
      <c r="L219" s="250">
        <v>0</v>
      </c>
      <c r="M219" s="250">
        <v>7.6877985866735582E-2</v>
      </c>
      <c r="N219" s="250">
        <v>1.1073364513752983</v>
      </c>
      <c r="O219" s="250">
        <v>0.8875650172809959</v>
      </c>
      <c r="P219" s="250">
        <v>2.7040017351318914E-2</v>
      </c>
      <c r="Q219" s="250">
        <v>0.52992754546058451</v>
      </c>
      <c r="R219" s="250">
        <v>0</v>
      </c>
      <c r="S219" s="250">
        <v>0</v>
      </c>
      <c r="T219" s="250">
        <v>9.05568463991996E-2</v>
      </c>
      <c r="U219" s="250">
        <v>0</v>
      </c>
      <c r="V219" s="250">
        <v>0</v>
      </c>
      <c r="W219" s="250">
        <v>0</v>
      </c>
      <c r="X219" s="250">
        <v>0</v>
      </c>
      <c r="Y219" s="250">
        <v>0</v>
      </c>
      <c r="Z219" s="250">
        <v>0</v>
      </c>
      <c r="AA219" s="250">
        <v>0</v>
      </c>
      <c r="AB219" s="250">
        <v>0</v>
      </c>
      <c r="AC219" s="250">
        <v>0</v>
      </c>
      <c r="AD219" s="250">
        <v>0</v>
      </c>
      <c r="AE219" s="250">
        <v>0</v>
      </c>
      <c r="AF219" s="250">
        <v>-124.41412875304353</v>
      </c>
      <c r="AG219" s="250">
        <v>-64.432312040620616</v>
      </c>
      <c r="AH219" s="241">
        <v>30</v>
      </c>
      <c r="AI219" s="241">
        <v>12</v>
      </c>
      <c r="AJ219" s="241">
        <v>1.5</v>
      </c>
      <c r="AK219" s="241" t="s">
        <v>245</v>
      </c>
      <c r="AL219" s="241" t="s">
        <v>247</v>
      </c>
      <c r="AM219" s="241"/>
      <c r="AN219" s="241">
        <v>0</v>
      </c>
      <c r="AO219" s="241"/>
      <c r="AP219" s="241"/>
      <c r="AQ219" s="241"/>
      <c r="AR219" s="241"/>
      <c r="AS219" s="241"/>
      <c r="AT219" s="250"/>
      <c r="AU219" s="250"/>
      <c r="AV219" s="250"/>
      <c r="AW219" s="241"/>
      <c r="AX219" s="241"/>
      <c r="AY219" s="241"/>
      <c r="AZ219" s="241"/>
      <c r="BA219" s="241"/>
      <c r="BB219" s="241"/>
      <c r="BC219" s="258"/>
      <c r="BD219" s="258"/>
      <c r="BE219" s="258"/>
      <c r="BF219" s="258"/>
      <c r="BG219" s="258"/>
      <c r="BH219" s="258"/>
      <c r="BI219" s="258"/>
      <c r="BJ219" s="258"/>
      <c r="BK219" s="258"/>
      <c r="BL219" s="258"/>
      <c r="BM219" s="258"/>
      <c r="BN219" s="258"/>
      <c r="BO219" s="258"/>
      <c r="BP219" s="258"/>
      <c r="BQ219" s="258"/>
      <c r="BR219" s="258"/>
      <c r="BS219" s="258"/>
      <c r="BT219" s="258"/>
      <c r="BU219" s="258"/>
      <c r="BV219" s="258"/>
      <c r="BW219" s="258"/>
      <c r="BX219" s="258"/>
      <c r="BY219" s="258"/>
      <c r="BZ219" s="258"/>
      <c r="CA219" s="258"/>
      <c r="CB219" s="258"/>
      <c r="CC219" s="258"/>
      <c r="CD219" s="241">
        <v>0</v>
      </c>
      <c r="CE219" s="241"/>
      <c r="CF219" s="241"/>
      <c r="CG219" s="241">
        <v>-5.0599999999999996</v>
      </c>
      <c r="CH219" s="241">
        <v>218</v>
      </c>
    </row>
    <row r="220" spans="1:86" x14ac:dyDescent="0.25">
      <c r="A220" s="159" t="s">
        <v>815</v>
      </c>
      <c r="B220" s="159">
        <v>0</v>
      </c>
      <c r="C220" s="159">
        <v>650</v>
      </c>
      <c r="D220" s="159">
        <v>60</v>
      </c>
      <c r="E220" s="159" t="s">
        <v>233</v>
      </c>
      <c r="F220" s="159" t="s">
        <v>493</v>
      </c>
      <c r="G220" s="264">
        <v>9220000</v>
      </c>
      <c r="H220" s="249">
        <v>74.148777135847197</v>
      </c>
      <c r="I220" s="249">
        <v>1.6677918702059928</v>
      </c>
      <c r="J220" s="249">
        <v>17.535716129532382</v>
      </c>
      <c r="K220" s="249">
        <v>3.9284110006802928</v>
      </c>
      <c r="L220" s="249">
        <v>0</v>
      </c>
      <c r="M220" s="249">
        <v>7.6877985866735582E-2</v>
      </c>
      <c r="N220" s="249">
        <v>1.1073364513752983</v>
      </c>
      <c r="O220" s="249">
        <v>0.8875650172809959</v>
      </c>
      <c r="P220" s="249">
        <v>2.7040017351318914E-2</v>
      </c>
      <c r="Q220" s="249">
        <v>0.52992754546058451</v>
      </c>
      <c r="R220" s="249">
        <v>0</v>
      </c>
      <c r="S220" s="249">
        <v>0</v>
      </c>
      <c r="T220" s="249">
        <v>9.05568463991996E-2</v>
      </c>
      <c r="U220" s="249">
        <v>0</v>
      </c>
      <c r="V220" s="249">
        <v>0</v>
      </c>
      <c r="W220" s="249">
        <v>0</v>
      </c>
      <c r="X220" s="249">
        <v>0</v>
      </c>
      <c r="Y220" s="249">
        <v>0</v>
      </c>
      <c r="Z220" s="249">
        <v>0</v>
      </c>
      <c r="AA220" s="249">
        <v>0</v>
      </c>
      <c r="AB220" s="249">
        <v>0</v>
      </c>
      <c r="AC220" s="249">
        <v>0</v>
      </c>
      <c r="AD220" s="249">
        <v>0</v>
      </c>
      <c r="AE220" s="249">
        <v>0</v>
      </c>
      <c r="AF220" s="249">
        <v>-124.41412875304353</v>
      </c>
      <c r="AG220" s="249">
        <v>-64.432312040620616</v>
      </c>
      <c r="AH220" s="159">
        <v>30</v>
      </c>
      <c r="AI220" s="159">
        <v>12</v>
      </c>
      <c r="AJ220" s="159">
        <v>1.5</v>
      </c>
      <c r="AK220" s="159" t="s">
        <v>245</v>
      </c>
      <c r="AL220" s="159" t="s">
        <v>247</v>
      </c>
      <c r="AM220" s="159"/>
      <c r="AN220" s="159">
        <v>0</v>
      </c>
      <c r="AO220" s="159"/>
      <c r="AP220" s="159"/>
      <c r="AQ220" s="159"/>
      <c r="AR220" s="159"/>
      <c r="AS220" s="159"/>
      <c r="AT220" s="249"/>
      <c r="AU220" s="249"/>
      <c r="AV220" s="249"/>
      <c r="AW220" s="159"/>
      <c r="AX220" s="159"/>
      <c r="AY220" s="159"/>
      <c r="AZ220" s="159"/>
      <c r="BA220" s="159"/>
      <c r="BB220" s="159"/>
      <c r="BC220" s="259"/>
      <c r="BD220" s="259"/>
      <c r="BE220" s="259"/>
      <c r="BF220" s="259"/>
      <c r="BG220" s="259"/>
      <c r="BH220" s="259"/>
      <c r="BI220" s="259"/>
      <c r="BJ220" s="259"/>
      <c r="BK220" s="259"/>
      <c r="BL220" s="259"/>
      <c r="BM220" s="259"/>
      <c r="BN220" s="259"/>
      <c r="BO220" s="259"/>
      <c r="BP220" s="259"/>
      <c r="BQ220" s="259"/>
      <c r="BR220" s="259"/>
      <c r="BS220" s="259"/>
      <c r="BT220" s="259"/>
      <c r="BU220" s="259"/>
      <c r="BV220" s="259"/>
      <c r="BW220" s="259"/>
      <c r="BX220" s="259"/>
      <c r="BY220" s="259"/>
      <c r="BZ220" s="259"/>
      <c r="CA220" s="259"/>
      <c r="CB220" s="259"/>
      <c r="CC220" s="259"/>
      <c r="CD220" s="159">
        <v>0</v>
      </c>
      <c r="CE220" s="159"/>
      <c r="CF220" s="159">
        <v>-30</v>
      </c>
      <c r="CG220" s="159">
        <v>-10.94</v>
      </c>
      <c r="CH220" s="159">
        <v>219</v>
      </c>
    </row>
    <row r="221" spans="1:86" x14ac:dyDescent="0.25">
      <c r="A221" s="241" t="s">
        <v>816</v>
      </c>
      <c r="B221" s="241">
        <v>0</v>
      </c>
      <c r="C221" s="241">
        <v>650</v>
      </c>
      <c r="D221" s="241">
        <v>84</v>
      </c>
      <c r="E221" s="241" t="s">
        <v>233</v>
      </c>
      <c r="F221" s="241" t="s">
        <v>493</v>
      </c>
      <c r="G221" s="265">
        <v>9220000</v>
      </c>
      <c r="H221" s="250">
        <v>74.148777135847197</v>
      </c>
      <c r="I221" s="250">
        <v>1.6677918702059928</v>
      </c>
      <c r="J221" s="250">
        <v>17.535716129532382</v>
      </c>
      <c r="K221" s="250">
        <v>3.9284110006802928</v>
      </c>
      <c r="L221" s="250">
        <v>0</v>
      </c>
      <c r="M221" s="250">
        <v>7.6877985866735582E-2</v>
      </c>
      <c r="N221" s="250">
        <v>1.1073364513752983</v>
      </c>
      <c r="O221" s="250">
        <v>0.8875650172809959</v>
      </c>
      <c r="P221" s="250">
        <v>2.7040017351318914E-2</v>
      </c>
      <c r="Q221" s="250">
        <v>0.52992754546058451</v>
      </c>
      <c r="R221" s="250">
        <v>0</v>
      </c>
      <c r="S221" s="250">
        <v>0</v>
      </c>
      <c r="T221" s="250">
        <v>9.05568463991996E-2</v>
      </c>
      <c r="U221" s="250">
        <v>0</v>
      </c>
      <c r="V221" s="250">
        <v>0</v>
      </c>
      <c r="W221" s="250">
        <v>0</v>
      </c>
      <c r="X221" s="250">
        <v>0</v>
      </c>
      <c r="Y221" s="250">
        <v>0</v>
      </c>
      <c r="Z221" s="250">
        <v>0</v>
      </c>
      <c r="AA221" s="250">
        <v>0</v>
      </c>
      <c r="AB221" s="250">
        <v>0</v>
      </c>
      <c r="AC221" s="250">
        <v>0</v>
      </c>
      <c r="AD221" s="250">
        <v>0</v>
      </c>
      <c r="AE221" s="250">
        <v>0</v>
      </c>
      <c r="AF221" s="250">
        <v>-124.41412875304353</v>
      </c>
      <c r="AG221" s="250">
        <v>-64.432312040620616</v>
      </c>
      <c r="AH221" s="241">
        <v>30</v>
      </c>
      <c r="AI221" s="241">
        <v>12</v>
      </c>
      <c r="AJ221" s="241">
        <v>1.5</v>
      </c>
      <c r="AK221" s="241" t="s">
        <v>245</v>
      </c>
      <c r="AL221" s="241" t="s">
        <v>247</v>
      </c>
      <c r="AM221" s="241"/>
      <c r="AN221" s="241">
        <v>0</v>
      </c>
      <c r="AO221" s="241"/>
      <c r="AP221" s="241"/>
      <c r="AQ221" s="241"/>
      <c r="AR221" s="241"/>
      <c r="AS221" s="241"/>
      <c r="AT221" s="250"/>
      <c r="AU221" s="250"/>
      <c r="AV221" s="250"/>
      <c r="AW221" s="241"/>
      <c r="AX221" s="241"/>
      <c r="AY221" s="241"/>
      <c r="AZ221" s="241"/>
      <c r="BA221" s="241"/>
      <c r="BB221" s="241"/>
      <c r="BC221" s="258"/>
      <c r="BD221" s="258"/>
      <c r="BE221" s="258"/>
      <c r="BF221" s="258"/>
      <c r="BG221" s="258"/>
      <c r="BH221" s="258"/>
      <c r="BI221" s="258"/>
      <c r="BJ221" s="258"/>
      <c r="BK221" s="258"/>
      <c r="BL221" s="258"/>
      <c r="BM221" s="258"/>
      <c r="BN221" s="258"/>
      <c r="BO221" s="258"/>
      <c r="BP221" s="258"/>
      <c r="BQ221" s="258"/>
      <c r="BR221" s="258"/>
      <c r="BS221" s="258"/>
      <c r="BT221" s="258"/>
      <c r="BU221" s="258"/>
      <c r="BV221" s="258"/>
      <c r="BW221" s="258"/>
      <c r="BX221" s="258"/>
      <c r="BY221" s="258"/>
      <c r="BZ221" s="258"/>
      <c r="CA221" s="258"/>
      <c r="CB221" s="258"/>
      <c r="CC221" s="258"/>
      <c r="CD221" s="241">
        <v>0</v>
      </c>
      <c r="CE221" s="241"/>
      <c r="CF221" s="241"/>
      <c r="CG221" s="241">
        <v>-10.59</v>
      </c>
      <c r="CH221" s="241">
        <v>220</v>
      </c>
    </row>
    <row r="222" spans="1:86" x14ac:dyDescent="0.25">
      <c r="A222" s="159" t="s">
        <v>817</v>
      </c>
      <c r="B222" s="159">
        <v>0</v>
      </c>
      <c r="C222" s="159">
        <v>650</v>
      </c>
      <c r="D222" s="159">
        <v>60</v>
      </c>
      <c r="E222" s="159" t="s">
        <v>233</v>
      </c>
      <c r="F222" s="159" t="s">
        <v>251</v>
      </c>
      <c r="G222" s="264">
        <v>8900000</v>
      </c>
      <c r="H222" s="249">
        <v>99.766330310999692</v>
      </c>
      <c r="I222" s="249">
        <v>0</v>
      </c>
      <c r="J222" s="249">
        <v>0</v>
      </c>
      <c r="K222" s="249">
        <v>2.1012024718166239E-2</v>
      </c>
      <c r="L222" s="249">
        <v>0</v>
      </c>
      <c r="M222" s="249">
        <v>0</v>
      </c>
      <c r="N222" s="249">
        <v>0.17088046312480301</v>
      </c>
      <c r="O222" s="249">
        <v>0</v>
      </c>
      <c r="P222" s="249">
        <v>0</v>
      </c>
      <c r="Q222" s="249">
        <v>4.1777201157336581E-2</v>
      </c>
      <c r="R222" s="249">
        <v>0</v>
      </c>
      <c r="S222" s="249">
        <v>0</v>
      </c>
      <c r="T222" s="249">
        <v>0</v>
      </c>
      <c r="U222" s="249">
        <v>0</v>
      </c>
      <c r="V222" s="249">
        <v>0</v>
      </c>
      <c r="W222" s="249">
        <v>0</v>
      </c>
      <c r="X222" s="249">
        <v>0</v>
      </c>
      <c r="Y222" s="249">
        <v>0</v>
      </c>
      <c r="Z222" s="249">
        <v>0</v>
      </c>
      <c r="AA222" s="249">
        <v>0</v>
      </c>
      <c r="AB222" s="249">
        <v>0</v>
      </c>
      <c r="AC222" s="249">
        <v>0</v>
      </c>
      <c r="AD222" s="249">
        <v>0</v>
      </c>
      <c r="AE222" s="249">
        <v>0</v>
      </c>
      <c r="AF222" s="249">
        <v>-123.61947666106582</v>
      </c>
      <c r="AG222" s="249">
        <v>-64.432312040620616</v>
      </c>
      <c r="AH222" s="159">
        <v>30</v>
      </c>
      <c r="AI222" s="159">
        <v>12</v>
      </c>
      <c r="AJ222" s="159">
        <v>1.5</v>
      </c>
      <c r="AK222" s="159" t="s">
        <v>245</v>
      </c>
      <c r="AL222" s="159" t="s">
        <v>247</v>
      </c>
      <c r="AM222" s="159"/>
      <c r="AN222" s="159">
        <v>0</v>
      </c>
      <c r="AO222" s="159"/>
      <c r="AP222" s="159"/>
      <c r="AQ222" s="159"/>
      <c r="AR222" s="159"/>
      <c r="AS222" s="159"/>
      <c r="AT222" s="249"/>
      <c r="AU222" s="249"/>
      <c r="AV222" s="249"/>
      <c r="AW222" s="159"/>
      <c r="AX222" s="159"/>
      <c r="AY222" s="159"/>
      <c r="AZ222" s="159"/>
      <c r="BA222" s="159"/>
      <c r="BB222" s="159"/>
      <c r="BC222" s="259"/>
      <c r="BD222" s="259"/>
      <c r="BE222" s="259"/>
      <c r="BF222" s="259"/>
      <c r="BG222" s="259"/>
      <c r="BH222" s="259"/>
      <c r="BI222" s="259"/>
      <c r="BJ222" s="259"/>
      <c r="BK222" s="259"/>
      <c r="BL222" s="259"/>
      <c r="BM222" s="259"/>
      <c r="BN222" s="259"/>
      <c r="BO222" s="259"/>
      <c r="BP222" s="259"/>
      <c r="BQ222" s="259"/>
      <c r="BR222" s="259"/>
      <c r="BS222" s="259"/>
      <c r="BT222" s="259"/>
      <c r="BU222" s="259"/>
      <c r="BV222" s="259"/>
      <c r="BW222" s="259"/>
      <c r="BX222" s="259"/>
      <c r="BY222" s="259"/>
      <c r="BZ222" s="259"/>
      <c r="CA222" s="259"/>
      <c r="CB222" s="259"/>
      <c r="CC222" s="259"/>
      <c r="CD222" s="159">
        <v>0</v>
      </c>
      <c r="CE222" s="159"/>
      <c r="CF222" s="159">
        <v>-0.1</v>
      </c>
      <c r="CG222" s="159">
        <v>-4.92</v>
      </c>
      <c r="CH222" s="159">
        <v>221</v>
      </c>
    </row>
    <row r="223" spans="1:86" x14ac:dyDescent="0.25">
      <c r="A223" s="241" t="s">
        <v>818</v>
      </c>
      <c r="B223" s="241">
        <v>0</v>
      </c>
      <c r="C223" s="241">
        <v>650</v>
      </c>
      <c r="D223" s="241">
        <v>60</v>
      </c>
      <c r="E223" s="241" t="s">
        <v>233</v>
      </c>
      <c r="F223" s="241" t="s">
        <v>227</v>
      </c>
      <c r="G223" s="265">
        <v>7980000</v>
      </c>
      <c r="H223" s="250">
        <v>9.7155192731119779</v>
      </c>
      <c r="I223" s="250">
        <v>17.566129127957652</v>
      </c>
      <c r="J223" s="250">
        <v>1.1652311334390075</v>
      </c>
      <c r="K223" s="250">
        <v>69.614246188790801</v>
      </c>
      <c r="L223" s="250">
        <v>0</v>
      </c>
      <c r="M223" s="250">
        <v>0</v>
      </c>
      <c r="N223" s="250">
        <v>0.81004210519884867</v>
      </c>
      <c r="O223" s="250">
        <v>0</v>
      </c>
      <c r="P223" s="250">
        <v>0</v>
      </c>
      <c r="Q223" s="250">
        <v>1.1288321715016956</v>
      </c>
      <c r="R223" s="250">
        <v>0</v>
      </c>
      <c r="S223" s="250">
        <v>0</v>
      </c>
      <c r="T223" s="250">
        <v>0</v>
      </c>
      <c r="U223" s="250">
        <v>0</v>
      </c>
      <c r="V223" s="250">
        <v>0</v>
      </c>
      <c r="W223" s="250">
        <v>0</v>
      </c>
      <c r="X223" s="250">
        <v>0</v>
      </c>
      <c r="Y223" s="250">
        <v>0</v>
      </c>
      <c r="Z223" s="250">
        <v>0</v>
      </c>
      <c r="AA223" s="250">
        <v>0</v>
      </c>
      <c r="AB223" s="250">
        <v>0</v>
      </c>
      <c r="AC223" s="250">
        <v>0</v>
      </c>
      <c r="AD223" s="250">
        <v>0</v>
      </c>
      <c r="AE223" s="250">
        <v>0</v>
      </c>
      <c r="AF223" s="250">
        <v>-138.97535869488544</v>
      </c>
      <c r="AG223" s="250">
        <v>-64.432312040620616</v>
      </c>
      <c r="AH223" s="241">
        <v>30</v>
      </c>
      <c r="AI223" s="241">
        <v>12</v>
      </c>
      <c r="AJ223" s="241">
        <v>1.5</v>
      </c>
      <c r="AK223" s="241" t="s">
        <v>245</v>
      </c>
      <c r="AL223" s="241" t="s">
        <v>247</v>
      </c>
      <c r="AM223" s="241"/>
      <c r="AN223" s="241">
        <v>0</v>
      </c>
      <c r="AO223" s="241"/>
      <c r="AP223" s="241"/>
      <c r="AQ223" s="241"/>
      <c r="AR223" s="241"/>
      <c r="AS223" s="241"/>
      <c r="AT223" s="250"/>
      <c r="AU223" s="250"/>
      <c r="AV223" s="250"/>
      <c r="AW223" s="241"/>
      <c r="AX223" s="241"/>
      <c r="AY223" s="241"/>
      <c r="AZ223" s="241"/>
      <c r="BA223" s="241"/>
      <c r="BB223" s="241"/>
      <c r="BC223" s="258"/>
      <c r="BD223" s="258"/>
      <c r="BE223" s="258"/>
      <c r="BF223" s="258"/>
      <c r="BG223" s="258"/>
      <c r="BH223" s="258"/>
      <c r="BI223" s="258"/>
      <c r="BJ223" s="258"/>
      <c r="BK223" s="258"/>
      <c r="BL223" s="258"/>
      <c r="BM223" s="258"/>
      <c r="BN223" s="258"/>
      <c r="BO223" s="258"/>
      <c r="BP223" s="258"/>
      <c r="BQ223" s="258"/>
      <c r="BR223" s="258"/>
      <c r="BS223" s="258"/>
      <c r="BT223" s="258"/>
      <c r="BU223" s="258"/>
      <c r="BV223" s="258"/>
      <c r="BW223" s="258"/>
      <c r="BX223" s="258"/>
      <c r="BY223" s="258"/>
      <c r="BZ223" s="258"/>
      <c r="CA223" s="258"/>
      <c r="CB223" s="258"/>
      <c r="CC223" s="258"/>
      <c r="CD223" s="241">
        <v>0</v>
      </c>
      <c r="CE223" s="241"/>
      <c r="CF223" s="241">
        <v>-37.5</v>
      </c>
      <c r="CG223" s="241">
        <v>-107.58</v>
      </c>
      <c r="CH223" s="241">
        <v>222</v>
      </c>
    </row>
    <row r="224" spans="1:86" x14ac:dyDescent="0.25">
      <c r="A224" s="159" t="s">
        <v>819</v>
      </c>
      <c r="B224" s="159">
        <v>0</v>
      </c>
      <c r="C224" s="159">
        <v>650</v>
      </c>
      <c r="D224" s="159">
        <v>60</v>
      </c>
      <c r="E224" s="159" t="s">
        <v>233</v>
      </c>
      <c r="F224" s="159" t="s">
        <v>499</v>
      </c>
      <c r="G224" s="264">
        <v>8000000</v>
      </c>
      <c r="H224" s="249">
        <v>12.556208076085163</v>
      </c>
      <c r="I224" s="249">
        <v>19.663650831853669</v>
      </c>
      <c r="J224" s="249">
        <v>1.773985511658648</v>
      </c>
      <c r="K224" s="249">
        <v>63.557133030230403</v>
      </c>
      <c r="L224" s="249">
        <v>0</v>
      </c>
      <c r="M224" s="249">
        <v>0</v>
      </c>
      <c r="N224" s="249">
        <v>1.6715597967278457</v>
      </c>
      <c r="O224" s="249">
        <v>0</v>
      </c>
      <c r="P224" s="249">
        <v>0</v>
      </c>
      <c r="Q224" s="249">
        <v>0.77746275344426163</v>
      </c>
      <c r="R224" s="249">
        <v>0</v>
      </c>
      <c r="S224" s="249">
        <v>0</v>
      </c>
      <c r="T224" s="249">
        <v>0</v>
      </c>
      <c r="U224" s="249">
        <v>0</v>
      </c>
      <c r="V224" s="249">
        <v>0</v>
      </c>
      <c r="W224" s="249">
        <v>0</v>
      </c>
      <c r="X224" s="249">
        <v>0</v>
      </c>
      <c r="Y224" s="249">
        <v>0</v>
      </c>
      <c r="Z224" s="249">
        <v>0</v>
      </c>
      <c r="AA224" s="249">
        <v>0</v>
      </c>
      <c r="AB224" s="249">
        <v>0</v>
      </c>
      <c r="AC224" s="249">
        <v>0</v>
      </c>
      <c r="AD224" s="249">
        <v>0</v>
      </c>
      <c r="AE224" s="249">
        <v>0</v>
      </c>
      <c r="AF224" s="249">
        <v>-138.80847392322406</v>
      </c>
      <c r="AG224" s="249">
        <v>-64.432312040620616</v>
      </c>
      <c r="AH224" s="159">
        <v>30</v>
      </c>
      <c r="AI224" s="159">
        <v>12</v>
      </c>
      <c r="AJ224" s="159">
        <v>1.5</v>
      </c>
      <c r="AK224" s="159" t="s">
        <v>245</v>
      </c>
      <c r="AL224" s="159" t="s">
        <v>247</v>
      </c>
      <c r="AM224" s="159"/>
      <c r="AN224" s="159">
        <v>0</v>
      </c>
      <c r="AO224" s="159"/>
      <c r="AP224" s="159"/>
      <c r="AQ224" s="159"/>
      <c r="AR224" s="159"/>
      <c r="AS224" s="159"/>
      <c r="AT224" s="249"/>
      <c r="AU224" s="249"/>
      <c r="AV224" s="249"/>
      <c r="AW224" s="159"/>
      <c r="AX224" s="159"/>
      <c r="AY224" s="159"/>
      <c r="AZ224" s="159"/>
      <c r="BA224" s="159"/>
      <c r="BB224" s="159"/>
      <c r="BC224" s="259"/>
      <c r="BD224" s="259"/>
      <c r="BE224" s="259"/>
      <c r="BF224" s="259"/>
      <c r="BG224" s="259"/>
      <c r="BH224" s="259"/>
      <c r="BI224" s="259"/>
      <c r="BJ224" s="259"/>
      <c r="BK224" s="259"/>
      <c r="BL224" s="259"/>
      <c r="BM224" s="259"/>
      <c r="BN224" s="259"/>
      <c r="BO224" s="259"/>
      <c r="BP224" s="259"/>
      <c r="BQ224" s="259"/>
      <c r="BR224" s="259"/>
      <c r="BS224" s="259"/>
      <c r="BT224" s="259"/>
      <c r="BU224" s="259"/>
      <c r="BV224" s="259"/>
      <c r="BW224" s="259"/>
      <c r="BX224" s="259"/>
      <c r="BY224" s="259"/>
      <c r="BZ224" s="259"/>
      <c r="CA224" s="259"/>
      <c r="CB224" s="259"/>
      <c r="CC224" s="259"/>
      <c r="CD224" s="159">
        <v>0</v>
      </c>
      <c r="CE224" s="159"/>
      <c r="CF224" s="159">
        <v>-98.2</v>
      </c>
      <c r="CG224" s="159">
        <v>-97.67</v>
      </c>
      <c r="CH224" s="159">
        <v>223</v>
      </c>
    </row>
    <row r="225" spans="1:86" x14ac:dyDescent="0.25">
      <c r="A225" s="241" t="s">
        <v>820</v>
      </c>
      <c r="B225" s="241">
        <v>0</v>
      </c>
      <c r="C225" s="241">
        <v>650</v>
      </c>
      <c r="D225" s="241">
        <v>60</v>
      </c>
      <c r="E225" s="241" t="s">
        <v>233</v>
      </c>
      <c r="F225" s="241" t="s">
        <v>250</v>
      </c>
      <c r="G225" s="265">
        <v>7940000</v>
      </c>
      <c r="H225" s="250">
        <v>28.631940546184431</v>
      </c>
      <c r="I225" s="250">
        <v>22.119050915575794</v>
      </c>
      <c r="J225" s="250">
        <v>0.10969980218450089</v>
      </c>
      <c r="K225" s="250">
        <v>46.178411626106566</v>
      </c>
      <c r="L225" s="250">
        <v>0</v>
      </c>
      <c r="M225" s="250">
        <v>0</v>
      </c>
      <c r="N225" s="250">
        <v>0.58490026921448546</v>
      </c>
      <c r="O225" s="250">
        <v>1.0062285081807389</v>
      </c>
      <c r="P225" s="250">
        <v>0.65971128165602888</v>
      </c>
      <c r="Q225" s="250">
        <v>0.71005705089747106</v>
      </c>
      <c r="R225" s="250">
        <v>0</v>
      </c>
      <c r="S225" s="250">
        <v>0</v>
      </c>
      <c r="T225" s="250">
        <v>0</v>
      </c>
      <c r="U225" s="250">
        <v>0</v>
      </c>
      <c r="V225" s="250">
        <v>0</v>
      </c>
      <c r="W225" s="250">
        <v>0</v>
      </c>
      <c r="X225" s="250">
        <v>0</v>
      </c>
      <c r="Y225" s="250">
        <v>0</v>
      </c>
      <c r="Z225" s="250">
        <v>0</v>
      </c>
      <c r="AA225" s="250">
        <v>0</v>
      </c>
      <c r="AB225" s="250">
        <v>0</v>
      </c>
      <c r="AC225" s="250">
        <v>0</v>
      </c>
      <c r="AD225" s="250">
        <v>0</v>
      </c>
      <c r="AE225" s="250">
        <v>0</v>
      </c>
      <c r="AF225" s="250">
        <v>-137.58755767812215</v>
      </c>
      <c r="AG225" s="250">
        <v>-64.432312040620616</v>
      </c>
      <c r="AH225" s="241">
        <v>30</v>
      </c>
      <c r="AI225" s="241">
        <v>12</v>
      </c>
      <c r="AJ225" s="241">
        <v>1.5</v>
      </c>
      <c r="AK225" s="241" t="s">
        <v>245</v>
      </c>
      <c r="AL225" s="241" t="s">
        <v>247</v>
      </c>
      <c r="AM225" s="241"/>
      <c r="AN225" s="241">
        <v>0</v>
      </c>
      <c r="AO225" s="241"/>
      <c r="AP225" s="241"/>
      <c r="AQ225" s="241"/>
      <c r="AR225" s="241"/>
      <c r="AS225" s="241"/>
      <c r="AT225" s="250"/>
      <c r="AU225" s="250"/>
      <c r="AV225" s="250"/>
      <c r="AW225" s="241"/>
      <c r="AX225" s="241"/>
      <c r="AY225" s="241"/>
      <c r="AZ225" s="241"/>
      <c r="BA225" s="241"/>
      <c r="BB225" s="241"/>
      <c r="BC225" s="258"/>
      <c r="BD225" s="258"/>
      <c r="BE225" s="258"/>
      <c r="BF225" s="258"/>
      <c r="BG225" s="258"/>
      <c r="BH225" s="258"/>
      <c r="BI225" s="258"/>
      <c r="BJ225" s="258"/>
      <c r="BK225" s="258"/>
      <c r="BL225" s="258"/>
      <c r="BM225" s="258"/>
      <c r="BN225" s="258"/>
      <c r="BO225" s="258"/>
      <c r="BP225" s="258"/>
      <c r="BQ225" s="258"/>
      <c r="BR225" s="258"/>
      <c r="BS225" s="258"/>
      <c r="BT225" s="258"/>
      <c r="BU225" s="258"/>
      <c r="BV225" s="258"/>
      <c r="BW225" s="258"/>
      <c r="BX225" s="258"/>
      <c r="BY225" s="258"/>
      <c r="BZ225" s="258"/>
      <c r="CA225" s="258"/>
      <c r="CB225" s="258"/>
      <c r="CC225" s="258"/>
      <c r="CD225" s="241">
        <v>0</v>
      </c>
      <c r="CE225" s="241"/>
      <c r="CF225" s="241">
        <v>-53.2</v>
      </c>
      <c r="CG225" s="241">
        <v>-214.39</v>
      </c>
      <c r="CH225" s="241">
        <v>224</v>
      </c>
    </row>
    <row r="226" spans="1:86" ht="16.5" thickBot="1" x14ac:dyDescent="0.3">
      <c r="A226" s="160" t="s">
        <v>821</v>
      </c>
      <c r="B226" s="160">
        <v>0</v>
      </c>
      <c r="C226" s="160">
        <v>650</v>
      </c>
      <c r="D226" s="160">
        <v>60</v>
      </c>
      <c r="E226" s="160" t="s">
        <v>233</v>
      </c>
      <c r="F226" s="160" t="s">
        <v>314</v>
      </c>
      <c r="G226" s="267">
        <v>8440000</v>
      </c>
      <c r="H226" s="252">
        <v>61.249275467984226</v>
      </c>
      <c r="I226" s="252">
        <v>24.686565165283</v>
      </c>
      <c r="J226" s="252">
        <v>5.3930411888303764</v>
      </c>
      <c r="K226" s="252">
        <v>5.0687712601134605</v>
      </c>
      <c r="L226" s="252">
        <v>0</v>
      </c>
      <c r="M226" s="252">
        <v>0.12085156992672762</v>
      </c>
      <c r="N226" s="252">
        <v>6.481418834894484E-2</v>
      </c>
      <c r="O226" s="252">
        <v>0.52793054231149428</v>
      </c>
      <c r="P226" s="252">
        <v>0.27275124703573095</v>
      </c>
      <c r="Q226" s="252">
        <v>0.38030169183599449</v>
      </c>
      <c r="R226" s="252">
        <v>0</v>
      </c>
      <c r="S226" s="252">
        <v>0</v>
      </c>
      <c r="T226" s="252">
        <v>2.2356976783300326</v>
      </c>
      <c r="U226" s="252">
        <v>0</v>
      </c>
      <c r="V226" s="252">
        <v>0</v>
      </c>
      <c r="W226" s="252">
        <v>0</v>
      </c>
      <c r="X226" s="252">
        <v>0</v>
      </c>
      <c r="Y226" s="252">
        <v>0</v>
      </c>
      <c r="Z226" s="252">
        <v>0</v>
      </c>
      <c r="AA226" s="252">
        <v>0</v>
      </c>
      <c r="AB226" s="252">
        <v>0</v>
      </c>
      <c r="AC226" s="252">
        <v>0</v>
      </c>
      <c r="AD226" s="252">
        <v>0</v>
      </c>
      <c r="AE226" s="252">
        <v>0</v>
      </c>
      <c r="AF226" s="252">
        <v>-131.88275644330508</v>
      </c>
      <c r="AG226" s="252">
        <v>-64.432312040620616</v>
      </c>
      <c r="AH226" s="160">
        <v>30</v>
      </c>
      <c r="AI226" s="160">
        <v>12</v>
      </c>
      <c r="AJ226" s="160">
        <v>1.5</v>
      </c>
      <c r="AK226" s="160" t="s">
        <v>245</v>
      </c>
      <c r="AL226" s="160" t="s">
        <v>247</v>
      </c>
      <c r="AM226" s="160"/>
      <c r="AN226" s="160">
        <v>0</v>
      </c>
      <c r="AO226" s="160"/>
      <c r="AP226" s="160"/>
      <c r="AQ226" s="160"/>
      <c r="AR226" s="160"/>
      <c r="AS226" s="160"/>
      <c r="AT226" s="252"/>
      <c r="AU226" s="252"/>
      <c r="AV226" s="252"/>
      <c r="AW226" s="160"/>
      <c r="AX226" s="160"/>
      <c r="AY226" s="160"/>
      <c r="AZ226" s="160"/>
      <c r="BA226" s="160"/>
      <c r="BB226" s="160"/>
      <c r="BC226" s="260"/>
      <c r="BD226" s="260"/>
      <c r="BE226" s="260"/>
      <c r="BF226" s="260"/>
      <c r="BG226" s="260"/>
      <c r="BH226" s="260"/>
      <c r="BI226" s="260"/>
      <c r="BJ226" s="260"/>
      <c r="BK226" s="260"/>
      <c r="BL226" s="260"/>
      <c r="BM226" s="260"/>
      <c r="BN226" s="260"/>
      <c r="BO226" s="260"/>
      <c r="BP226" s="260"/>
      <c r="BQ226" s="260"/>
      <c r="BR226" s="260"/>
      <c r="BS226" s="260"/>
      <c r="BT226" s="260"/>
      <c r="BU226" s="260"/>
      <c r="BV226" s="260"/>
      <c r="BW226" s="260"/>
      <c r="BX226" s="260"/>
      <c r="BY226" s="260"/>
      <c r="BZ226" s="260"/>
      <c r="CA226" s="260"/>
      <c r="CB226" s="260"/>
      <c r="CC226" s="260"/>
      <c r="CD226" s="160">
        <v>0</v>
      </c>
      <c r="CE226" s="160"/>
      <c r="CF226" s="160">
        <v>-49.4</v>
      </c>
      <c r="CG226" s="160">
        <v>-137</v>
      </c>
      <c r="CH226" s="160">
        <v>225</v>
      </c>
    </row>
    <row r="227" spans="1:86" x14ac:dyDescent="0.25">
      <c r="A227" s="241" t="s">
        <v>822</v>
      </c>
      <c r="B227" s="241">
        <v>0</v>
      </c>
      <c r="C227" s="241">
        <v>550</v>
      </c>
      <c r="D227" s="241">
        <v>720</v>
      </c>
      <c r="E227" s="241" t="s">
        <v>233</v>
      </c>
      <c r="F227" s="241" t="s">
        <v>227</v>
      </c>
      <c r="G227" s="265">
        <v>7980000</v>
      </c>
      <c r="H227" s="250">
        <v>9.7793904265458007</v>
      </c>
      <c r="I227" s="250">
        <v>18.453230324283425</v>
      </c>
      <c r="J227" s="250">
        <v>1.3919162740238202</v>
      </c>
      <c r="K227" s="250">
        <v>67.643951486161157</v>
      </c>
      <c r="L227" s="250">
        <v>0</v>
      </c>
      <c r="M227" s="250">
        <v>0</v>
      </c>
      <c r="N227" s="250">
        <v>1.7801428100097034</v>
      </c>
      <c r="O227" s="250">
        <v>0</v>
      </c>
      <c r="P227" s="250">
        <v>0</v>
      </c>
      <c r="Q227" s="250">
        <v>0.69634066202871547</v>
      </c>
      <c r="R227" s="250">
        <v>0</v>
      </c>
      <c r="S227" s="250">
        <v>0.25502801694738092</v>
      </c>
      <c r="T227" s="250">
        <v>0</v>
      </c>
      <c r="U227" s="250">
        <v>0</v>
      </c>
      <c r="V227" s="250">
        <v>0</v>
      </c>
      <c r="W227" s="250">
        <v>0</v>
      </c>
      <c r="X227" s="250">
        <v>0</v>
      </c>
      <c r="Y227" s="250">
        <v>0</v>
      </c>
      <c r="Z227" s="250">
        <v>0</v>
      </c>
      <c r="AA227" s="250">
        <v>0</v>
      </c>
      <c r="AB227" s="250">
        <v>0</v>
      </c>
      <c r="AC227" s="250">
        <v>0</v>
      </c>
      <c r="AD227" s="250">
        <v>0</v>
      </c>
      <c r="AE227" s="250">
        <v>0</v>
      </c>
      <c r="AF227" s="250">
        <v>-142.25854075460722</v>
      </c>
      <c r="AG227" s="250">
        <v>-66.237592947441144</v>
      </c>
      <c r="AH227" s="241">
        <v>30</v>
      </c>
      <c r="AI227" s="241">
        <v>15</v>
      </c>
      <c r="AJ227" s="241">
        <v>1</v>
      </c>
      <c r="AK227" s="241" t="s">
        <v>506</v>
      </c>
      <c r="AL227" s="241" t="s">
        <v>247</v>
      </c>
      <c r="AM227" s="241"/>
      <c r="AN227" s="241">
        <v>0</v>
      </c>
      <c r="AO227" s="241"/>
      <c r="AP227" s="241"/>
      <c r="AQ227" s="241"/>
      <c r="AR227" s="241"/>
      <c r="AS227" s="241"/>
      <c r="AT227" s="250"/>
      <c r="AU227" s="250"/>
      <c r="AV227" s="250"/>
      <c r="AW227" s="241"/>
      <c r="AX227" s="241"/>
      <c r="AY227" s="241"/>
      <c r="AZ227" s="241"/>
      <c r="BA227" s="241"/>
      <c r="BB227" s="241"/>
      <c r="BC227" s="258"/>
      <c r="BD227" s="258"/>
      <c r="BE227" s="258"/>
      <c r="BF227" s="258"/>
      <c r="BG227" s="258"/>
      <c r="BH227" s="258"/>
      <c r="BI227" s="258"/>
      <c r="BJ227" s="258"/>
      <c r="BK227" s="258"/>
      <c r="BL227" s="258"/>
      <c r="BM227" s="258"/>
      <c r="BN227" s="258"/>
      <c r="BO227" s="258"/>
      <c r="BP227" s="258"/>
      <c r="BQ227" s="258"/>
      <c r="BR227" s="258"/>
      <c r="BS227" s="258"/>
      <c r="BT227" s="258"/>
      <c r="BU227" s="258"/>
      <c r="BV227" s="258"/>
      <c r="BW227" s="258"/>
      <c r="BX227" s="258"/>
      <c r="BY227" s="258"/>
      <c r="BZ227" s="258"/>
      <c r="CA227" s="258"/>
      <c r="CB227" s="258"/>
      <c r="CC227" s="258"/>
      <c r="CD227" s="241">
        <v>0</v>
      </c>
      <c r="CE227" s="241"/>
      <c r="CF227" s="241"/>
      <c r="CG227" s="241">
        <v>-0.75</v>
      </c>
      <c r="CH227" s="241">
        <v>226</v>
      </c>
    </row>
    <row r="228" spans="1:86" x14ac:dyDescent="0.25">
      <c r="A228" s="159" t="s">
        <v>823</v>
      </c>
      <c r="B228" s="159">
        <v>0</v>
      </c>
      <c r="C228" s="159">
        <v>700</v>
      </c>
      <c r="D228" s="159">
        <v>720</v>
      </c>
      <c r="E228" s="159" t="s">
        <v>233</v>
      </c>
      <c r="F228" s="159" t="s">
        <v>227</v>
      </c>
      <c r="G228" s="264">
        <v>7980000</v>
      </c>
      <c r="H228" s="249">
        <v>9.7793904265458007</v>
      </c>
      <c r="I228" s="249">
        <v>18.453230324283425</v>
      </c>
      <c r="J228" s="249">
        <v>1.3919162740238202</v>
      </c>
      <c r="K228" s="249">
        <v>67.643951486161157</v>
      </c>
      <c r="L228" s="249">
        <v>0</v>
      </c>
      <c r="M228" s="249">
        <v>0</v>
      </c>
      <c r="N228" s="249">
        <v>1.7801428100097034</v>
      </c>
      <c r="O228" s="249">
        <v>0</v>
      </c>
      <c r="P228" s="249">
        <v>0</v>
      </c>
      <c r="Q228" s="249">
        <v>0.69634066202871547</v>
      </c>
      <c r="R228" s="249">
        <v>0</v>
      </c>
      <c r="S228" s="249">
        <v>0.25502801694738092</v>
      </c>
      <c r="T228" s="249">
        <v>0</v>
      </c>
      <c r="U228" s="249">
        <v>0</v>
      </c>
      <c r="V228" s="249">
        <v>0</v>
      </c>
      <c r="W228" s="249">
        <v>0</v>
      </c>
      <c r="X228" s="249">
        <v>0</v>
      </c>
      <c r="Y228" s="249">
        <v>0</v>
      </c>
      <c r="Z228" s="249">
        <v>0</v>
      </c>
      <c r="AA228" s="249">
        <v>0</v>
      </c>
      <c r="AB228" s="249">
        <v>0</v>
      </c>
      <c r="AC228" s="249">
        <v>0</v>
      </c>
      <c r="AD228" s="249">
        <v>0</v>
      </c>
      <c r="AE228" s="249">
        <v>0</v>
      </c>
      <c r="AF228" s="249">
        <v>-137.38764590231389</v>
      </c>
      <c r="AG228" s="249">
        <v>-63.529671587210359</v>
      </c>
      <c r="AH228" s="159">
        <v>30</v>
      </c>
      <c r="AI228" s="159">
        <v>15</v>
      </c>
      <c r="AJ228" s="159">
        <v>1</v>
      </c>
      <c r="AK228" s="159" t="s">
        <v>506</v>
      </c>
      <c r="AL228" s="159" t="s">
        <v>247</v>
      </c>
      <c r="AM228" s="159"/>
      <c r="AN228" s="159">
        <v>0</v>
      </c>
      <c r="AO228" s="159"/>
      <c r="AP228" s="159"/>
      <c r="AQ228" s="159"/>
      <c r="AR228" s="159"/>
      <c r="AS228" s="159"/>
      <c r="AT228" s="249"/>
      <c r="AU228" s="249"/>
      <c r="AV228" s="249"/>
      <c r="AW228" s="159"/>
      <c r="AX228" s="159"/>
      <c r="AY228" s="159"/>
      <c r="AZ228" s="159"/>
      <c r="BA228" s="159"/>
      <c r="BB228" s="159"/>
      <c r="BC228" s="259"/>
      <c r="BD228" s="259"/>
      <c r="BE228" s="259"/>
      <c r="BF228" s="259"/>
      <c r="BG228" s="259"/>
      <c r="BH228" s="259"/>
      <c r="BI228" s="259"/>
      <c r="BJ228" s="259"/>
      <c r="BK228" s="259"/>
      <c r="BL228" s="259"/>
      <c r="BM228" s="259"/>
      <c r="BN228" s="259"/>
      <c r="BO228" s="259"/>
      <c r="BP228" s="259"/>
      <c r="BQ228" s="259"/>
      <c r="BR228" s="259"/>
      <c r="BS228" s="259"/>
      <c r="BT228" s="259"/>
      <c r="BU228" s="259"/>
      <c r="BV228" s="259"/>
      <c r="BW228" s="259"/>
      <c r="BX228" s="259"/>
      <c r="BY228" s="259"/>
      <c r="BZ228" s="259"/>
      <c r="CA228" s="259"/>
      <c r="CB228" s="259"/>
      <c r="CC228" s="259"/>
      <c r="CD228" s="159">
        <v>0</v>
      </c>
      <c r="CE228" s="159"/>
      <c r="CF228" s="159"/>
      <c r="CG228" s="159">
        <v>-1.1200000000000001</v>
      </c>
      <c r="CH228" s="159">
        <v>227</v>
      </c>
    </row>
    <row r="229" spans="1:86" x14ac:dyDescent="0.25">
      <c r="A229" s="241" t="s">
        <v>824</v>
      </c>
      <c r="B229" s="241">
        <v>0</v>
      </c>
      <c r="C229" s="241">
        <v>550</v>
      </c>
      <c r="D229" s="241">
        <v>2160</v>
      </c>
      <c r="E229" s="241" t="s">
        <v>233</v>
      </c>
      <c r="F229" s="241" t="s">
        <v>227</v>
      </c>
      <c r="G229" s="265">
        <v>7980000</v>
      </c>
      <c r="H229" s="250">
        <v>9.7793904265458007</v>
      </c>
      <c r="I229" s="250">
        <v>18.453230324283425</v>
      </c>
      <c r="J229" s="250">
        <v>1.3919162740238202</v>
      </c>
      <c r="K229" s="250">
        <v>67.643951486161157</v>
      </c>
      <c r="L229" s="250">
        <v>0</v>
      </c>
      <c r="M229" s="250">
        <v>0</v>
      </c>
      <c r="N229" s="250">
        <v>1.7801428100097034</v>
      </c>
      <c r="O229" s="250">
        <v>0</v>
      </c>
      <c r="P229" s="250">
        <v>0</v>
      </c>
      <c r="Q229" s="250">
        <v>0.69634066202871547</v>
      </c>
      <c r="R229" s="250">
        <v>0</v>
      </c>
      <c r="S229" s="250">
        <v>0.25502801694738092</v>
      </c>
      <c r="T229" s="250">
        <v>0</v>
      </c>
      <c r="U229" s="250">
        <v>0</v>
      </c>
      <c r="V229" s="250">
        <v>0</v>
      </c>
      <c r="W229" s="250">
        <v>0</v>
      </c>
      <c r="X229" s="250">
        <v>0</v>
      </c>
      <c r="Y229" s="250">
        <v>0</v>
      </c>
      <c r="Z229" s="250">
        <v>0</v>
      </c>
      <c r="AA229" s="250">
        <v>0</v>
      </c>
      <c r="AB229" s="250">
        <v>0</v>
      </c>
      <c r="AC229" s="250">
        <v>0</v>
      </c>
      <c r="AD229" s="250">
        <v>0</v>
      </c>
      <c r="AE229" s="250">
        <v>0</v>
      </c>
      <c r="AF229" s="250">
        <v>-142.25854075460722</v>
      </c>
      <c r="AG229" s="250">
        <v>-66.237592947441144</v>
      </c>
      <c r="AH229" s="241">
        <v>30</v>
      </c>
      <c r="AI229" s="241">
        <v>15</v>
      </c>
      <c r="AJ229" s="241">
        <v>1</v>
      </c>
      <c r="AK229" s="241" t="s">
        <v>506</v>
      </c>
      <c r="AL229" s="241" t="s">
        <v>247</v>
      </c>
      <c r="AM229" s="241"/>
      <c r="AN229" s="241">
        <v>0</v>
      </c>
      <c r="AO229" s="241"/>
      <c r="AP229" s="241"/>
      <c r="AQ229" s="241"/>
      <c r="AR229" s="241"/>
      <c r="AS229" s="241"/>
      <c r="AT229" s="250"/>
      <c r="AU229" s="250"/>
      <c r="AV229" s="250"/>
      <c r="AW229" s="241"/>
      <c r="AX229" s="241"/>
      <c r="AY229" s="241"/>
      <c r="AZ229" s="241"/>
      <c r="BA229" s="241"/>
      <c r="BB229" s="241"/>
      <c r="BC229" s="258"/>
      <c r="BD229" s="258"/>
      <c r="BE229" s="258"/>
      <c r="BF229" s="258"/>
      <c r="BG229" s="258"/>
      <c r="BH229" s="258"/>
      <c r="BI229" s="258"/>
      <c r="BJ229" s="258"/>
      <c r="BK229" s="258"/>
      <c r="BL229" s="258"/>
      <c r="BM229" s="258"/>
      <c r="BN229" s="258"/>
      <c r="BO229" s="258"/>
      <c r="BP229" s="258"/>
      <c r="BQ229" s="258"/>
      <c r="BR229" s="258"/>
      <c r="BS229" s="258"/>
      <c r="BT229" s="258"/>
      <c r="BU229" s="258"/>
      <c r="BV229" s="258"/>
      <c r="BW229" s="258"/>
      <c r="BX229" s="258"/>
      <c r="BY229" s="258"/>
      <c r="BZ229" s="258"/>
      <c r="CA229" s="258"/>
      <c r="CB229" s="258"/>
      <c r="CC229" s="258"/>
      <c r="CD229" s="241">
        <v>0</v>
      </c>
      <c r="CE229" s="241"/>
      <c r="CF229" s="241"/>
      <c r="CG229" s="241">
        <v>-0.63</v>
      </c>
      <c r="CH229" s="241">
        <v>228</v>
      </c>
    </row>
    <row r="230" spans="1:86" x14ac:dyDescent="0.25">
      <c r="A230" s="159" t="s">
        <v>825</v>
      </c>
      <c r="B230" s="159">
        <v>0</v>
      </c>
      <c r="C230" s="159">
        <v>700</v>
      </c>
      <c r="D230" s="159">
        <v>2160</v>
      </c>
      <c r="E230" s="159" t="s">
        <v>233</v>
      </c>
      <c r="F230" s="159" t="s">
        <v>227</v>
      </c>
      <c r="G230" s="264">
        <v>7980000</v>
      </c>
      <c r="H230" s="249">
        <v>9.7793904265458007</v>
      </c>
      <c r="I230" s="249">
        <v>18.453230324283425</v>
      </c>
      <c r="J230" s="249">
        <v>1.3919162740238202</v>
      </c>
      <c r="K230" s="249">
        <v>67.643951486161157</v>
      </c>
      <c r="L230" s="249">
        <v>0</v>
      </c>
      <c r="M230" s="249">
        <v>0</v>
      </c>
      <c r="N230" s="249">
        <v>1.7801428100097034</v>
      </c>
      <c r="O230" s="249">
        <v>0</v>
      </c>
      <c r="P230" s="249">
        <v>0</v>
      </c>
      <c r="Q230" s="249">
        <v>0.69634066202871547</v>
      </c>
      <c r="R230" s="249">
        <v>0</v>
      </c>
      <c r="S230" s="249">
        <v>0.25502801694738092</v>
      </c>
      <c r="T230" s="249">
        <v>0</v>
      </c>
      <c r="U230" s="249">
        <v>0</v>
      </c>
      <c r="V230" s="249">
        <v>0</v>
      </c>
      <c r="W230" s="249">
        <v>0</v>
      </c>
      <c r="X230" s="249">
        <v>0</v>
      </c>
      <c r="Y230" s="249">
        <v>0</v>
      </c>
      <c r="Z230" s="249">
        <v>0</v>
      </c>
      <c r="AA230" s="249">
        <v>0</v>
      </c>
      <c r="AB230" s="249">
        <v>0</v>
      </c>
      <c r="AC230" s="249">
        <v>0</v>
      </c>
      <c r="AD230" s="249">
        <v>0</v>
      </c>
      <c r="AE230" s="249">
        <v>0</v>
      </c>
      <c r="AF230" s="249">
        <v>-137.38764590231389</v>
      </c>
      <c r="AG230" s="249">
        <v>-63.529671587210359</v>
      </c>
      <c r="AH230" s="159">
        <v>30</v>
      </c>
      <c r="AI230" s="159">
        <v>15</v>
      </c>
      <c r="AJ230" s="159">
        <v>1</v>
      </c>
      <c r="AK230" s="159" t="s">
        <v>506</v>
      </c>
      <c r="AL230" s="159" t="s">
        <v>247</v>
      </c>
      <c r="AM230" s="159"/>
      <c r="AN230" s="159">
        <v>0</v>
      </c>
      <c r="AO230" s="159"/>
      <c r="AP230" s="159"/>
      <c r="AQ230" s="159"/>
      <c r="AR230" s="159"/>
      <c r="AS230" s="159"/>
      <c r="AT230" s="249"/>
      <c r="AU230" s="249"/>
      <c r="AV230" s="249"/>
      <c r="AW230" s="159"/>
      <c r="AX230" s="159"/>
      <c r="AY230" s="159"/>
      <c r="AZ230" s="159"/>
      <c r="BA230" s="159"/>
      <c r="BB230" s="159"/>
      <c r="BC230" s="259"/>
      <c r="BD230" s="259"/>
      <c r="BE230" s="259"/>
      <c r="BF230" s="259"/>
      <c r="BG230" s="259"/>
      <c r="BH230" s="259"/>
      <c r="BI230" s="259"/>
      <c r="BJ230" s="259"/>
      <c r="BK230" s="259"/>
      <c r="BL230" s="259"/>
      <c r="BM230" s="259"/>
      <c r="BN230" s="259"/>
      <c r="BO230" s="259"/>
      <c r="BP230" s="259"/>
      <c r="BQ230" s="259"/>
      <c r="BR230" s="259"/>
      <c r="BS230" s="259"/>
      <c r="BT230" s="259"/>
      <c r="BU230" s="259"/>
      <c r="BV230" s="259"/>
      <c r="BW230" s="259"/>
      <c r="BX230" s="259"/>
      <c r="BY230" s="259"/>
      <c r="BZ230" s="259"/>
      <c r="CA230" s="259"/>
      <c r="CB230" s="259"/>
      <c r="CC230" s="259"/>
      <c r="CD230" s="159">
        <v>0</v>
      </c>
      <c r="CE230" s="159"/>
      <c r="CF230" s="159"/>
      <c r="CG230" s="159">
        <v>-1.9</v>
      </c>
      <c r="CH230" s="159">
        <v>229</v>
      </c>
    </row>
    <row r="231" spans="1:86" x14ac:dyDescent="0.25">
      <c r="A231" s="241" t="s">
        <v>826</v>
      </c>
      <c r="B231" s="241">
        <v>0</v>
      </c>
      <c r="C231" s="241">
        <v>550</v>
      </c>
      <c r="D231" s="241">
        <v>750</v>
      </c>
      <c r="E231" s="241" t="s">
        <v>233</v>
      </c>
      <c r="F231" s="241" t="s">
        <v>510</v>
      </c>
      <c r="G231" s="265">
        <v>7940000</v>
      </c>
      <c r="H231" s="250">
        <v>29.153350435184734</v>
      </c>
      <c r="I231" s="250">
        <v>21.599651121385847</v>
      </c>
      <c r="J231" s="250">
        <v>0</v>
      </c>
      <c r="K231" s="250">
        <v>47.587962177016109</v>
      </c>
      <c r="L231" s="250">
        <v>0</v>
      </c>
      <c r="M231" s="250">
        <v>0</v>
      </c>
      <c r="N231" s="250">
        <v>0.75190880124325687</v>
      </c>
      <c r="O231" s="250">
        <v>0</v>
      </c>
      <c r="P231" s="250">
        <v>0.48978780387558385</v>
      </c>
      <c r="Q231" s="250">
        <v>0.41733966129448552</v>
      </c>
      <c r="R231" s="250">
        <v>0</v>
      </c>
      <c r="S231" s="250">
        <v>0</v>
      </c>
      <c r="T231" s="250">
        <v>0</v>
      </c>
      <c r="U231" s="250">
        <v>0</v>
      </c>
      <c r="V231" s="250">
        <v>0</v>
      </c>
      <c r="W231" s="250">
        <v>0</v>
      </c>
      <c r="X231" s="250">
        <v>0</v>
      </c>
      <c r="Y231" s="250">
        <v>0</v>
      </c>
      <c r="Z231" s="250">
        <v>0</v>
      </c>
      <c r="AA231" s="250">
        <v>0</v>
      </c>
      <c r="AB231" s="250">
        <v>0</v>
      </c>
      <c r="AC231" s="250">
        <v>0</v>
      </c>
      <c r="AD231" s="250">
        <v>0</v>
      </c>
      <c r="AE231" s="250">
        <v>0</v>
      </c>
      <c r="AF231" s="250">
        <v>-140.2664586475064</v>
      </c>
      <c r="AG231" s="250">
        <v>-66.237592947441144</v>
      </c>
      <c r="AH231" s="241">
        <v>30</v>
      </c>
      <c r="AI231" s="241">
        <v>15</v>
      </c>
      <c r="AJ231" s="241">
        <v>1</v>
      </c>
      <c r="AK231" s="241" t="s">
        <v>506</v>
      </c>
      <c r="AL231" s="241" t="s">
        <v>247</v>
      </c>
      <c r="AM231" s="241"/>
      <c r="AN231" s="241">
        <v>0</v>
      </c>
      <c r="AO231" s="241"/>
      <c r="AP231" s="241"/>
      <c r="AQ231" s="241"/>
      <c r="AR231" s="241"/>
      <c r="AS231" s="241"/>
      <c r="AT231" s="250"/>
      <c r="AU231" s="250"/>
      <c r="AV231" s="250"/>
      <c r="AW231" s="241"/>
      <c r="AX231" s="241"/>
      <c r="AY231" s="241"/>
      <c r="AZ231" s="241"/>
      <c r="BA231" s="241"/>
      <c r="BB231" s="241"/>
      <c r="BC231" s="258"/>
      <c r="BD231" s="258"/>
      <c r="BE231" s="258"/>
      <c r="BF231" s="258"/>
      <c r="BG231" s="258"/>
      <c r="BH231" s="258"/>
      <c r="BI231" s="258"/>
      <c r="BJ231" s="258"/>
      <c r="BK231" s="258"/>
      <c r="BL231" s="258"/>
      <c r="BM231" s="258"/>
      <c r="BN231" s="258"/>
      <c r="BO231" s="258"/>
      <c r="BP231" s="258"/>
      <c r="BQ231" s="258"/>
      <c r="BR231" s="258"/>
      <c r="BS231" s="258"/>
      <c r="BT231" s="258"/>
      <c r="BU231" s="258"/>
      <c r="BV231" s="258"/>
      <c r="BW231" s="258"/>
      <c r="BX231" s="258"/>
      <c r="BY231" s="258"/>
      <c r="BZ231" s="258"/>
      <c r="CA231" s="258"/>
      <c r="CB231" s="258"/>
      <c r="CC231" s="258"/>
      <c r="CD231" s="241">
        <v>0</v>
      </c>
      <c r="CE231" s="241"/>
      <c r="CF231" s="241"/>
      <c r="CG231" s="241">
        <v>-0.9</v>
      </c>
      <c r="CH231" s="241">
        <v>230</v>
      </c>
    </row>
    <row r="232" spans="1:86" x14ac:dyDescent="0.25">
      <c r="A232" s="159" t="s">
        <v>827</v>
      </c>
      <c r="B232" s="159">
        <v>0</v>
      </c>
      <c r="C232" s="159">
        <v>700</v>
      </c>
      <c r="D232" s="159">
        <v>720</v>
      </c>
      <c r="E232" s="159" t="s">
        <v>233</v>
      </c>
      <c r="F232" s="159" t="s">
        <v>510</v>
      </c>
      <c r="G232" s="264">
        <v>7940000</v>
      </c>
      <c r="H232" s="249">
        <v>29.153350435184734</v>
      </c>
      <c r="I232" s="249">
        <v>21.599651121385847</v>
      </c>
      <c r="J232" s="249">
        <v>0</v>
      </c>
      <c r="K232" s="249">
        <v>47.587962177016109</v>
      </c>
      <c r="L232" s="249">
        <v>0</v>
      </c>
      <c r="M232" s="249">
        <v>0</v>
      </c>
      <c r="N232" s="249">
        <v>0.75190880124325687</v>
      </c>
      <c r="O232" s="249">
        <v>0</v>
      </c>
      <c r="P232" s="249">
        <v>0.48978780387558385</v>
      </c>
      <c r="Q232" s="249">
        <v>0.41733966129448552</v>
      </c>
      <c r="R232" s="249">
        <v>0</v>
      </c>
      <c r="S232" s="249">
        <v>0</v>
      </c>
      <c r="T232" s="249">
        <v>0</v>
      </c>
      <c r="U232" s="249">
        <v>0</v>
      </c>
      <c r="V232" s="249">
        <v>0</v>
      </c>
      <c r="W232" s="249">
        <v>0</v>
      </c>
      <c r="X232" s="249">
        <v>0</v>
      </c>
      <c r="Y232" s="249">
        <v>0</v>
      </c>
      <c r="Z232" s="249">
        <v>0</v>
      </c>
      <c r="AA232" s="249">
        <v>0</v>
      </c>
      <c r="AB232" s="249">
        <v>0</v>
      </c>
      <c r="AC232" s="249">
        <v>0</v>
      </c>
      <c r="AD232" s="249">
        <v>0</v>
      </c>
      <c r="AE232" s="249">
        <v>0</v>
      </c>
      <c r="AF232" s="249">
        <v>-135.25658051249096</v>
      </c>
      <c r="AG232" s="249">
        <v>-63.529671587210359</v>
      </c>
      <c r="AH232" s="159">
        <v>30</v>
      </c>
      <c r="AI232" s="159">
        <v>15</v>
      </c>
      <c r="AJ232" s="159">
        <v>1</v>
      </c>
      <c r="AK232" s="159" t="s">
        <v>506</v>
      </c>
      <c r="AL232" s="159" t="s">
        <v>247</v>
      </c>
      <c r="AM232" s="159"/>
      <c r="AN232" s="159">
        <v>0</v>
      </c>
      <c r="AO232" s="159"/>
      <c r="AP232" s="159"/>
      <c r="AQ232" s="159"/>
      <c r="AR232" s="159"/>
      <c r="AS232" s="159"/>
      <c r="AT232" s="249"/>
      <c r="AU232" s="249"/>
      <c r="AV232" s="249"/>
      <c r="AW232" s="159"/>
      <c r="AX232" s="159"/>
      <c r="AY232" s="159"/>
      <c r="AZ232" s="159"/>
      <c r="BA232" s="159"/>
      <c r="BB232" s="159"/>
      <c r="BC232" s="259"/>
      <c r="BD232" s="259"/>
      <c r="BE232" s="259"/>
      <c r="BF232" s="259"/>
      <c r="BG232" s="259"/>
      <c r="BH232" s="259"/>
      <c r="BI232" s="259"/>
      <c r="BJ232" s="259"/>
      <c r="BK232" s="259"/>
      <c r="BL232" s="259"/>
      <c r="BM232" s="259"/>
      <c r="BN232" s="259"/>
      <c r="BO232" s="259"/>
      <c r="BP232" s="259"/>
      <c r="BQ232" s="259"/>
      <c r="BR232" s="259"/>
      <c r="BS232" s="259"/>
      <c r="BT232" s="259"/>
      <c r="BU232" s="259"/>
      <c r="BV232" s="259"/>
      <c r="BW232" s="259"/>
      <c r="BX232" s="259"/>
      <c r="BY232" s="259"/>
      <c r="BZ232" s="259"/>
      <c r="CA232" s="259"/>
      <c r="CB232" s="259"/>
      <c r="CC232" s="259"/>
      <c r="CD232" s="159">
        <v>0</v>
      </c>
      <c r="CE232" s="159"/>
      <c r="CF232" s="159"/>
      <c r="CG232" s="159">
        <v>-1.01</v>
      </c>
      <c r="CH232" s="159">
        <v>231</v>
      </c>
    </row>
    <row r="233" spans="1:86" x14ac:dyDescent="0.25">
      <c r="A233" s="241" t="s">
        <v>828</v>
      </c>
      <c r="B233" s="241">
        <v>0</v>
      </c>
      <c r="C233" s="241">
        <v>550</v>
      </c>
      <c r="D233" s="241">
        <v>2160</v>
      </c>
      <c r="E233" s="241" t="s">
        <v>233</v>
      </c>
      <c r="F233" s="241" t="s">
        <v>510</v>
      </c>
      <c r="G233" s="265">
        <v>7940000</v>
      </c>
      <c r="H233" s="250">
        <v>29.153350435184734</v>
      </c>
      <c r="I233" s="250">
        <v>21.599651121385847</v>
      </c>
      <c r="J233" s="250">
        <v>0</v>
      </c>
      <c r="K233" s="250">
        <v>47.587962177016109</v>
      </c>
      <c r="L233" s="250">
        <v>0</v>
      </c>
      <c r="M233" s="250">
        <v>0</v>
      </c>
      <c r="N233" s="250">
        <v>0.75190880124325687</v>
      </c>
      <c r="O233" s="250">
        <v>0</v>
      </c>
      <c r="P233" s="250">
        <v>0.48978780387558385</v>
      </c>
      <c r="Q233" s="250">
        <v>0.41733966129448552</v>
      </c>
      <c r="R233" s="250">
        <v>0</v>
      </c>
      <c r="S233" s="250">
        <v>0</v>
      </c>
      <c r="T233" s="250">
        <v>0</v>
      </c>
      <c r="U233" s="250">
        <v>0</v>
      </c>
      <c r="V233" s="250">
        <v>0</v>
      </c>
      <c r="W233" s="250">
        <v>0</v>
      </c>
      <c r="X233" s="250">
        <v>0</v>
      </c>
      <c r="Y233" s="250">
        <v>0</v>
      </c>
      <c r="Z233" s="250">
        <v>0</v>
      </c>
      <c r="AA233" s="250">
        <v>0</v>
      </c>
      <c r="AB233" s="250">
        <v>0</v>
      </c>
      <c r="AC233" s="250">
        <v>0</v>
      </c>
      <c r="AD233" s="250">
        <v>0</v>
      </c>
      <c r="AE233" s="250">
        <v>0</v>
      </c>
      <c r="AF233" s="250">
        <v>-140.2664586475064</v>
      </c>
      <c r="AG233" s="250">
        <v>-66.237592947441144</v>
      </c>
      <c r="AH233" s="241">
        <v>30</v>
      </c>
      <c r="AI233" s="241">
        <v>15</v>
      </c>
      <c r="AJ233" s="241">
        <v>1</v>
      </c>
      <c r="AK233" s="241" t="s">
        <v>506</v>
      </c>
      <c r="AL233" s="241" t="s">
        <v>247</v>
      </c>
      <c r="AM233" s="241"/>
      <c r="AN233" s="241">
        <v>0</v>
      </c>
      <c r="AO233" s="241"/>
      <c r="AP233" s="241"/>
      <c r="AQ233" s="241"/>
      <c r="AR233" s="241"/>
      <c r="AS233" s="241"/>
      <c r="AT233" s="250"/>
      <c r="AU233" s="250"/>
      <c r="AV233" s="250"/>
      <c r="AW233" s="241"/>
      <c r="AX233" s="241"/>
      <c r="AY233" s="241"/>
      <c r="AZ233" s="241"/>
      <c r="BA233" s="241"/>
      <c r="BB233" s="241"/>
      <c r="BC233" s="258"/>
      <c r="BD233" s="258"/>
      <c r="BE233" s="258"/>
      <c r="BF233" s="258"/>
      <c r="BG233" s="258"/>
      <c r="BH233" s="258"/>
      <c r="BI233" s="258"/>
      <c r="BJ233" s="258"/>
      <c r="BK233" s="258"/>
      <c r="BL233" s="258"/>
      <c r="BM233" s="258"/>
      <c r="BN233" s="258"/>
      <c r="BO233" s="258"/>
      <c r="BP233" s="258"/>
      <c r="BQ233" s="258"/>
      <c r="BR233" s="258"/>
      <c r="BS233" s="258"/>
      <c r="BT233" s="258"/>
      <c r="BU233" s="258"/>
      <c r="BV233" s="258"/>
      <c r="BW233" s="258"/>
      <c r="BX233" s="258"/>
      <c r="BY233" s="258"/>
      <c r="BZ233" s="258"/>
      <c r="CA233" s="258"/>
      <c r="CB233" s="258"/>
      <c r="CC233" s="258"/>
      <c r="CD233" s="241">
        <v>0</v>
      </c>
      <c r="CE233" s="241"/>
      <c r="CF233" s="241"/>
      <c r="CG233" s="241">
        <v>-0.52</v>
      </c>
      <c r="CH233" s="241">
        <v>232</v>
      </c>
    </row>
    <row r="234" spans="1:86" x14ac:dyDescent="0.25">
      <c r="A234" s="241" t="s">
        <v>829</v>
      </c>
      <c r="B234" s="241">
        <v>0</v>
      </c>
      <c r="C234" s="241">
        <v>550</v>
      </c>
      <c r="D234" s="241">
        <v>720</v>
      </c>
      <c r="E234" s="241" t="s">
        <v>233</v>
      </c>
      <c r="F234" s="241" t="s">
        <v>312</v>
      </c>
      <c r="G234" s="265">
        <v>8470000</v>
      </c>
      <c r="H234" s="250">
        <v>73.610912193050581</v>
      </c>
      <c r="I234" s="250">
        <v>17.681787889328746</v>
      </c>
      <c r="J234" s="250">
        <v>0</v>
      </c>
      <c r="K234" s="250">
        <v>8.5754969297680326</v>
      </c>
      <c r="L234" s="250">
        <v>0</v>
      </c>
      <c r="M234" s="250">
        <v>0</v>
      </c>
      <c r="N234" s="250">
        <v>0</v>
      </c>
      <c r="O234" s="250">
        <v>0</v>
      </c>
      <c r="P234" s="250">
        <v>0.13180298785265462</v>
      </c>
      <c r="Q234" s="250">
        <v>0</v>
      </c>
      <c r="R234" s="250">
        <v>0</v>
      </c>
      <c r="S234" s="250">
        <v>0</v>
      </c>
      <c r="T234" s="250">
        <v>0</v>
      </c>
      <c r="U234" s="250">
        <v>0</v>
      </c>
      <c r="V234" s="250">
        <v>0</v>
      </c>
      <c r="W234" s="250">
        <v>0</v>
      </c>
      <c r="X234" s="250">
        <v>0</v>
      </c>
      <c r="Y234" s="250">
        <v>0</v>
      </c>
      <c r="Z234" s="250">
        <v>0</v>
      </c>
      <c r="AA234" s="250">
        <v>0</v>
      </c>
      <c r="AB234" s="250">
        <v>0</v>
      </c>
      <c r="AC234" s="250">
        <v>0</v>
      </c>
      <c r="AD234" s="250">
        <v>0</v>
      </c>
      <c r="AE234" s="250">
        <v>0</v>
      </c>
      <c r="AF234" s="250">
        <v>-133.24546471332681</v>
      </c>
      <c r="AG234" s="250">
        <v>-66.237592947441144</v>
      </c>
      <c r="AH234" s="241">
        <v>30</v>
      </c>
      <c r="AI234" s="241">
        <v>15</v>
      </c>
      <c r="AJ234" s="241">
        <v>1</v>
      </c>
      <c r="AK234" s="241" t="s">
        <v>506</v>
      </c>
      <c r="AL234" s="241" t="s">
        <v>247</v>
      </c>
      <c r="AM234" s="241"/>
      <c r="AN234" s="241">
        <v>0</v>
      </c>
      <c r="AO234" s="241"/>
      <c r="AP234" s="241"/>
      <c r="AQ234" s="241"/>
      <c r="AR234" s="241"/>
      <c r="AS234" s="241"/>
      <c r="AT234" s="250"/>
      <c r="AU234" s="250"/>
      <c r="AV234" s="250"/>
      <c r="AW234" s="241"/>
      <c r="AX234" s="241"/>
      <c r="AY234" s="241"/>
      <c r="AZ234" s="241"/>
      <c r="BA234" s="241"/>
      <c r="BB234" s="241"/>
      <c r="BC234" s="258"/>
      <c r="BD234" s="258"/>
      <c r="BE234" s="258"/>
      <c r="BF234" s="258"/>
      <c r="BG234" s="258"/>
      <c r="BH234" s="258"/>
      <c r="BI234" s="258"/>
      <c r="BJ234" s="258"/>
      <c r="BK234" s="258"/>
      <c r="BL234" s="258"/>
      <c r="BM234" s="258"/>
      <c r="BN234" s="258"/>
      <c r="BO234" s="258"/>
      <c r="BP234" s="258"/>
      <c r="BQ234" s="258"/>
      <c r="BR234" s="258"/>
      <c r="BS234" s="258"/>
      <c r="BT234" s="258"/>
      <c r="BU234" s="258"/>
      <c r="BV234" s="258"/>
      <c r="BW234" s="258"/>
      <c r="BX234" s="258"/>
      <c r="BY234" s="258"/>
      <c r="BZ234" s="258"/>
      <c r="CA234" s="258"/>
      <c r="CB234" s="258"/>
      <c r="CC234" s="258"/>
      <c r="CD234" s="241">
        <v>0</v>
      </c>
      <c r="CE234" s="241"/>
      <c r="CF234" s="241"/>
      <c r="CG234" s="241">
        <v>-0.23</v>
      </c>
      <c r="CH234" s="241">
        <v>233</v>
      </c>
    </row>
    <row r="235" spans="1:86" x14ac:dyDescent="0.25">
      <c r="A235" s="159" t="s">
        <v>830</v>
      </c>
      <c r="B235" s="159">
        <v>0</v>
      </c>
      <c r="C235" s="159">
        <v>700</v>
      </c>
      <c r="D235" s="159">
        <v>720</v>
      </c>
      <c r="E235" s="159" t="s">
        <v>233</v>
      </c>
      <c r="F235" s="159" t="s">
        <v>312</v>
      </c>
      <c r="G235" s="264">
        <v>8470000</v>
      </c>
      <c r="H235" s="249">
        <v>73.610912193050581</v>
      </c>
      <c r="I235" s="249">
        <v>17.681787889328746</v>
      </c>
      <c r="J235" s="249">
        <v>0</v>
      </c>
      <c r="K235" s="249">
        <v>8.5754969297680326</v>
      </c>
      <c r="L235" s="249">
        <v>0</v>
      </c>
      <c r="M235" s="249">
        <v>0</v>
      </c>
      <c r="N235" s="249">
        <v>0</v>
      </c>
      <c r="O235" s="249">
        <v>0</v>
      </c>
      <c r="P235" s="249">
        <v>0.13180298785265462</v>
      </c>
      <c r="Q235" s="249">
        <v>0</v>
      </c>
      <c r="R235" s="249">
        <v>0</v>
      </c>
      <c r="S235" s="249">
        <v>0</v>
      </c>
      <c r="T235" s="249">
        <v>0</v>
      </c>
      <c r="U235" s="249">
        <v>0</v>
      </c>
      <c r="V235" s="249">
        <v>0</v>
      </c>
      <c r="W235" s="249">
        <v>0</v>
      </c>
      <c r="X235" s="249">
        <v>0</v>
      </c>
      <c r="Y235" s="249">
        <v>0</v>
      </c>
      <c r="Z235" s="249">
        <v>0</v>
      </c>
      <c r="AA235" s="249">
        <v>0</v>
      </c>
      <c r="AB235" s="249">
        <v>0</v>
      </c>
      <c r="AC235" s="249">
        <v>0</v>
      </c>
      <c r="AD235" s="249">
        <v>0</v>
      </c>
      <c r="AE235" s="249">
        <v>0</v>
      </c>
      <c r="AF235" s="249">
        <v>-127.9753559389722</v>
      </c>
      <c r="AG235" s="249">
        <v>-63.529671587210359</v>
      </c>
      <c r="AH235" s="159">
        <v>30</v>
      </c>
      <c r="AI235" s="159">
        <v>15</v>
      </c>
      <c r="AJ235" s="159">
        <v>1</v>
      </c>
      <c r="AK235" s="159" t="s">
        <v>506</v>
      </c>
      <c r="AL235" s="159" t="s">
        <v>247</v>
      </c>
      <c r="AM235" s="159"/>
      <c r="AN235" s="159">
        <v>0</v>
      </c>
      <c r="AO235" s="159"/>
      <c r="AP235" s="159"/>
      <c r="AQ235" s="159"/>
      <c r="AR235" s="159"/>
      <c r="AS235" s="159"/>
      <c r="AT235" s="249"/>
      <c r="AU235" s="249"/>
      <c r="AV235" s="249"/>
      <c r="AW235" s="159"/>
      <c r="AX235" s="159"/>
      <c r="AY235" s="159"/>
      <c r="AZ235" s="159"/>
      <c r="BA235" s="159"/>
      <c r="BB235" s="159"/>
      <c r="BC235" s="259"/>
      <c r="BD235" s="259"/>
      <c r="BE235" s="259"/>
      <c r="BF235" s="259"/>
      <c r="BG235" s="259"/>
      <c r="BH235" s="259"/>
      <c r="BI235" s="259"/>
      <c r="BJ235" s="259"/>
      <c r="BK235" s="259"/>
      <c r="BL235" s="259"/>
      <c r="BM235" s="259"/>
      <c r="BN235" s="259"/>
      <c r="BO235" s="259"/>
      <c r="BP235" s="259"/>
      <c r="BQ235" s="259"/>
      <c r="BR235" s="259"/>
      <c r="BS235" s="259"/>
      <c r="BT235" s="259"/>
      <c r="BU235" s="259"/>
      <c r="BV235" s="259"/>
      <c r="BW235" s="259"/>
      <c r="BX235" s="259"/>
      <c r="BY235" s="259"/>
      <c r="BZ235" s="259"/>
      <c r="CA235" s="259"/>
      <c r="CB235" s="259"/>
      <c r="CC235" s="259"/>
      <c r="CD235" s="159">
        <v>0</v>
      </c>
      <c r="CE235" s="159"/>
      <c r="CF235" s="159"/>
      <c r="CG235" s="159">
        <v>-0.95</v>
      </c>
      <c r="CH235" s="159">
        <v>234</v>
      </c>
    </row>
    <row r="236" spans="1:86" x14ac:dyDescent="0.25">
      <c r="A236" s="241" t="s">
        <v>831</v>
      </c>
      <c r="B236" s="241">
        <v>0</v>
      </c>
      <c r="C236" s="241">
        <v>550</v>
      </c>
      <c r="D236" s="241">
        <v>2160</v>
      </c>
      <c r="E236" s="241" t="s">
        <v>233</v>
      </c>
      <c r="F236" s="241" t="s">
        <v>312</v>
      </c>
      <c r="G236" s="265">
        <v>8470000</v>
      </c>
      <c r="H236" s="250">
        <v>73.610912193050581</v>
      </c>
      <c r="I236" s="250">
        <v>17.681787889328746</v>
      </c>
      <c r="J236" s="250">
        <v>0</v>
      </c>
      <c r="K236" s="250">
        <v>8.5754969297680326</v>
      </c>
      <c r="L236" s="250">
        <v>0</v>
      </c>
      <c r="M236" s="250">
        <v>0</v>
      </c>
      <c r="N236" s="250">
        <v>0</v>
      </c>
      <c r="O236" s="250">
        <v>0</v>
      </c>
      <c r="P236" s="250">
        <v>0.13180298785265462</v>
      </c>
      <c r="Q236" s="250">
        <v>0</v>
      </c>
      <c r="R236" s="250">
        <v>0</v>
      </c>
      <c r="S236" s="250">
        <v>0</v>
      </c>
      <c r="T236" s="250">
        <v>0</v>
      </c>
      <c r="U236" s="250">
        <v>0</v>
      </c>
      <c r="V236" s="250">
        <v>0</v>
      </c>
      <c r="W236" s="250">
        <v>0</v>
      </c>
      <c r="X236" s="250">
        <v>0</v>
      </c>
      <c r="Y236" s="250">
        <v>0</v>
      </c>
      <c r="Z236" s="250">
        <v>0</v>
      </c>
      <c r="AA236" s="250">
        <v>0</v>
      </c>
      <c r="AB236" s="250">
        <v>0</v>
      </c>
      <c r="AC236" s="250">
        <v>0</v>
      </c>
      <c r="AD236" s="250">
        <v>0</v>
      </c>
      <c r="AE236" s="250">
        <v>0</v>
      </c>
      <c r="AF236" s="250">
        <v>-133.24546471332681</v>
      </c>
      <c r="AG236" s="250">
        <v>-66.237592947441144</v>
      </c>
      <c r="AH236" s="241">
        <v>30</v>
      </c>
      <c r="AI236" s="241">
        <v>15</v>
      </c>
      <c r="AJ236" s="241">
        <v>1</v>
      </c>
      <c r="AK236" s="241" t="s">
        <v>506</v>
      </c>
      <c r="AL236" s="241" t="s">
        <v>247</v>
      </c>
      <c r="AM236" s="241"/>
      <c r="AN236" s="241">
        <v>0</v>
      </c>
      <c r="AO236" s="241"/>
      <c r="AP236" s="241"/>
      <c r="AQ236" s="241"/>
      <c r="AR236" s="241"/>
      <c r="AS236" s="241"/>
      <c r="AT236" s="250"/>
      <c r="AU236" s="250"/>
      <c r="AV236" s="250"/>
      <c r="AW236" s="241"/>
      <c r="AX236" s="241"/>
      <c r="AY236" s="241"/>
      <c r="AZ236" s="241"/>
      <c r="BA236" s="241"/>
      <c r="BB236" s="241"/>
      <c r="BC236" s="258"/>
      <c r="BD236" s="258"/>
      <c r="BE236" s="258"/>
      <c r="BF236" s="258"/>
      <c r="BG236" s="258"/>
      <c r="BH236" s="258"/>
      <c r="BI236" s="258"/>
      <c r="BJ236" s="258"/>
      <c r="BK236" s="258"/>
      <c r="BL236" s="258"/>
      <c r="BM236" s="258"/>
      <c r="BN236" s="258"/>
      <c r="BO236" s="258"/>
      <c r="BP236" s="258"/>
      <c r="BQ236" s="258"/>
      <c r="BR236" s="258"/>
      <c r="BS236" s="258"/>
      <c r="BT236" s="258"/>
      <c r="BU236" s="258"/>
      <c r="BV236" s="258"/>
      <c r="BW236" s="258"/>
      <c r="BX236" s="258"/>
      <c r="BY236" s="258"/>
      <c r="BZ236" s="258"/>
      <c r="CA236" s="258"/>
      <c r="CB236" s="258"/>
      <c r="CC236" s="258"/>
      <c r="CD236" s="241">
        <v>0</v>
      </c>
      <c r="CE236" s="241"/>
      <c r="CF236" s="241"/>
      <c r="CG236" s="241">
        <v>-0.53</v>
      </c>
      <c r="CH236" s="241">
        <v>235</v>
      </c>
    </row>
    <row r="237" spans="1:86" x14ac:dyDescent="0.25">
      <c r="A237" s="159" t="s">
        <v>832</v>
      </c>
      <c r="B237" s="159">
        <v>0</v>
      </c>
      <c r="C237" s="159">
        <v>700</v>
      </c>
      <c r="D237" s="159">
        <v>2160</v>
      </c>
      <c r="E237" s="159" t="s">
        <v>233</v>
      </c>
      <c r="F237" s="159" t="s">
        <v>312</v>
      </c>
      <c r="G237" s="264">
        <v>8470000</v>
      </c>
      <c r="H237" s="249">
        <v>73.610912193050581</v>
      </c>
      <c r="I237" s="249">
        <v>17.681787889328746</v>
      </c>
      <c r="J237" s="249">
        <v>0</v>
      </c>
      <c r="K237" s="249">
        <v>8.5754969297680326</v>
      </c>
      <c r="L237" s="249">
        <v>0</v>
      </c>
      <c r="M237" s="249">
        <v>0</v>
      </c>
      <c r="N237" s="249">
        <v>0</v>
      </c>
      <c r="O237" s="249">
        <v>0</v>
      </c>
      <c r="P237" s="249">
        <v>0.13180298785265462</v>
      </c>
      <c r="Q237" s="249">
        <v>0</v>
      </c>
      <c r="R237" s="249">
        <v>0</v>
      </c>
      <c r="S237" s="249">
        <v>0</v>
      </c>
      <c r="T237" s="249">
        <v>0</v>
      </c>
      <c r="U237" s="249">
        <v>0</v>
      </c>
      <c r="V237" s="249">
        <v>0</v>
      </c>
      <c r="W237" s="249">
        <v>0</v>
      </c>
      <c r="X237" s="249">
        <v>0</v>
      </c>
      <c r="Y237" s="249">
        <v>0</v>
      </c>
      <c r="Z237" s="249">
        <v>0</v>
      </c>
      <c r="AA237" s="249">
        <v>0</v>
      </c>
      <c r="AB237" s="249">
        <v>0</v>
      </c>
      <c r="AC237" s="249">
        <v>0</v>
      </c>
      <c r="AD237" s="249">
        <v>0</v>
      </c>
      <c r="AE237" s="249">
        <v>0</v>
      </c>
      <c r="AF237" s="249">
        <v>-127.9753559389722</v>
      </c>
      <c r="AG237" s="249">
        <v>-63.529671587210359</v>
      </c>
      <c r="AH237" s="159">
        <v>30</v>
      </c>
      <c r="AI237" s="159">
        <v>15</v>
      </c>
      <c r="AJ237" s="159">
        <v>1</v>
      </c>
      <c r="AK237" s="159" t="s">
        <v>506</v>
      </c>
      <c r="AL237" s="159" t="s">
        <v>247</v>
      </c>
      <c r="AM237" s="159"/>
      <c r="AN237" s="159">
        <v>0</v>
      </c>
      <c r="AO237" s="159"/>
      <c r="AP237" s="159"/>
      <c r="AQ237" s="159"/>
      <c r="AR237" s="159"/>
      <c r="AS237" s="159"/>
      <c r="AT237" s="249"/>
      <c r="AU237" s="249"/>
      <c r="AV237" s="249"/>
      <c r="AW237" s="159"/>
      <c r="AX237" s="159"/>
      <c r="AY237" s="159"/>
      <c r="AZ237" s="159"/>
      <c r="BA237" s="159"/>
      <c r="BB237" s="159"/>
      <c r="BC237" s="259"/>
      <c r="BD237" s="259"/>
      <c r="BE237" s="259"/>
      <c r="BF237" s="259"/>
      <c r="BG237" s="259"/>
      <c r="BH237" s="259"/>
      <c r="BI237" s="259"/>
      <c r="BJ237" s="259"/>
      <c r="BK237" s="259"/>
      <c r="BL237" s="259"/>
      <c r="BM237" s="259"/>
      <c r="BN237" s="259"/>
      <c r="BO237" s="259"/>
      <c r="BP237" s="259"/>
      <c r="BQ237" s="259"/>
      <c r="BR237" s="259"/>
      <c r="BS237" s="259"/>
      <c r="BT237" s="259"/>
      <c r="BU237" s="259"/>
      <c r="BV237" s="259"/>
      <c r="BW237" s="259"/>
      <c r="BX237" s="259"/>
      <c r="BY237" s="259"/>
      <c r="BZ237" s="259"/>
      <c r="CA237" s="259"/>
      <c r="CB237" s="259"/>
      <c r="CC237" s="259"/>
      <c r="CD237" s="159">
        <v>0</v>
      </c>
      <c r="CE237" s="159"/>
      <c r="CF237" s="159"/>
      <c r="CG237" s="159">
        <v>-1.65</v>
      </c>
      <c r="CH237" s="159">
        <v>236</v>
      </c>
    </row>
    <row r="238" spans="1:86" x14ac:dyDescent="0.25">
      <c r="A238" s="241" t="s">
        <v>833</v>
      </c>
      <c r="B238" s="241">
        <v>0</v>
      </c>
      <c r="C238" s="241">
        <v>550</v>
      </c>
      <c r="D238" s="241">
        <v>720</v>
      </c>
      <c r="E238" s="241" t="s">
        <v>233</v>
      </c>
      <c r="F238" s="241" t="s">
        <v>314</v>
      </c>
      <c r="G238" s="265">
        <v>8440000</v>
      </c>
      <c r="H238" s="250">
        <v>65.97666457976284</v>
      </c>
      <c r="I238" s="250">
        <v>23.995985945521895</v>
      </c>
      <c r="J238" s="250">
        <v>3.7679854015596028</v>
      </c>
      <c r="K238" s="250">
        <v>4.1785148202115687</v>
      </c>
      <c r="L238" s="250">
        <v>0</v>
      </c>
      <c r="M238" s="250">
        <v>0</v>
      </c>
      <c r="N238" s="250">
        <v>0</v>
      </c>
      <c r="O238" s="250">
        <v>0</v>
      </c>
      <c r="P238" s="250">
        <v>0.16044565239795597</v>
      </c>
      <c r="Q238" s="250">
        <v>0</v>
      </c>
      <c r="R238" s="250">
        <v>0</v>
      </c>
      <c r="S238" s="250">
        <v>0</v>
      </c>
      <c r="T238" s="250">
        <v>1.9204036005461247</v>
      </c>
      <c r="U238" s="250">
        <v>0</v>
      </c>
      <c r="V238" s="250">
        <v>0</v>
      </c>
      <c r="W238" s="250">
        <v>0</v>
      </c>
      <c r="X238" s="250">
        <v>0</v>
      </c>
      <c r="Y238" s="250">
        <v>0</v>
      </c>
      <c r="Z238" s="250">
        <v>0</v>
      </c>
      <c r="AA238" s="250">
        <v>0</v>
      </c>
      <c r="AB238" s="250">
        <v>0</v>
      </c>
      <c r="AC238" s="250">
        <v>0</v>
      </c>
      <c r="AD238" s="250">
        <v>0</v>
      </c>
      <c r="AE238" s="250">
        <v>0</v>
      </c>
      <c r="AF238" s="250">
        <v>-134.49227513019653</v>
      </c>
      <c r="AG238" s="250">
        <v>-66.237592947441144</v>
      </c>
      <c r="AH238" s="241">
        <v>30</v>
      </c>
      <c r="AI238" s="241">
        <v>15</v>
      </c>
      <c r="AJ238" s="241">
        <v>1</v>
      </c>
      <c r="AK238" s="241" t="s">
        <v>506</v>
      </c>
      <c r="AL238" s="241" t="s">
        <v>247</v>
      </c>
      <c r="AM238" s="241"/>
      <c r="AN238" s="241">
        <v>0</v>
      </c>
      <c r="AO238" s="241"/>
      <c r="AP238" s="241"/>
      <c r="AQ238" s="241"/>
      <c r="AR238" s="241"/>
      <c r="AS238" s="241"/>
      <c r="AT238" s="250"/>
      <c r="AU238" s="250"/>
      <c r="AV238" s="250"/>
      <c r="AW238" s="241"/>
      <c r="AX238" s="241"/>
      <c r="AY238" s="241"/>
      <c r="AZ238" s="241"/>
      <c r="BA238" s="241"/>
      <c r="BB238" s="241"/>
      <c r="BC238" s="258"/>
      <c r="BD238" s="258"/>
      <c r="BE238" s="258"/>
      <c r="BF238" s="258"/>
      <c r="BG238" s="258"/>
      <c r="BH238" s="258"/>
      <c r="BI238" s="258"/>
      <c r="BJ238" s="258"/>
      <c r="BK238" s="258"/>
      <c r="BL238" s="258"/>
      <c r="BM238" s="258"/>
      <c r="BN238" s="258"/>
      <c r="BO238" s="258"/>
      <c r="BP238" s="258"/>
      <c r="BQ238" s="258"/>
      <c r="BR238" s="258"/>
      <c r="BS238" s="258"/>
      <c r="BT238" s="258"/>
      <c r="BU238" s="258"/>
      <c r="BV238" s="258"/>
      <c r="BW238" s="258"/>
      <c r="BX238" s="258"/>
      <c r="BY238" s="258"/>
      <c r="BZ238" s="258"/>
      <c r="CA238" s="258"/>
      <c r="CB238" s="258"/>
      <c r="CC238" s="258"/>
      <c r="CD238" s="241">
        <v>0</v>
      </c>
      <c r="CE238" s="241"/>
      <c r="CF238" s="241"/>
      <c r="CG238" s="241">
        <v>-0.27</v>
      </c>
      <c r="CH238" s="241">
        <v>237</v>
      </c>
    </row>
    <row r="239" spans="1:86" x14ac:dyDescent="0.25">
      <c r="A239" s="159" t="s">
        <v>834</v>
      </c>
      <c r="B239" s="159">
        <v>0</v>
      </c>
      <c r="C239" s="159">
        <v>700</v>
      </c>
      <c r="D239" s="159">
        <v>720</v>
      </c>
      <c r="E239" s="159" t="s">
        <v>233</v>
      </c>
      <c r="F239" s="159" t="s">
        <v>314</v>
      </c>
      <c r="G239" s="264">
        <v>8440000</v>
      </c>
      <c r="H239" s="249">
        <v>65.97666457976284</v>
      </c>
      <c r="I239" s="249">
        <v>23.995985945521895</v>
      </c>
      <c r="J239" s="249">
        <v>3.7679854015596028</v>
      </c>
      <c r="K239" s="249">
        <v>4.1785148202115687</v>
      </c>
      <c r="L239" s="249">
        <v>0</v>
      </c>
      <c r="M239" s="249">
        <v>0</v>
      </c>
      <c r="N239" s="249">
        <v>0</v>
      </c>
      <c r="O239" s="249">
        <v>0</v>
      </c>
      <c r="P239" s="249">
        <v>0.16044565239795597</v>
      </c>
      <c r="Q239" s="249">
        <v>0</v>
      </c>
      <c r="R239" s="249">
        <v>0</v>
      </c>
      <c r="S239" s="249">
        <v>0</v>
      </c>
      <c r="T239" s="249">
        <v>1.9204036005461247</v>
      </c>
      <c r="U239" s="249">
        <v>0</v>
      </c>
      <c r="V239" s="249">
        <v>0</v>
      </c>
      <c r="W239" s="249">
        <v>0</v>
      </c>
      <c r="X239" s="249">
        <v>0</v>
      </c>
      <c r="Y239" s="249">
        <v>0</v>
      </c>
      <c r="Z239" s="249">
        <v>0</v>
      </c>
      <c r="AA239" s="249">
        <v>0</v>
      </c>
      <c r="AB239" s="249">
        <v>0</v>
      </c>
      <c r="AC239" s="249">
        <v>0</v>
      </c>
      <c r="AD239" s="249">
        <v>0</v>
      </c>
      <c r="AE239" s="249">
        <v>0</v>
      </c>
      <c r="AF239" s="249">
        <v>-129.34412410585233</v>
      </c>
      <c r="AG239" s="249">
        <v>-63.529671587210359</v>
      </c>
      <c r="AH239" s="159">
        <v>30</v>
      </c>
      <c r="AI239" s="159">
        <v>15</v>
      </c>
      <c r="AJ239" s="159">
        <v>1</v>
      </c>
      <c r="AK239" s="159" t="s">
        <v>506</v>
      </c>
      <c r="AL239" s="159" t="s">
        <v>247</v>
      </c>
      <c r="AM239" s="159"/>
      <c r="AN239" s="159">
        <v>0</v>
      </c>
      <c r="AO239" s="159"/>
      <c r="AP239" s="159"/>
      <c r="AQ239" s="159"/>
      <c r="AR239" s="159"/>
      <c r="AS239" s="159"/>
      <c r="AT239" s="249"/>
      <c r="AU239" s="249"/>
      <c r="AV239" s="249"/>
      <c r="AW239" s="159"/>
      <c r="AX239" s="159"/>
      <c r="AY239" s="159"/>
      <c r="AZ239" s="159"/>
      <c r="BA239" s="159"/>
      <c r="BB239" s="159"/>
      <c r="BC239" s="259"/>
      <c r="BD239" s="259"/>
      <c r="BE239" s="259"/>
      <c r="BF239" s="259"/>
      <c r="BG239" s="259"/>
      <c r="BH239" s="259"/>
      <c r="BI239" s="259"/>
      <c r="BJ239" s="259"/>
      <c r="BK239" s="259"/>
      <c r="BL239" s="259"/>
      <c r="BM239" s="259"/>
      <c r="BN239" s="259"/>
      <c r="BO239" s="259"/>
      <c r="BP239" s="259"/>
      <c r="BQ239" s="259"/>
      <c r="BR239" s="259"/>
      <c r="BS239" s="259"/>
      <c r="BT239" s="259"/>
      <c r="BU239" s="259"/>
      <c r="BV239" s="259"/>
      <c r="BW239" s="259"/>
      <c r="BX239" s="259"/>
      <c r="BY239" s="259"/>
      <c r="BZ239" s="259"/>
      <c r="CA239" s="259"/>
      <c r="CB239" s="259"/>
      <c r="CC239" s="259"/>
      <c r="CD239" s="159">
        <v>0</v>
      </c>
      <c r="CE239" s="159"/>
      <c r="CF239" s="159"/>
      <c r="CG239" s="159">
        <v>-0.51</v>
      </c>
      <c r="CH239" s="159">
        <v>238</v>
      </c>
    </row>
    <row r="240" spans="1:86" x14ac:dyDescent="0.25">
      <c r="A240" s="241" t="s">
        <v>835</v>
      </c>
      <c r="B240" s="241">
        <v>0</v>
      </c>
      <c r="C240" s="241">
        <v>550</v>
      </c>
      <c r="D240" s="241">
        <v>2160</v>
      </c>
      <c r="E240" s="241" t="s">
        <v>233</v>
      </c>
      <c r="F240" s="241" t="s">
        <v>314</v>
      </c>
      <c r="G240" s="265">
        <v>8440000</v>
      </c>
      <c r="H240" s="250">
        <v>65.97666457976284</v>
      </c>
      <c r="I240" s="250">
        <v>23.995985945521895</v>
      </c>
      <c r="J240" s="250">
        <v>3.7679854015596028</v>
      </c>
      <c r="K240" s="250">
        <v>4.1785148202115687</v>
      </c>
      <c r="L240" s="250">
        <v>0</v>
      </c>
      <c r="M240" s="250">
        <v>0</v>
      </c>
      <c r="N240" s="250">
        <v>0</v>
      </c>
      <c r="O240" s="250">
        <v>0</v>
      </c>
      <c r="P240" s="250">
        <v>0.16044565239795597</v>
      </c>
      <c r="Q240" s="250">
        <v>0</v>
      </c>
      <c r="R240" s="250">
        <v>0</v>
      </c>
      <c r="S240" s="250">
        <v>0</v>
      </c>
      <c r="T240" s="250">
        <v>1.9204036005461247</v>
      </c>
      <c r="U240" s="250">
        <v>0</v>
      </c>
      <c r="V240" s="250">
        <v>0</v>
      </c>
      <c r="W240" s="250">
        <v>0</v>
      </c>
      <c r="X240" s="250">
        <v>0</v>
      </c>
      <c r="Y240" s="250">
        <v>0</v>
      </c>
      <c r="Z240" s="250">
        <v>0</v>
      </c>
      <c r="AA240" s="250">
        <v>0</v>
      </c>
      <c r="AB240" s="250">
        <v>0</v>
      </c>
      <c r="AC240" s="250">
        <v>0</v>
      </c>
      <c r="AD240" s="250">
        <v>0</v>
      </c>
      <c r="AE240" s="250">
        <v>0</v>
      </c>
      <c r="AF240" s="250">
        <v>-134.49227513019653</v>
      </c>
      <c r="AG240" s="250">
        <v>-66.237592947441144</v>
      </c>
      <c r="AH240" s="241">
        <v>30</v>
      </c>
      <c r="AI240" s="241">
        <v>15</v>
      </c>
      <c r="AJ240" s="241">
        <v>1</v>
      </c>
      <c r="AK240" s="241" t="s">
        <v>506</v>
      </c>
      <c r="AL240" s="241" t="s">
        <v>247</v>
      </c>
      <c r="AM240" s="241"/>
      <c r="AN240" s="241">
        <v>0</v>
      </c>
      <c r="AO240" s="241"/>
      <c r="AP240" s="241"/>
      <c r="AQ240" s="241"/>
      <c r="AR240" s="241"/>
      <c r="AS240" s="241"/>
      <c r="AT240" s="250"/>
      <c r="AU240" s="250"/>
      <c r="AV240" s="250"/>
      <c r="AW240" s="241"/>
      <c r="AX240" s="241"/>
      <c r="AY240" s="241"/>
      <c r="AZ240" s="241"/>
      <c r="BA240" s="241"/>
      <c r="BB240" s="241"/>
      <c r="BC240" s="258"/>
      <c r="BD240" s="258"/>
      <c r="BE240" s="258"/>
      <c r="BF240" s="258"/>
      <c r="BG240" s="258"/>
      <c r="BH240" s="258"/>
      <c r="BI240" s="258"/>
      <c r="BJ240" s="258"/>
      <c r="BK240" s="258"/>
      <c r="BL240" s="258"/>
      <c r="BM240" s="258"/>
      <c r="BN240" s="258"/>
      <c r="BO240" s="258"/>
      <c r="BP240" s="258"/>
      <c r="BQ240" s="258"/>
      <c r="BR240" s="258"/>
      <c r="BS240" s="258"/>
      <c r="BT240" s="258"/>
      <c r="BU240" s="258"/>
      <c r="BV240" s="258"/>
      <c r="BW240" s="258"/>
      <c r="BX240" s="258"/>
      <c r="BY240" s="258"/>
      <c r="BZ240" s="258"/>
      <c r="CA240" s="258"/>
      <c r="CB240" s="258"/>
      <c r="CC240" s="258"/>
      <c r="CD240" s="241">
        <v>0</v>
      </c>
      <c r="CE240" s="241"/>
      <c r="CF240" s="241"/>
      <c r="CG240" s="241">
        <v>-0.5</v>
      </c>
      <c r="CH240" s="241">
        <v>239</v>
      </c>
    </row>
    <row r="241" spans="1:86" x14ac:dyDescent="0.25">
      <c r="A241" s="159" t="s">
        <v>836</v>
      </c>
      <c r="B241" s="159">
        <v>0</v>
      </c>
      <c r="C241" s="159">
        <v>500</v>
      </c>
      <c r="D241" s="159">
        <v>720</v>
      </c>
      <c r="E241" s="159" t="s">
        <v>233</v>
      </c>
      <c r="F241" s="159" t="s">
        <v>516</v>
      </c>
      <c r="G241" s="264">
        <v>8190000</v>
      </c>
      <c r="H241" s="249">
        <v>51.067262292936832</v>
      </c>
      <c r="I241" s="249">
        <v>20.909010798427463</v>
      </c>
      <c r="J241" s="249">
        <v>2.3015937193980793</v>
      </c>
      <c r="K241" s="249">
        <v>15.502223740046745</v>
      </c>
      <c r="L241" s="249">
        <v>0</v>
      </c>
      <c r="M241" s="249">
        <v>0</v>
      </c>
      <c r="N241" s="249">
        <v>0</v>
      </c>
      <c r="O241" s="249">
        <v>0</v>
      </c>
      <c r="P241" s="249">
        <v>1.1566187885764425</v>
      </c>
      <c r="Q241" s="249">
        <v>0</v>
      </c>
      <c r="R241" s="249">
        <v>0</v>
      </c>
      <c r="S241" s="249">
        <v>0</v>
      </c>
      <c r="T241" s="249">
        <v>9.0632906606144381</v>
      </c>
      <c r="U241" s="249">
        <v>0</v>
      </c>
      <c r="V241" s="249">
        <v>0</v>
      </c>
      <c r="W241" s="249">
        <v>0</v>
      </c>
      <c r="X241" s="249">
        <v>0</v>
      </c>
      <c r="Y241" s="249">
        <v>0</v>
      </c>
      <c r="Z241" s="249">
        <v>0</v>
      </c>
      <c r="AA241" s="249">
        <v>0</v>
      </c>
      <c r="AB241" s="249">
        <v>0</v>
      </c>
      <c r="AC241" s="249">
        <v>0</v>
      </c>
      <c r="AD241" s="249">
        <v>0</v>
      </c>
      <c r="AE241" s="249">
        <v>0</v>
      </c>
      <c r="AF241" s="249">
        <v>-138.94046386742627</v>
      </c>
      <c r="AG241" s="249">
        <v>-67.1402334008514</v>
      </c>
      <c r="AH241" s="159">
        <v>30</v>
      </c>
      <c r="AI241" s="159">
        <v>15</v>
      </c>
      <c r="AJ241" s="159">
        <v>1</v>
      </c>
      <c r="AK241" s="159" t="s">
        <v>506</v>
      </c>
      <c r="AL241" s="159" t="s">
        <v>247</v>
      </c>
      <c r="AM241" s="159"/>
      <c r="AN241" s="159">
        <v>0</v>
      </c>
      <c r="AO241" s="159"/>
      <c r="AP241" s="159"/>
      <c r="AQ241" s="159"/>
      <c r="AR241" s="159"/>
      <c r="AS241" s="159"/>
      <c r="AT241" s="249"/>
      <c r="AU241" s="249"/>
      <c r="AV241" s="249"/>
      <c r="AW241" s="159"/>
      <c r="AX241" s="159"/>
      <c r="AY241" s="159"/>
      <c r="AZ241" s="159"/>
      <c r="BA241" s="159"/>
      <c r="BB241" s="159"/>
      <c r="BC241" s="259"/>
      <c r="BD241" s="259"/>
      <c r="BE241" s="259"/>
      <c r="BF241" s="259"/>
      <c r="BG241" s="259"/>
      <c r="BH241" s="259"/>
      <c r="BI241" s="259"/>
      <c r="BJ241" s="259"/>
      <c r="BK241" s="259"/>
      <c r="BL241" s="259"/>
      <c r="BM241" s="259"/>
      <c r="BN241" s="259"/>
      <c r="BO241" s="259"/>
      <c r="BP241" s="259"/>
      <c r="BQ241" s="259"/>
      <c r="BR241" s="259"/>
      <c r="BS241" s="259"/>
      <c r="BT241" s="259"/>
      <c r="BU241" s="259"/>
      <c r="BV241" s="259"/>
      <c r="BW241" s="259"/>
      <c r="BX241" s="259"/>
      <c r="BY241" s="259"/>
      <c r="BZ241" s="259"/>
      <c r="CA241" s="259"/>
      <c r="CB241" s="259"/>
      <c r="CC241" s="259"/>
      <c r="CD241" s="159">
        <v>0</v>
      </c>
      <c r="CE241" s="159"/>
      <c r="CF241" s="159"/>
      <c r="CG241" s="159">
        <v>-0.63</v>
      </c>
      <c r="CH241" s="159">
        <v>240</v>
      </c>
    </row>
    <row r="242" spans="1:86" x14ac:dyDescent="0.25">
      <c r="A242" s="241" t="s">
        <v>837</v>
      </c>
      <c r="B242" s="241">
        <v>0</v>
      </c>
      <c r="C242" s="241">
        <v>700</v>
      </c>
      <c r="D242" s="241">
        <v>720</v>
      </c>
      <c r="E242" s="241" t="s">
        <v>233</v>
      </c>
      <c r="F242" s="241" t="s">
        <v>516</v>
      </c>
      <c r="G242" s="265">
        <v>8190000</v>
      </c>
      <c r="H242" s="250">
        <v>51.067262292936832</v>
      </c>
      <c r="I242" s="250">
        <v>20.909010798427463</v>
      </c>
      <c r="J242" s="250">
        <v>2.3015937193980793</v>
      </c>
      <c r="K242" s="250">
        <v>15.502223740046745</v>
      </c>
      <c r="L242" s="250">
        <v>0</v>
      </c>
      <c r="M242" s="250">
        <v>0</v>
      </c>
      <c r="N242" s="250">
        <v>0</v>
      </c>
      <c r="O242" s="250">
        <v>0</v>
      </c>
      <c r="P242" s="250">
        <v>1.1566187885764425</v>
      </c>
      <c r="Q242" s="250">
        <v>0</v>
      </c>
      <c r="R242" s="250">
        <v>0</v>
      </c>
      <c r="S242" s="250">
        <v>0</v>
      </c>
      <c r="T242" s="250">
        <v>9.0632906606144381</v>
      </c>
      <c r="U242" s="250">
        <v>0</v>
      </c>
      <c r="V242" s="250">
        <v>0</v>
      </c>
      <c r="W242" s="250">
        <v>0</v>
      </c>
      <c r="X242" s="250">
        <v>0</v>
      </c>
      <c r="Y242" s="250">
        <v>0</v>
      </c>
      <c r="Z242" s="250">
        <v>0</v>
      </c>
      <c r="AA242" s="250">
        <v>0</v>
      </c>
      <c r="AB242" s="250">
        <v>0</v>
      </c>
      <c r="AC242" s="250">
        <v>0</v>
      </c>
      <c r="AD242" s="250">
        <v>0</v>
      </c>
      <c r="AE242" s="250">
        <v>0</v>
      </c>
      <c r="AF242" s="250">
        <v>-132.35843614171804</v>
      </c>
      <c r="AG242" s="250">
        <v>-63.529671587210359</v>
      </c>
      <c r="AH242" s="241">
        <v>30</v>
      </c>
      <c r="AI242" s="241">
        <v>15</v>
      </c>
      <c r="AJ242" s="241">
        <v>1</v>
      </c>
      <c r="AK242" s="241" t="s">
        <v>506</v>
      </c>
      <c r="AL242" s="241" t="s">
        <v>247</v>
      </c>
      <c r="AM242" s="241"/>
      <c r="AN242" s="241">
        <v>0</v>
      </c>
      <c r="AO242" s="241"/>
      <c r="AP242" s="241"/>
      <c r="AQ242" s="241"/>
      <c r="AR242" s="241"/>
      <c r="AS242" s="241"/>
      <c r="AT242" s="250"/>
      <c r="AU242" s="250"/>
      <c r="AV242" s="250"/>
      <c r="AW242" s="241"/>
      <c r="AX242" s="241"/>
      <c r="AY242" s="241"/>
      <c r="AZ242" s="241"/>
      <c r="BA242" s="241"/>
      <c r="BB242" s="241"/>
      <c r="BC242" s="258"/>
      <c r="BD242" s="258"/>
      <c r="BE242" s="258"/>
      <c r="BF242" s="258"/>
      <c r="BG242" s="258"/>
      <c r="BH242" s="258"/>
      <c r="BI242" s="258"/>
      <c r="BJ242" s="258"/>
      <c r="BK242" s="258"/>
      <c r="BL242" s="258"/>
      <c r="BM242" s="258"/>
      <c r="BN242" s="258"/>
      <c r="BO242" s="258"/>
      <c r="BP242" s="258"/>
      <c r="BQ242" s="258"/>
      <c r="BR242" s="258"/>
      <c r="BS242" s="258"/>
      <c r="BT242" s="258"/>
      <c r="BU242" s="258"/>
      <c r="BV242" s="258"/>
      <c r="BW242" s="258"/>
      <c r="BX242" s="258"/>
      <c r="BY242" s="258"/>
      <c r="BZ242" s="258"/>
      <c r="CA242" s="258"/>
      <c r="CB242" s="258"/>
      <c r="CC242" s="258"/>
      <c r="CD242" s="241">
        <v>0</v>
      </c>
      <c r="CE242" s="241"/>
      <c r="CF242" s="241"/>
      <c r="CG242" s="241">
        <v>-0.85</v>
      </c>
      <c r="CH242" s="241">
        <v>241</v>
      </c>
    </row>
    <row r="243" spans="1:86" ht="16.5" thickBot="1" x14ac:dyDescent="0.3">
      <c r="A243" s="160" t="s">
        <v>838</v>
      </c>
      <c r="B243" s="160">
        <v>0</v>
      </c>
      <c r="C243" s="160">
        <v>700</v>
      </c>
      <c r="D243" s="160">
        <v>2160</v>
      </c>
      <c r="E243" s="160" t="s">
        <v>233</v>
      </c>
      <c r="F243" s="160" t="s">
        <v>516</v>
      </c>
      <c r="G243" s="267">
        <v>8190000</v>
      </c>
      <c r="H243" s="252">
        <v>51.067262292936832</v>
      </c>
      <c r="I243" s="252">
        <v>20.909010798427463</v>
      </c>
      <c r="J243" s="252">
        <v>2.3015937193980793</v>
      </c>
      <c r="K243" s="252">
        <v>15.502223740046745</v>
      </c>
      <c r="L243" s="252">
        <v>0</v>
      </c>
      <c r="M243" s="252">
        <v>0</v>
      </c>
      <c r="N243" s="252">
        <v>0</v>
      </c>
      <c r="O243" s="252">
        <v>0</v>
      </c>
      <c r="P243" s="252">
        <v>1.1566187885764425</v>
      </c>
      <c r="Q243" s="252">
        <v>0</v>
      </c>
      <c r="R243" s="252">
        <v>0</v>
      </c>
      <c r="S243" s="252">
        <v>0</v>
      </c>
      <c r="T243" s="252">
        <v>9.0632906606144381</v>
      </c>
      <c r="U243" s="252">
        <v>0</v>
      </c>
      <c r="V243" s="252">
        <v>0</v>
      </c>
      <c r="W243" s="252">
        <v>0</v>
      </c>
      <c r="X243" s="252">
        <v>0</v>
      </c>
      <c r="Y243" s="252">
        <v>0</v>
      </c>
      <c r="Z243" s="252">
        <v>0</v>
      </c>
      <c r="AA243" s="252">
        <v>0</v>
      </c>
      <c r="AB243" s="252">
        <v>0</v>
      </c>
      <c r="AC243" s="252">
        <v>0</v>
      </c>
      <c r="AD243" s="252">
        <v>0</v>
      </c>
      <c r="AE243" s="252">
        <v>0</v>
      </c>
      <c r="AF243" s="252">
        <v>-132.35843614171804</v>
      </c>
      <c r="AG243" s="252">
        <v>-63.529671587210359</v>
      </c>
      <c r="AH243" s="160">
        <v>30</v>
      </c>
      <c r="AI243" s="160">
        <v>15</v>
      </c>
      <c r="AJ243" s="160">
        <v>1</v>
      </c>
      <c r="AK243" s="160" t="s">
        <v>506</v>
      </c>
      <c r="AL243" s="160" t="s">
        <v>247</v>
      </c>
      <c r="AM243" s="160"/>
      <c r="AN243" s="160">
        <v>0</v>
      </c>
      <c r="AO243" s="160"/>
      <c r="AP243" s="160"/>
      <c r="AQ243" s="160"/>
      <c r="AR243" s="160"/>
      <c r="AS243" s="160"/>
      <c r="AT243" s="252"/>
      <c r="AU243" s="252"/>
      <c r="AV243" s="252"/>
      <c r="AW243" s="160"/>
      <c r="AX243" s="160"/>
      <c r="AY243" s="160"/>
      <c r="AZ243" s="160"/>
      <c r="BA243" s="160"/>
      <c r="BB243" s="160"/>
      <c r="BC243" s="260"/>
      <c r="BD243" s="260"/>
      <c r="BE243" s="260"/>
      <c r="BF243" s="260"/>
      <c r="BG243" s="260"/>
      <c r="BH243" s="260"/>
      <c r="BI243" s="260"/>
      <c r="BJ243" s="260"/>
      <c r="BK243" s="260"/>
      <c r="BL243" s="260"/>
      <c r="BM243" s="260"/>
      <c r="BN243" s="260"/>
      <c r="BO243" s="260"/>
      <c r="BP243" s="260"/>
      <c r="BQ243" s="260"/>
      <c r="BR243" s="260"/>
      <c r="BS243" s="260"/>
      <c r="BT243" s="260"/>
      <c r="BU243" s="260"/>
      <c r="BV243" s="260"/>
      <c r="BW243" s="260"/>
      <c r="BX243" s="260"/>
      <c r="BY243" s="260"/>
      <c r="BZ243" s="260"/>
      <c r="CA243" s="260"/>
      <c r="CB243" s="260"/>
      <c r="CC243" s="260"/>
      <c r="CD243" s="160">
        <v>0</v>
      </c>
      <c r="CE243" s="160"/>
      <c r="CF243" s="160"/>
      <c r="CG243" s="160">
        <v>-1.07</v>
      </c>
      <c r="CH243" s="160">
        <v>242</v>
      </c>
    </row>
    <row r="244" spans="1:86" ht="16.5" thickBot="1" x14ac:dyDescent="0.3">
      <c r="A244" s="142" t="s">
        <v>839</v>
      </c>
      <c r="B244" s="142">
        <v>0</v>
      </c>
      <c r="C244" s="142">
        <v>700</v>
      </c>
      <c r="D244" s="142">
        <v>48</v>
      </c>
      <c r="E244" s="142" t="s">
        <v>48</v>
      </c>
      <c r="F244" s="142" t="s">
        <v>521</v>
      </c>
      <c r="G244" s="269">
        <v>7980000</v>
      </c>
      <c r="H244" s="144">
        <v>13.213575899022317</v>
      </c>
      <c r="I244" s="144">
        <v>19.174568476985101</v>
      </c>
      <c r="J244" s="144">
        <v>1.7317589981992936</v>
      </c>
      <c r="K244" s="144">
        <v>61.487937314230535</v>
      </c>
      <c r="L244" s="144">
        <v>0</v>
      </c>
      <c r="M244" s="144">
        <v>0</v>
      </c>
      <c r="N244" s="144">
        <v>2.0164979185439171</v>
      </c>
      <c r="O244" s="144">
        <v>0</v>
      </c>
      <c r="P244" s="144">
        <v>0</v>
      </c>
      <c r="Q244" s="144">
        <v>1.4789924658882541</v>
      </c>
      <c r="R244" s="144">
        <v>0.36898050173123337</v>
      </c>
      <c r="S244" s="144">
        <v>0</v>
      </c>
      <c r="T244" s="144">
        <v>0</v>
      </c>
      <c r="U244" s="144">
        <v>0</v>
      </c>
      <c r="V244" s="144">
        <v>8.0487371714822828E-2</v>
      </c>
      <c r="W244" s="144">
        <v>5.1817771583163148E-2</v>
      </c>
      <c r="X244" s="144">
        <v>0</v>
      </c>
      <c r="Y244" s="144">
        <v>0</v>
      </c>
      <c r="Z244" s="144">
        <v>0</v>
      </c>
      <c r="AA244" s="144">
        <v>0</v>
      </c>
      <c r="AB244" s="144">
        <v>0</v>
      </c>
      <c r="AC244" s="144">
        <v>0.39538328210136631</v>
      </c>
      <c r="AD244" s="144">
        <v>0</v>
      </c>
      <c r="AE244" s="144">
        <v>0</v>
      </c>
      <c r="AF244" s="144">
        <v>-137.03084647161592</v>
      </c>
      <c r="AG244" s="144">
        <v>-121.74823772574202</v>
      </c>
      <c r="AH244" s="142"/>
      <c r="AI244" s="142"/>
      <c r="AJ244" s="142"/>
      <c r="AK244" s="142" t="s">
        <v>245</v>
      </c>
      <c r="AL244" s="142" t="s">
        <v>247</v>
      </c>
      <c r="AM244" s="142"/>
      <c r="AN244" s="142">
        <v>0</v>
      </c>
      <c r="AO244" s="142"/>
      <c r="AP244" s="142"/>
      <c r="AQ244" s="142"/>
      <c r="AR244" s="142"/>
      <c r="AS244" s="142"/>
      <c r="AT244" s="142"/>
      <c r="AU244" s="142"/>
      <c r="AV244" s="142"/>
      <c r="AW244" s="142"/>
      <c r="AX244" s="142"/>
      <c r="AY244" s="142"/>
      <c r="AZ244" s="142"/>
      <c r="BA244" s="142"/>
      <c r="BB244" s="142"/>
      <c r="BC244" s="142"/>
      <c r="BD244" s="142"/>
      <c r="BE244" s="142"/>
      <c r="BF244" s="142"/>
      <c r="BG244" s="142"/>
      <c r="BH244" s="142"/>
      <c r="BI244" s="142"/>
      <c r="BJ244" s="142"/>
      <c r="BK244" s="142"/>
      <c r="BL244" s="144"/>
      <c r="BM244" s="144"/>
      <c r="BN244" s="144"/>
      <c r="BO244" s="142"/>
      <c r="BP244" s="142"/>
      <c r="BQ244" s="142"/>
      <c r="BR244" s="142"/>
      <c r="BS244" s="142"/>
      <c r="BT244" s="142"/>
      <c r="BU244" s="142"/>
      <c r="BV244" s="142"/>
      <c r="BW244" s="142"/>
      <c r="BX244" s="142"/>
      <c r="BY244" s="142"/>
      <c r="BZ244" s="142"/>
      <c r="CA244" s="142"/>
      <c r="CB244" s="142"/>
      <c r="CC244" s="142"/>
      <c r="CD244" s="142">
        <v>0</v>
      </c>
      <c r="CE244" s="142"/>
      <c r="CF244" s="142">
        <v>-20.100000000000001</v>
      </c>
      <c r="CG244" s="142"/>
      <c r="CH244" s="142">
        <v>243</v>
      </c>
    </row>
    <row r="245" spans="1:86" x14ac:dyDescent="0.25">
      <c r="A245" s="159" t="s">
        <v>840</v>
      </c>
      <c r="B245" s="159">
        <v>0</v>
      </c>
      <c r="C245" s="159">
        <v>700</v>
      </c>
      <c r="D245" s="159">
        <v>500</v>
      </c>
      <c r="E245" s="159" t="s">
        <v>233</v>
      </c>
      <c r="F245" s="159" t="s">
        <v>50</v>
      </c>
      <c r="G245" s="264">
        <v>8960000</v>
      </c>
      <c r="H245" s="249">
        <v>0</v>
      </c>
      <c r="I245" s="249">
        <v>100</v>
      </c>
      <c r="J245" s="249">
        <v>0</v>
      </c>
      <c r="K245" s="249">
        <v>0</v>
      </c>
      <c r="L245" s="249">
        <v>0</v>
      </c>
      <c r="M245" s="249">
        <v>0</v>
      </c>
      <c r="N245" s="249">
        <v>0</v>
      </c>
      <c r="O245" s="249">
        <v>0</v>
      </c>
      <c r="P245" s="249">
        <v>0</v>
      </c>
      <c r="Q245" s="249">
        <v>0</v>
      </c>
      <c r="R245" s="249">
        <v>0</v>
      </c>
      <c r="S245" s="249">
        <v>0</v>
      </c>
      <c r="T245" s="249">
        <v>0</v>
      </c>
      <c r="U245" s="249">
        <v>0</v>
      </c>
      <c r="V245" s="249">
        <v>0</v>
      </c>
      <c r="W245" s="249">
        <v>0</v>
      </c>
      <c r="X245" s="249">
        <v>0</v>
      </c>
      <c r="Y245" s="249">
        <v>0</v>
      </c>
      <c r="Z245" s="249">
        <v>0</v>
      </c>
      <c r="AA245" s="249">
        <v>0</v>
      </c>
      <c r="AB245" s="249">
        <v>0</v>
      </c>
      <c r="AC245" s="249">
        <v>0</v>
      </c>
      <c r="AD245" s="249">
        <v>0</v>
      </c>
      <c r="AE245" s="249">
        <v>0</v>
      </c>
      <c r="AF245" s="249">
        <v>-149.74021918856832</v>
      </c>
      <c r="AG245" s="249">
        <v>-63.529671587210359</v>
      </c>
      <c r="AH245" s="159">
        <v>30</v>
      </c>
      <c r="AI245" s="159">
        <v>10</v>
      </c>
      <c r="AJ245" s="159">
        <v>2</v>
      </c>
      <c r="AK245" s="159" t="s">
        <v>245</v>
      </c>
      <c r="AL245" s="159" t="s">
        <v>230</v>
      </c>
      <c r="AM245" s="159"/>
      <c r="AN245" s="159">
        <v>0</v>
      </c>
      <c r="AO245" s="159">
        <v>14</v>
      </c>
      <c r="AP245" s="159"/>
      <c r="AQ245" s="159">
        <v>10</v>
      </c>
      <c r="AR245" s="159">
        <v>22</v>
      </c>
      <c r="AS245" s="159">
        <v>11</v>
      </c>
      <c r="AT245" s="249">
        <v>14</v>
      </c>
      <c r="AU245" s="249">
        <v>3</v>
      </c>
      <c r="AV245" s="249"/>
      <c r="AW245" s="159"/>
      <c r="AX245" s="159">
        <v>19</v>
      </c>
      <c r="AY245" s="159"/>
      <c r="AZ245" s="159">
        <v>7</v>
      </c>
      <c r="BA245" s="159"/>
      <c r="BB245" s="159"/>
      <c r="BC245" s="259"/>
      <c r="BD245" s="259"/>
      <c r="BE245" s="259"/>
      <c r="BF245" s="259"/>
      <c r="BG245" s="259"/>
      <c r="BH245" s="259"/>
      <c r="BI245" s="259"/>
      <c r="BJ245" s="259"/>
      <c r="BK245" s="259"/>
      <c r="BL245" s="259"/>
      <c r="BM245" s="259"/>
      <c r="BN245" s="259"/>
      <c r="BO245" s="259"/>
      <c r="BP245" s="259"/>
      <c r="BQ245" s="259"/>
      <c r="BR245" s="259"/>
      <c r="BS245" s="259"/>
      <c r="BT245" s="259"/>
      <c r="BU245" s="259"/>
      <c r="BV245" s="259"/>
      <c r="BW245" s="259"/>
      <c r="BX245" s="259"/>
      <c r="BY245" s="259"/>
      <c r="BZ245" s="259"/>
      <c r="CA245" s="259"/>
      <c r="CB245" s="259"/>
      <c r="CC245" s="259"/>
      <c r="CD245" s="159">
        <v>0</v>
      </c>
      <c r="CE245" s="159"/>
      <c r="CF245" s="159"/>
      <c r="CG245" s="159">
        <v>-62</v>
      </c>
      <c r="CH245" s="159">
        <v>244</v>
      </c>
    </row>
    <row r="246" spans="1:86" x14ac:dyDescent="0.25">
      <c r="A246" s="241" t="s">
        <v>841</v>
      </c>
      <c r="B246" s="241">
        <v>0</v>
      </c>
      <c r="C246" s="241">
        <v>700</v>
      </c>
      <c r="D246" s="241">
        <v>500</v>
      </c>
      <c r="E246" s="241" t="s">
        <v>233</v>
      </c>
      <c r="F246" s="241" t="s">
        <v>50</v>
      </c>
      <c r="G246" s="265">
        <v>8960000</v>
      </c>
      <c r="H246" s="250">
        <v>0</v>
      </c>
      <c r="I246" s="250">
        <v>100</v>
      </c>
      <c r="J246" s="250">
        <v>0</v>
      </c>
      <c r="K246" s="250">
        <v>0</v>
      </c>
      <c r="L246" s="250">
        <v>0</v>
      </c>
      <c r="M246" s="250">
        <v>0</v>
      </c>
      <c r="N246" s="250">
        <v>0</v>
      </c>
      <c r="O246" s="250">
        <v>0</v>
      </c>
      <c r="P246" s="250">
        <v>0</v>
      </c>
      <c r="Q246" s="250">
        <v>0</v>
      </c>
      <c r="R246" s="250">
        <v>0</v>
      </c>
      <c r="S246" s="250">
        <v>0</v>
      </c>
      <c r="T246" s="250">
        <v>0</v>
      </c>
      <c r="U246" s="250">
        <v>0</v>
      </c>
      <c r="V246" s="250">
        <v>0</v>
      </c>
      <c r="W246" s="250">
        <v>0</v>
      </c>
      <c r="X246" s="250">
        <v>0</v>
      </c>
      <c r="Y246" s="250">
        <v>0</v>
      </c>
      <c r="Z246" s="250">
        <v>0</v>
      </c>
      <c r="AA246" s="250">
        <v>0</v>
      </c>
      <c r="AB246" s="250">
        <v>0</v>
      </c>
      <c r="AC246" s="250">
        <v>0</v>
      </c>
      <c r="AD246" s="250">
        <v>0</v>
      </c>
      <c r="AE246" s="250">
        <v>0</v>
      </c>
      <c r="AF246" s="250">
        <v>-149.74021918856832</v>
      </c>
      <c r="AG246" s="250">
        <v>-63.529671587210359</v>
      </c>
      <c r="AH246" s="241">
        <v>30</v>
      </c>
      <c r="AI246" s="241">
        <v>10</v>
      </c>
      <c r="AJ246" s="241">
        <v>2</v>
      </c>
      <c r="AK246" s="241" t="s">
        <v>245</v>
      </c>
      <c r="AL246" s="241" t="s">
        <v>230</v>
      </c>
      <c r="AM246" s="241"/>
      <c r="AN246" s="241">
        <v>0</v>
      </c>
      <c r="AO246" s="241">
        <v>14</v>
      </c>
      <c r="AP246" s="241"/>
      <c r="AQ246" s="241">
        <v>10</v>
      </c>
      <c r="AR246" s="241">
        <v>22</v>
      </c>
      <c r="AS246" s="241">
        <v>11</v>
      </c>
      <c r="AT246" s="250">
        <v>14</v>
      </c>
      <c r="AU246" s="250">
        <v>3</v>
      </c>
      <c r="AV246" s="250"/>
      <c r="AW246" s="241"/>
      <c r="AX246" s="241">
        <v>19</v>
      </c>
      <c r="AY246" s="241"/>
      <c r="AZ246" s="241">
        <v>7</v>
      </c>
      <c r="BA246" s="241"/>
      <c r="BB246" s="241"/>
      <c r="BC246" s="258"/>
      <c r="BD246" s="258"/>
      <c r="BE246" s="258"/>
      <c r="BF246" s="258"/>
      <c r="BG246" s="258"/>
      <c r="BH246" s="258"/>
      <c r="BI246" s="258"/>
      <c r="BJ246" s="258"/>
      <c r="BK246" s="258"/>
      <c r="BL246" s="258"/>
      <c r="BM246" s="258"/>
      <c r="BN246" s="258"/>
      <c r="BO246" s="258"/>
      <c r="BP246" s="258"/>
      <c r="BQ246" s="258"/>
      <c r="BR246" s="258"/>
      <c r="BS246" s="258"/>
      <c r="BT246" s="258"/>
      <c r="BU246" s="258"/>
      <c r="BV246" s="258"/>
      <c r="BW246" s="258"/>
      <c r="BX246" s="258"/>
      <c r="BY246" s="258"/>
      <c r="BZ246" s="258"/>
      <c r="CA246" s="258"/>
      <c r="CB246" s="258"/>
      <c r="CC246" s="258"/>
      <c r="CD246" s="241">
        <v>0</v>
      </c>
      <c r="CE246" s="241"/>
      <c r="CF246" s="241"/>
      <c r="CG246" s="241">
        <v>-85</v>
      </c>
      <c r="CH246" s="241">
        <v>245</v>
      </c>
    </row>
    <row r="247" spans="1:86" x14ac:dyDescent="0.25">
      <c r="A247" s="159" t="s">
        <v>842</v>
      </c>
      <c r="B247" s="159">
        <v>0</v>
      </c>
      <c r="C247" s="159">
        <v>700</v>
      </c>
      <c r="D247" s="159">
        <v>500</v>
      </c>
      <c r="E247" s="159" t="s">
        <v>233</v>
      </c>
      <c r="F247" s="159" t="s">
        <v>50</v>
      </c>
      <c r="G247" s="264">
        <v>8960000</v>
      </c>
      <c r="H247" s="249">
        <v>0</v>
      </c>
      <c r="I247" s="249">
        <v>100</v>
      </c>
      <c r="J247" s="249">
        <v>0</v>
      </c>
      <c r="K247" s="249">
        <v>0</v>
      </c>
      <c r="L247" s="249">
        <v>0</v>
      </c>
      <c r="M247" s="249">
        <v>0</v>
      </c>
      <c r="N247" s="249">
        <v>0</v>
      </c>
      <c r="O247" s="249">
        <v>0</v>
      </c>
      <c r="P247" s="249">
        <v>0</v>
      </c>
      <c r="Q247" s="249">
        <v>0</v>
      </c>
      <c r="R247" s="249">
        <v>0</v>
      </c>
      <c r="S247" s="249">
        <v>0</v>
      </c>
      <c r="T247" s="249">
        <v>0</v>
      </c>
      <c r="U247" s="249">
        <v>0</v>
      </c>
      <c r="V247" s="249">
        <v>0</v>
      </c>
      <c r="W247" s="249">
        <v>0</v>
      </c>
      <c r="X247" s="249">
        <v>0</v>
      </c>
      <c r="Y247" s="249">
        <v>0</v>
      </c>
      <c r="Z247" s="249">
        <v>0</v>
      </c>
      <c r="AA247" s="249">
        <v>0</v>
      </c>
      <c r="AB247" s="249">
        <v>0</v>
      </c>
      <c r="AC247" s="249">
        <v>0</v>
      </c>
      <c r="AD247" s="249">
        <v>0</v>
      </c>
      <c r="AE247" s="249">
        <v>0</v>
      </c>
      <c r="AF247" s="249">
        <v>-149.74021918856832</v>
      </c>
      <c r="AG247" s="249">
        <v>-63.529671587210359</v>
      </c>
      <c r="AH247" s="159">
        <v>30</v>
      </c>
      <c r="AI247" s="159">
        <v>10</v>
      </c>
      <c r="AJ247" s="159">
        <v>2</v>
      </c>
      <c r="AK247" s="159" t="s">
        <v>245</v>
      </c>
      <c r="AL247" s="159" t="s">
        <v>230</v>
      </c>
      <c r="AM247" s="159"/>
      <c r="AN247" s="159">
        <v>0</v>
      </c>
      <c r="AO247" s="159">
        <v>14</v>
      </c>
      <c r="AP247" s="159"/>
      <c r="AQ247" s="159">
        <v>10</v>
      </c>
      <c r="AR247" s="159">
        <v>22</v>
      </c>
      <c r="AS247" s="159">
        <v>11</v>
      </c>
      <c r="AT247" s="249">
        <v>14</v>
      </c>
      <c r="AU247" s="249">
        <v>3</v>
      </c>
      <c r="AV247" s="249"/>
      <c r="AW247" s="159"/>
      <c r="AX247" s="159">
        <v>19</v>
      </c>
      <c r="AY247" s="159"/>
      <c r="AZ247" s="159">
        <v>7</v>
      </c>
      <c r="BA247" s="159"/>
      <c r="BB247" s="159"/>
      <c r="BC247" s="259"/>
      <c r="BD247" s="259"/>
      <c r="BE247" s="259"/>
      <c r="BF247" s="259"/>
      <c r="BG247" s="259"/>
      <c r="BH247" s="259"/>
      <c r="BI247" s="259"/>
      <c r="BJ247" s="259"/>
      <c r="BK247" s="259"/>
      <c r="BL247" s="259"/>
      <c r="BM247" s="259"/>
      <c r="BN247" s="259"/>
      <c r="BO247" s="259"/>
      <c r="BP247" s="259"/>
      <c r="BQ247" s="259"/>
      <c r="BR247" s="259"/>
      <c r="BS247" s="259"/>
      <c r="BT247" s="259"/>
      <c r="BU247" s="259"/>
      <c r="BV247" s="259"/>
      <c r="BW247" s="259"/>
      <c r="BX247" s="259"/>
      <c r="BY247" s="259"/>
      <c r="BZ247" s="259"/>
      <c r="CA247" s="259"/>
      <c r="CB247" s="259"/>
      <c r="CC247" s="259"/>
      <c r="CD247" s="159">
        <v>0</v>
      </c>
      <c r="CE247" s="159"/>
      <c r="CF247" s="159"/>
      <c r="CG247" s="159">
        <v>-54</v>
      </c>
      <c r="CH247" s="159">
        <v>246</v>
      </c>
    </row>
    <row r="248" spans="1:86" x14ac:dyDescent="0.25">
      <c r="A248" s="241" t="s">
        <v>843</v>
      </c>
      <c r="B248" s="241">
        <v>0</v>
      </c>
      <c r="C248" s="241">
        <v>700</v>
      </c>
      <c r="D248" s="241">
        <v>500</v>
      </c>
      <c r="E248" s="241" t="s">
        <v>48</v>
      </c>
      <c r="F248" s="241" t="s">
        <v>50</v>
      </c>
      <c r="G248" s="265">
        <v>8960000</v>
      </c>
      <c r="H248" s="250">
        <v>0</v>
      </c>
      <c r="I248" s="250">
        <v>100</v>
      </c>
      <c r="J248" s="250">
        <v>0</v>
      </c>
      <c r="K248" s="250">
        <v>0</v>
      </c>
      <c r="L248" s="250">
        <v>0</v>
      </c>
      <c r="M248" s="250">
        <v>0</v>
      </c>
      <c r="N248" s="250">
        <v>0</v>
      </c>
      <c r="O248" s="250">
        <v>0</v>
      </c>
      <c r="P248" s="250">
        <v>0</v>
      </c>
      <c r="Q248" s="250">
        <v>0</v>
      </c>
      <c r="R248" s="250">
        <v>0</v>
      </c>
      <c r="S248" s="250">
        <v>0</v>
      </c>
      <c r="T248" s="250">
        <v>0</v>
      </c>
      <c r="U248" s="250">
        <v>0</v>
      </c>
      <c r="V248" s="250">
        <v>0</v>
      </c>
      <c r="W248" s="250">
        <v>0</v>
      </c>
      <c r="X248" s="250">
        <v>0</v>
      </c>
      <c r="Y248" s="250">
        <v>0</v>
      </c>
      <c r="Z248" s="250">
        <v>0</v>
      </c>
      <c r="AA248" s="250">
        <v>0</v>
      </c>
      <c r="AB248" s="250">
        <v>0</v>
      </c>
      <c r="AC248" s="250">
        <v>0</v>
      </c>
      <c r="AD248" s="250">
        <v>0</v>
      </c>
      <c r="AE248" s="250">
        <v>0</v>
      </c>
      <c r="AF248" s="250">
        <v>-149.74021918856832</v>
      </c>
      <c r="AG248" s="250">
        <v>-121.74823772574202</v>
      </c>
      <c r="AH248" s="241">
        <v>30</v>
      </c>
      <c r="AI248" s="241">
        <v>10</v>
      </c>
      <c r="AJ248" s="241">
        <v>2</v>
      </c>
      <c r="AK248" s="241" t="s">
        <v>245</v>
      </c>
      <c r="AL248" s="241" t="s">
        <v>230</v>
      </c>
      <c r="AM248" s="241"/>
      <c r="AN248" s="241">
        <v>0</v>
      </c>
      <c r="AO248" s="241">
        <v>14</v>
      </c>
      <c r="AP248" s="241"/>
      <c r="AQ248" s="241">
        <v>10</v>
      </c>
      <c r="AR248" s="241">
        <v>22</v>
      </c>
      <c r="AS248" s="241">
        <v>11</v>
      </c>
      <c r="AT248" s="250">
        <v>14</v>
      </c>
      <c r="AU248" s="250">
        <v>3</v>
      </c>
      <c r="AV248" s="250"/>
      <c r="AW248" s="241"/>
      <c r="AX248" s="241">
        <v>19</v>
      </c>
      <c r="AY248" s="241"/>
      <c r="AZ248" s="241">
        <v>7</v>
      </c>
      <c r="BA248" s="241"/>
      <c r="BB248" s="241"/>
      <c r="BC248" s="258"/>
      <c r="BD248" s="258"/>
      <c r="BE248" s="258"/>
      <c r="BF248" s="258"/>
      <c r="BG248" s="258"/>
      <c r="BH248" s="258"/>
      <c r="BI248" s="258"/>
      <c r="BJ248" s="258"/>
      <c r="BK248" s="258"/>
      <c r="BL248" s="258"/>
      <c r="BM248" s="258"/>
      <c r="BN248" s="258"/>
      <c r="BO248" s="258"/>
      <c r="BP248" s="258"/>
      <c r="BQ248" s="258"/>
      <c r="BR248" s="258"/>
      <c r="BS248" s="258"/>
      <c r="BT248" s="258"/>
      <c r="BU248" s="258"/>
      <c r="BV248" s="258"/>
      <c r="BW248" s="258"/>
      <c r="BX248" s="258"/>
      <c r="BY248" s="258"/>
      <c r="BZ248" s="258"/>
      <c r="CA248" s="258"/>
      <c r="CB248" s="258"/>
      <c r="CC248" s="258"/>
      <c r="CD248" s="241">
        <v>0</v>
      </c>
      <c r="CE248" s="241"/>
      <c r="CF248" s="241"/>
      <c r="CG248" s="241">
        <v>-49</v>
      </c>
      <c r="CH248" s="241">
        <v>247</v>
      </c>
    </row>
    <row r="249" spans="1:86" x14ac:dyDescent="0.25">
      <c r="A249" s="159" t="s">
        <v>844</v>
      </c>
      <c r="B249" s="159">
        <v>0</v>
      </c>
      <c r="C249" s="159">
        <v>700</v>
      </c>
      <c r="D249" s="159">
        <v>500</v>
      </c>
      <c r="E249" s="159" t="s">
        <v>48</v>
      </c>
      <c r="F249" s="159" t="s">
        <v>50</v>
      </c>
      <c r="G249" s="264">
        <v>8960000</v>
      </c>
      <c r="H249" s="249">
        <v>0</v>
      </c>
      <c r="I249" s="249">
        <v>100</v>
      </c>
      <c r="J249" s="249">
        <v>0</v>
      </c>
      <c r="K249" s="249">
        <v>0</v>
      </c>
      <c r="L249" s="249">
        <v>0</v>
      </c>
      <c r="M249" s="249">
        <v>0</v>
      </c>
      <c r="N249" s="249">
        <v>0</v>
      </c>
      <c r="O249" s="249">
        <v>0</v>
      </c>
      <c r="P249" s="249">
        <v>0</v>
      </c>
      <c r="Q249" s="249">
        <v>0</v>
      </c>
      <c r="R249" s="249">
        <v>0</v>
      </c>
      <c r="S249" s="249">
        <v>0</v>
      </c>
      <c r="T249" s="249">
        <v>0</v>
      </c>
      <c r="U249" s="249">
        <v>0</v>
      </c>
      <c r="V249" s="249">
        <v>0</v>
      </c>
      <c r="W249" s="249">
        <v>0</v>
      </c>
      <c r="X249" s="249">
        <v>0</v>
      </c>
      <c r="Y249" s="249">
        <v>0</v>
      </c>
      <c r="Z249" s="249">
        <v>0</v>
      </c>
      <c r="AA249" s="249">
        <v>0</v>
      </c>
      <c r="AB249" s="249">
        <v>0</v>
      </c>
      <c r="AC249" s="249">
        <v>0</v>
      </c>
      <c r="AD249" s="249">
        <v>0</v>
      </c>
      <c r="AE249" s="249">
        <v>0</v>
      </c>
      <c r="AF249" s="249">
        <v>-149.74021918856832</v>
      </c>
      <c r="AG249" s="249">
        <v>-121.74823772574202</v>
      </c>
      <c r="AH249" s="159">
        <v>30</v>
      </c>
      <c r="AI249" s="159">
        <v>10</v>
      </c>
      <c r="AJ249" s="159">
        <v>2</v>
      </c>
      <c r="AK249" s="159" t="s">
        <v>245</v>
      </c>
      <c r="AL249" s="159" t="s">
        <v>230</v>
      </c>
      <c r="AM249" s="159"/>
      <c r="AN249" s="159">
        <v>0</v>
      </c>
      <c r="AO249" s="159">
        <v>14</v>
      </c>
      <c r="AP249" s="159"/>
      <c r="AQ249" s="159">
        <v>10</v>
      </c>
      <c r="AR249" s="159">
        <v>22</v>
      </c>
      <c r="AS249" s="159">
        <v>11</v>
      </c>
      <c r="AT249" s="249">
        <v>14</v>
      </c>
      <c r="AU249" s="249">
        <v>3</v>
      </c>
      <c r="AV249" s="249"/>
      <c r="AW249" s="159"/>
      <c r="AX249" s="159">
        <v>19</v>
      </c>
      <c r="AY249" s="159"/>
      <c r="AZ249" s="159">
        <v>7</v>
      </c>
      <c r="BA249" s="159"/>
      <c r="BB249" s="159"/>
      <c r="BC249" s="259"/>
      <c r="BD249" s="259"/>
      <c r="BE249" s="259"/>
      <c r="BF249" s="259"/>
      <c r="BG249" s="259"/>
      <c r="BH249" s="259"/>
      <c r="BI249" s="259"/>
      <c r="BJ249" s="259"/>
      <c r="BK249" s="259"/>
      <c r="BL249" s="259"/>
      <c r="BM249" s="259"/>
      <c r="BN249" s="259"/>
      <c r="BO249" s="259"/>
      <c r="BP249" s="259"/>
      <c r="BQ249" s="259"/>
      <c r="BR249" s="259"/>
      <c r="BS249" s="259"/>
      <c r="BT249" s="259"/>
      <c r="BU249" s="259"/>
      <c r="BV249" s="259"/>
      <c r="BW249" s="259"/>
      <c r="BX249" s="259"/>
      <c r="BY249" s="259"/>
      <c r="BZ249" s="259"/>
      <c r="CA249" s="259"/>
      <c r="CB249" s="259"/>
      <c r="CC249" s="259"/>
      <c r="CD249" s="159">
        <v>0</v>
      </c>
      <c r="CE249" s="159"/>
      <c r="CF249" s="159"/>
      <c r="CG249" s="159">
        <v>-36</v>
      </c>
      <c r="CH249" s="159">
        <v>248</v>
      </c>
    </row>
    <row r="250" spans="1:86" ht="16.5" thickBot="1" x14ac:dyDescent="0.3">
      <c r="A250" s="242" t="s">
        <v>845</v>
      </c>
      <c r="B250" s="242">
        <v>0</v>
      </c>
      <c r="C250" s="242">
        <v>700</v>
      </c>
      <c r="D250" s="242">
        <v>500</v>
      </c>
      <c r="E250" s="242" t="s">
        <v>48</v>
      </c>
      <c r="F250" s="242" t="s">
        <v>50</v>
      </c>
      <c r="G250" s="266">
        <v>8960000</v>
      </c>
      <c r="H250" s="251">
        <v>0</v>
      </c>
      <c r="I250" s="251">
        <v>100</v>
      </c>
      <c r="J250" s="251">
        <v>0</v>
      </c>
      <c r="K250" s="251">
        <v>0</v>
      </c>
      <c r="L250" s="251">
        <v>0</v>
      </c>
      <c r="M250" s="251">
        <v>0</v>
      </c>
      <c r="N250" s="251">
        <v>0</v>
      </c>
      <c r="O250" s="251">
        <v>0</v>
      </c>
      <c r="P250" s="251">
        <v>0</v>
      </c>
      <c r="Q250" s="251">
        <v>0</v>
      </c>
      <c r="R250" s="251">
        <v>0</v>
      </c>
      <c r="S250" s="251">
        <v>0</v>
      </c>
      <c r="T250" s="251">
        <v>0</v>
      </c>
      <c r="U250" s="251">
        <v>0</v>
      </c>
      <c r="V250" s="251">
        <v>0</v>
      </c>
      <c r="W250" s="251">
        <v>0</v>
      </c>
      <c r="X250" s="251">
        <v>0</v>
      </c>
      <c r="Y250" s="251">
        <v>0</v>
      </c>
      <c r="Z250" s="251">
        <v>0</v>
      </c>
      <c r="AA250" s="251">
        <v>0</v>
      </c>
      <c r="AB250" s="251">
        <v>0</v>
      </c>
      <c r="AC250" s="251">
        <v>0</v>
      </c>
      <c r="AD250" s="251">
        <v>0</v>
      </c>
      <c r="AE250" s="251">
        <v>0</v>
      </c>
      <c r="AF250" s="251">
        <v>-149.74021918856832</v>
      </c>
      <c r="AG250" s="251">
        <v>-121.74823772574202</v>
      </c>
      <c r="AH250" s="242">
        <v>30</v>
      </c>
      <c r="AI250" s="242">
        <v>10</v>
      </c>
      <c r="AJ250" s="242">
        <v>2</v>
      </c>
      <c r="AK250" s="242" t="s">
        <v>245</v>
      </c>
      <c r="AL250" s="242" t="s">
        <v>230</v>
      </c>
      <c r="AM250" s="242"/>
      <c r="AN250" s="242">
        <v>0</v>
      </c>
      <c r="AO250" s="242">
        <v>14</v>
      </c>
      <c r="AP250" s="242"/>
      <c r="AQ250" s="242">
        <v>10</v>
      </c>
      <c r="AR250" s="242">
        <v>22</v>
      </c>
      <c r="AS250" s="242">
        <v>11</v>
      </c>
      <c r="AT250" s="251">
        <v>14</v>
      </c>
      <c r="AU250" s="251">
        <v>3</v>
      </c>
      <c r="AV250" s="251"/>
      <c r="AW250" s="242"/>
      <c r="AX250" s="242">
        <v>19</v>
      </c>
      <c r="AY250" s="242"/>
      <c r="AZ250" s="242">
        <v>7</v>
      </c>
      <c r="BA250" s="242"/>
      <c r="BB250" s="242"/>
      <c r="BC250" s="261"/>
      <c r="BD250" s="261"/>
      <c r="BE250" s="261"/>
      <c r="BF250" s="261"/>
      <c r="BG250" s="261"/>
      <c r="BH250" s="261"/>
      <c r="BI250" s="261"/>
      <c r="BJ250" s="261"/>
      <c r="BK250" s="261"/>
      <c r="BL250" s="261"/>
      <c r="BM250" s="261"/>
      <c r="BN250" s="261"/>
      <c r="BO250" s="261"/>
      <c r="BP250" s="261"/>
      <c r="BQ250" s="261"/>
      <c r="BR250" s="261"/>
      <c r="BS250" s="261"/>
      <c r="BT250" s="261"/>
      <c r="BU250" s="261"/>
      <c r="BV250" s="261"/>
      <c r="BW250" s="261"/>
      <c r="BX250" s="261"/>
      <c r="BY250" s="261"/>
      <c r="BZ250" s="261"/>
      <c r="CA250" s="261"/>
      <c r="CB250" s="261"/>
      <c r="CC250" s="261"/>
      <c r="CD250" s="242">
        <v>0</v>
      </c>
      <c r="CE250" s="242"/>
      <c r="CF250" s="242"/>
      <c r="CG250" s="242">
        <v>-42</v>
      </c>
      <c r="CH250" s="242">
        <v>249</v>
      </c>
    </row>
    <row r="251" spans="1:86" x14ac:dyDescent="0.25">
      <c r="A251" s="159" t="s">
        <v>846</v>
      </c>
      <c r="B251" s="159">
        <v>0</v>
      </c>
      <c r="C251" s="159">
        <v>850</v>
      </c>
      <c r="D251" s="159">
        <v>1000</v>
      </c>
      <c r="E251" s="159" t="s">
        <v>227</v>
      </c>
      <c r="F251" s="159" t="s">
        <v>227</v>
      </c>
      <c r="G251" s="264">
        <v>7980000</v>
      </c>
      <c r="H251" s="249">
        <v>9.7240484353809364</v>
      </c>
      <c r="I251" s="249">
        <v>18.412921987205639</v>
      </c>
      <c r="J251" s="249">
        <v>1.2855930456387075</v>
      </c>
      <c r="K251" s="249">
        <v>67.708895805837045</v>
      </c>
      <c r="L251" s="249">
        <v>0</v>
      </c>
      <c r="M251" s="249">
        <v>0</v>
      </c>
      <c r="N251" s="249">
        <v>1.658807431215414</v>
      </c>
      <c r="O251" s="249">
        <v>0</v>
      </c>
      <c r="P251" s="249">
        <v>0</v>
      </c>
      <c r="Q251" s="249">
        <v>1.0287086312485765</v>
      </c>
      <c r="R251" s="249">
        <v>9.2539631882958162E-2</v>
      </c>
      <c r="S251" s="249">
        <v>0</v>
      </c>
      <c r="T251" s="249">
        <v>0</v>
      </c>
      <c r="U251" s="249">
        <v>0</v>
      </c>
      <c r="V251" s="249">
        <v>5.3829559844090769E-2</v>
      </c>
      <c r="W251" s="249">
        <v>3.465547174662699E-2</v>
      </c>
      <c r="X251" s="249">
        <v>0</v>
      </c>
      <c r="Y251" s="249">
        <v>0</v>
      </c>
      <c r="Z251" s="249">
        <v>0</v>
      </c>
      <c r="AA251" s="249">
        <v>0</v>
      </c>
      <c r="AB251" s="249">
        <v>0</v>
      </c>
      <c r="AC251" s="249">
        <v>0</v>
      </c>
      <c r="AD251" s="249">
        <v>0</v>
      </c>
      <c r="AE251" s="249">
        <v>0</v>
      </c>
      <c r="AF251" s="249">
        <v>-132.63938713276048</v>
      </c>
      <c r="AG251" s="249">
        <v>-132.63938713276048</v>
      </c>
      <c r="AH251" s="159">
        <v>25</v>
      </c>
      <c r="AI251" s="159">
        <v>13</v>
      </c>
      <c r="AJ251" s="159">
        <v>1</v>
      </c>
      <c r="AK251" s="159" t="s">
        <v>245</v>
      </c>
      <c r="AL251" s="159" t="s">
        <v>247</v>
      </c>
      <c r="AM251" s="159"/>
      <c r="AN251" s="159">
        <v>0</v>
      </c>
      <c r="AO251" s="159"/>
      <c r="AP251" s="159"/>
      <c r="AQ251" s="159"/>
      <c r="AR251" s="159"/>
      <c r="AS251" s="159"/>
      <c r="AT251" s="249"/>
      <c r="AU251" s="249"/>
      <c r="AV251" s="249"/>
      <c r="AW251" s="159"/>
      <c r="AX251" s="159"/>
      <c r="AY251" s="159"/>
      <c r="AZ251" s="159"/>
      <c r="BA251" s="159"/>
      <c r="BB251" s="159">
        <v>19120</v>
      </c>
      <c r="BC251" s="259"/>
      <c r="BD251" s="259"/>
      <c r="BE251" s="259"/>
      <c r="BF251" s="259"/>
      <c r="BG251" s="259"/>
      <c r="BH251" s="259"/>
      <c r="BI251" s="259"/>
      <c r="BJ251" s="259"/>
      <c r="BK251" s="259"/>
      <c r="BL251" s="259"/>
      <c r="BM251" s="259"/>
      <c r="BN251" s="259"/>
      <c r="BO251" s="259"/>
      <c r="BP251" s="259"/>
      <c r="BQ251" s="259"/>
      <c r="BR251" s="259"/>
      <c r="BS251" s="259"/>
      <c r="BT251" s="259"/>
      <c r="BU251" s="259"/>
      <c r="BV251" s="259"/>
      <c r="BW251" s="259"/>
      <c r="BX251" s="259"/>
      <c r="BY251" s="259"/>
      <c r="BZ251" s="259"/>
      <c r="CA251" s="259"/>
      <c r="CB251" s="259"/>
      <c r="CC251" s="259"/>
      <c r="CD251" s="159">
        <v>0</v>
      </c>
      <c r="CE251" s="159"/>
      <c r="CF251" s="159"/>
      <c r="CG251" s="159">
        <v>5.22</v>
      </c>
      <c r="CH251" s="159">
        <v>250</v>
      </c>
    </row>
    <row r="252" spans="1:86" ht="16.5" thickBot="1" x14ac:dyDescent="0.3">
      <c r="A252" s="242" t="s">
        <v>847</v>
      </c>
      <c r="B252" s="242">
        <v>0</v>
      </c>
      <c r="C252" s="242">
        <v>850</v>
      </c>
      <c r="D252" s="242">
        <v>1000</v>
      </c>
      <c r="E252" s="242" t="s">
        <v>227</v>
      </c>
      <c r="F252" s="242" t="s">
        <v>239</v>
      </c>
      <c r="G252" s="266">
        <v>8860000</v>
      </c>
      <c r="H252" s="251">
        <v>71.490264372867387</v>
      </c>
      <c r="I252" s="251">
        <v>9.3132606373674278</v>
      </c>
      <c r="J252" s="251">
        <v>10.213432504932905</v>
      </c>
      <c r="K252" s="251">
        <v>4.4656959690008904</v>
      </c>
      <c r="L252" s="251">
        <v>0</v>
      </c>
      <c r="M252" s="251">
        <v>0</v>
      </c>
      <c r="N252" s="251">
        <v>0.88148808362414688</v>
      </c>
      <c r="O252" s="251">
        <v>0</v>
      </c>
      <c r="P252" s="251">
        <v>0</v>
      </c>
      <c r="Q252" s="251">
        <v>3.2326198367508869</v>
      </c>
      <c r="R252" s="251">
        <v>0.40323859545637492</v>
      </c>
      <c r="S252" s="251">
        <v>0</v>
      </c>
      <c r="T252" s="251">
        <v>0</v>
      </c>
      <c r="U252" s="251">
        <v>0</v>
      </c>
      <c r="V252" s="251">
        <v>0</v>
      </c>
      <c r="W252" s="251">
        <v>0</v>
      </c>
      <c r="X252" s="251">
        <v>0</v>
      </c>
      <c r="Y252" s="251">
        <v>0</v>
      </c>
      <c r="Z252" s="251">
        <v>0</v>
      </c>
      <c r="AA252" s="251">
        <v>0</v>
      </c>
      <c r="AB252" s="251">
        <v>0</v>
      </c>
      <c r="AC252" s="251">
        <v>0</v>
      </c>
      <c r="AD252" s="251">
        <v>0</v>
      </c>
      <c r="AE252" s="251">
        <v>0</v>
      </c>
      <c r="AF252" s="251">
        <v>-120.94893252609708</v>
      </c>
      <c r="AG252" s="251">
        <v>-136.54295506071665</v>
      </c>
      <c r="AH252" s="242">
        <v>25</v>
      </c>
      <c r="AI252" s="242">
        <v>13</v>
      </c>
      <c r="AJ252" s="242">
        <v>1</v>
      </c>
      <c r="AK252" s="242" t="s">
        <v>245</v>
      </c>
      <c r="AL252" s="242" t="s">
        <v>247</v>
      </c>
      <c r="AM252" s="242"/>
      <c r="AN252" s="242">
        <v>0</v>
      </c>
      <c r="AO252" s="242"/>
      <c r="AP252" s="242"/>
      <c r="AQ252" s="242"/>
      <c r="AR252" s="242"/>
      <c r="AS252" s="242"/>
      <c r="AT252" s="251"/>
      <c r="AU252" s="251"/>
      <c r="AV252" s="251"/>
      <c r="AW252" s="242"/>
      <c r="AX252" s="242"/>
      <c r="AY252" s="242"/>
      <c r="AZ252" s="242"/>
      <c r="BA252" s="242"/>
      <c r="BB252" s="242">
        <v>19120</v>
      </c>
      <c r="BC252" s="261"/>
      <c r="BD252" s="261"/>
      <c r="BE252" s="261"/>
      <c r="BF252" s="261"/>
      <c r="BG252" s="261"/>
      <c r="BH252" s="261"/>
      <c r="BI252" s="261"/>
      <c r="BJ252" s="261"/>
      <c r="BK252" s="261"/>
      <c r="BL252" s="261"/>
      <c r="BM252" s="261"/>
      <c r="BN252" s="261"/>
      <c r="BO252" s="261"/>
      <c r="BP252" s="261"/>
      <c r="BQ252" s="261"/>
      <c r="BR252" s="261"/>
      <c r="BS252" s="261"/>
      <c r="BT252" s="261"/>
      <c r="BU252" s="261"/>
      <c r="BV252" s="261"/>
      <c r="BW252" s="261"/>
      <c r="BX252" s="261"/>
      <c r="BY252" s="261"/>
      <c r="BZ252" s="261"/>
      <c r="CA252" s="261"/>
      <c r="CB252" s="261"/>
      <c r="CC252" s="261"/>
      <c r="CD252" s="242">
        <v>0</v>
      </c>
      <c r="CE252" s="242"/>
      <c r="CF252" s="242"/>
      <c r="CG252" s="242">
        <v>25.5</v>
      </c>
      <c r="CH252" s="242">
        <v>251</v>
      </c>
    </row>
    <row r="253" spans="1:86" x14ac:dyDescent="0.25">
      <c r="A253" s="159" t="s">
        <v>848</v>
      </c>
      <c r="B253" s="159">
        <v>0</v>
      </c>
      <c r="C253" s="159">
        <v>850</v>
      </c>
      <c r="D253" s="159">
        <v>500</v>
      </c>
      <c r="E253" s="159" t="s">
        <v>233</v>
      </c>
      <c r="F253" s="159" t="s">
        <v>251</v>
      </c>
      <c r="G253" s="264">
        <v>8900000</v>
      </c>
      <c r="H253" s="249">
        <v>99.582762724991355</v>
      </c>
      <c r="I253" s="249">
        <v>0</v>
      </c>
      <c r="J253" s="249">
        <v>0</v>
      </c>
      <c r="K253" s="249">
        <v>0.10527826483213952</v>
      </c>
      <c r="L253" s="249">
        <v>0</v>
      </c>
      <c r="M253" s="249">
        <v>0</v>
      </c>
      <c r="N253" s="249">
        <v>0.21404408776392403</v>
      </c>
      <c r="O253" s="249">
        <v>0</v>
      </c>
      <c r="P253" s="249">
        <v>0</v>
      </c>
      <c r="Q253" s="249">
        <v>0</v>
      </c>
      <c r="R253" s="249">
        <v>9.7914922412572727E-2</v>
      </c>
      <c r="S253" s="249">
        <v>0</v>
      </c>
      <c r="T253" s="249">
        <v>0</v>
      </c>
      <c r="U253" s="249">
        <v>0</v>
      </c>
      <c r="V253" s="249">
        <v>0</v>
      </c>
      <c r="W253" s="249">
        <v>0</v>
      </c>
      <c r="X253" s="249">
        <v>0</v>
      </c>
      <c r="Y253" s="249">
        <v>0</v>
      </c>
      <c r="Z253" s="249">
        <v>0</v>
      </c>
      <c r="AA253" s="249">
        <v>0</v>
      </c>
      <c r="AB253" s="249">
        <v>0</v>
      </c>
      <c r="AC253" s="249">
        <v>0</v>
      </c>
      <c r="AD253" s="249">
        <v>0</v>
      </c>
      <c r="AE253" s="249">
        <v>0</v>
      </c>
      <c r="AF253" s="249">
        <v>-116.42563889380685</v>
      </c>
      <c r="AG253" s="249">
        <v>-60.821750226979574</v>
      </c>
      <c r="AH253" s="159"/>
      <c r="AI253" s="159"/>
      <c r="AJ253" s="159"/>
      <c r="AK253" s="159" t="s">
        <v>245</v>
      </c>
      <c r="AL253" s="159" t="s">
        <v>230</v>
      </c>
      <c r="AM253" s="159"/>
      <c r="AN253" s="159">
        <v>0</v>
      </c>
      <c r="AO253" s="159"/>
      <c r="AP253" s="159"/>
      <c r="AQ253" s="159"/>
      <c r="AR253" s="159"/>
      <c r="AS253" s="159"/>
      <c r="AT253" s="249"/>
      <c r="AU253" s="249"/>
      <c r="AV253" s="249"/>
      <c r="AW253" s="159"/>
      <c r="AX253" s="159"/>
      <c r="AY253" s="159"/>
      <c r="AZ253" s="159"/>
      <c r="BA253" s="159"/>
      <c r="BB253" s="159"/>
      <c r="BC253" s="259"/>
      <c r="BD253" s="259"/>
      <c r="BE253" s="259"/>
      <c r="BF253" s="259"/>
      <c r="BG253" s="259"/>
      <c r="BH253" s="259"/>
      <c r="BI253" s="259"/>
      <c r="BJ253" s="259"/>
      <c r="BK253" s="259"/>
      <c r="BL253" s="259"/>
      <c r="BM253" s="259"/>
      <c r="BN253" s="259"/>
      <c r="BO253" s="259"/>
      <c r="BP253" s="259"/>
      <c r="BQ253" s="259"/>
      <c r="BR253" s="259"/>
      <c r="BS253" s="259"/>
      <c r="BT253" s="259"/>
      <c r="BU253" s="259"/>
      <c r="BV253" s="259"/>
      <c r="BW253" s="259"/>
      <c r="BX253" s="259"/>
      <c r="BY253" s="259"/>
      <c r="BZ253" s="259"/>
      <c r="CA253" s="259"/>
      <c r="CB253" s="259"/>
      <c r="CC253" s="259"/>
      <c r="CD253" s="159">
        <v>0</v>
      </c>
      <c r="CE253" s="159"/>
      <c r="CF253" s="159"/>
      <c r="CG253" s="159">
        <v>-0.1</v>
      </c>
      <c r="CH253" s="159">
        <v>252</v>
      </c>
    </row>
    <row r="254" spans="1:86" x14ac:dyDescent="0.25">
      <c r="A254" s="241" t="s">
        <v>849</v>
      </c>
      <c r="B254" s="241">
        <v>0</v>
      </c>
      <c r="C254" s="241">
        <v>850</v>
      </c>
      <c r="D254" s="241">
        <v>500</v>
      </c>
      <c r="E254" s="241" t="s">
        <v>48</v>
      </c>
      <c r="F254" s="241" t="s">
        <v>251</v>
      </c>
      <c r="G254" s="265">
        <v>8900000</v>
      </c>
      <c r="H254" s="250">
        <v>99.582762724991355</v>
      </c>
      <c r="I254" s="250">
        <v>0</v>
      </c>
      <c r="J254" s="250">
        <v>0</v>
      </c>
      <c r="K254" s="250">
        <v>0.10527826483213952</v>
      </c>
      <c r="L254" s="250">
        <v>0</v>
      </c>
      <c r="M254" s="250">
        <v>0</v>
      </c>
      <c r="N254" s="250">
        <v>0.21404408776392403</v>
      </c>
      <c r="O254" s="250">
        <v>0</v>
      </c>
      <c r="P254" s="250">
        <v>0</v>
      </c>
      <c r="Q254" s="250">
        <v>0</v>
      </c>
      <c r="R254" s="250">
        <v>9.7914922412572727E-2</v>
      </c>
      <c r="S254" s="250">
        <v>0</v>
      </c>
      <c r="T254" s="250">
        <v>0</v>
      </c>
      <c r="U254" s="250">
        <v>0</v>
      </c>
      <c r="V254" s="250">
        <v>0</v>
      </c>
      <c r="W254" s="250">
        <v>0</v>
      </c>
      <c r="X254" s="250">
        <v>0</v>
      </c>
      <c r="Y254" s="250">
        <v>0</v>
      </c>
      <c r="Z254" s="250">
        <v>0</v>
      </c>
      <c r="AA254" s="250">
        <v>0</v>
      </c>
      <c r="AB254" s="250">
        <v>0</v>
      </c>
      <c r="AC254" s="250">
        <v>0</v>
      </c>
      <c r="AD254" s="250">
        <v>0</v>
      </c>
      <c r="AE254" s="250">
        <v>0</v>
      </c>
      <c r="AF254" s="250">
        <v>-116.42563889380685</v>
      </c>
      <c r="AG254" s="250">
        <v>-116.38598529672362</v>
      </c>
      <c r="AH254" s="241"/>
      <c r="AI254" s="241"/>
      <c r="AJ254" s="241"/>
      <c r="AK254" s="241" t="s">
        <v>245</v>
      </c>
      <c r="AL254" s="241" t="s">
        <v>230</v>
      </c>
      <c r="AM254" s="241"/>
      <c r="AN254" s="241">
        <v>0</v>
      </c>
      <c r="AO254" s="241"/>
      <c r="AP254" s="241"/>
      <c r="AQ254" s="241"/>
      <c r="AR254" s="241"/>
      <c r="AS254" s="241"/>
      <c r="AT254" s="250"/>
      <c r="AU254" s="250"/>
      <c r="AV254" s="250"/>
      <c r="AW254" s="241"/>
      <c r="AX254" s="241"/>
      <c r="AY254" s="241"/>
      <c r="AZ254" s="241"/>
      <c r="BA254" s="241"/>
      <c r="BB254" s="241"/>
      <c r="BC254" s="258"/>
      <c r="BD254" s="258"/>
      <c r="BE254" s="258"/>
      <c r="BF254" s="258"/>
      <c r="BG254" s="258"/>
      <c r="BH254" s="258"/>
      <c r="BI254" s="258"/>
      <c r="BJ254" s="258"/>
      <c r="BK254" s="258"/>
      <c r="BL254" s="258"/>
      <c r="BM254" s="258"/>
      <c r="BN254" s="258"/>
      <c r="BO254" s="258"/>
      <c r="BP254" s="258"/>
      <c r="BQ254" s="258"/>
      <c r="BR254" s="258"/>
      <c r="BS254" s="258"/>
      <c r="BT254" s="258"/>
      <c r="BU254" s="258"/>
      <c r="BV254" s="258"/>
      <c r="BW254" s="258"/>
      <c r="BX254" s="258"/>
      <c r="BY254" s="258"/>
      <c r="BZ254" s="258"/>
      <c r="CA254" s="258"/>
      <c r="CB254" s="258"/>
      <c r="CC254" s="258"/>
      <c r="CD254" s="241">
        <v>0</v>
      </c>
      <c r="CE254" s="241"/>
      <c r="CF254" s="241"/>
      <c r="CG254" s="241">
        <v>-0.6</v>
      </c>
      <c r="CH254" s="241">
        <v>253</v>
      </c>
    </row>
    <row r="255" spans="1:86" x14ac:dyDescent="0.25">
      <c r="A255" s="159" t="s">
        <v>850</v>
      </c>
      <c r="B255" s="159">
        <v>0</v>
      </c>
      <c r="C255" s="159">
        <v>850</v>
      </c>
      <c r="D255" s="159">
        <v>500</v>
      </c>
      <c r="E255" s="159" t="s">
        <v>233</v>
      </c>
      <c r="F255" s="159" t="s">
        <v>239</v>
      </c>
      <c r="G255" s="264">
        <v>8860000</v>
      </c>
      <c r="H255" s="249">
        <v>76.58634988904754</v>
      </c>
      <c r="I255" s="249">
        <v>7.542502959840629</v>
      </c>
      <c r="J255" s="249">
        <v>10.445131698357409</v>
      </c>
      <c r="K255" s="249">
        <v>4.458770276525418</v>
      </c>
      <c r="L255" s="249">
        <v>3.3871371047870594E-2</v>
      </c>
      <c r="M255" s="249">
        <v>0.21128654330896371</v>
      </c>
      <c r="N255" s="249">
        <v>0.56657790303955358</v>
      </c>
      <c r="O255" s="249">
        <v>0</v>
      </c>
      <c r="P255" s="249">
        <v>0</v>
      </c>
      <c r="Q255" s="249">
        <v>0</v>
      </c>
      <c r="R255" s="249">
        <v>0.15550935883260486</v>
      </c>
      <c r="S255" s="249">
        <v>0</v>
      </c>
      <c r="T255" s="249">
        <v>0</v>
      </c>
      <c r="U255" s="249">
        <v>0</v>
      </c>
      <c r="V255" s="249">
        <v>0</v>
      </c>
      <c r="W255" s="249">
        <v>0</v>
      </c>
      <c r="X255" s="249">
        <v>0</v>
      </c>
      <c r="Y255" s="249">
        <v>0</v>
      </c>
      <c r="Z255" s="249">
        <v>0</v>
      </c>
      <c r="AA255" s="249">
        <v>0</v>
      </c>
      <c r="AB255" s="249">
        <v>0</v>
      </c>
      <c r="AC255" s="249">
        <v>0</v>
      </c>
      <c r="AD255" s="249">
        <v>0</v>
      </c>
      <c r="AE255" s="249">
        <v>0</v>
      </c>
      <c r="AF255" s="249">
        <v>-118.84917127656649</v>
      </c>
      <c r="AG255" s="249">
        <v>-60.821750226979574</v>
      </c>
      <c r="AH255" s="159"/>
      <c r="AI255" s="159"/>
      <c r="AJ255" s="159"/>
      <c r="AK255" s="159" t="s">
        <v>245</v>
      </c>
      <c r="AL255" s="159" t="s">
        <v>230</v>
      </c>
      <c r="AM255" s="159"/>
      <c r="AN255" s="159">
        <v>0</v>
      </c>
      <c r="AO255" s="159"/>
      <c r="AP255" s="159"/>
      <c r="AQ255" s="159"/>
      <c r="AR255" s="159"/>
      <c r="AS255" s="159"/>
      <c r="AT255" s="249"/>
      <c r="AU255" s="249"/>
      <c r="AV255" s="249"/>
      <c r="AW255" s="159"/>
      <c r="AX255" s="159"/>
      <c r="AY255" s="159"/>
      <c r="AZ255" s="159"/>
      <c r="BA255" s="159"/>
      <c r="BB255" s="159"/>
      <c r="BC255" s="259"/>
      <c r="BD255" s="259"/>
      <c r="BE255" s="259"/>
      <c r="BF255" s="259"/>
      <c r="BG255" s="259"/>
      <c r="BH255" s="259"/>
      <c r="BI255" s="259"/>
      <c r="BJ255" s="259"/>
      <c r="BK255" s="259"/>
      <c r="BL255" s="259"/>
      <c r="BM255" s="259"/>
      <c r="BN255" s="259"/>
      <c r="BO255" s="259"/>
      <c r="BP255" s="259"/>
      <c r="BQ255" s="259"/>
      <c r="BR255" s="259"/>
      <c r="BS255" s="259"/>
      <c r="BT255" s="259"/>
      <c r="BU255" s="259"/>
      <c r="BV255" s="259"/>
      <c r="BW255" s="259"/>
      <c r="BX255" s="259"/>
      <c r="BY255" s="259"/>
      <c r="BZ255" s="259"/>
      <c r="CA255" s="259"/>
      <c r="CB255" s="259"/>
      <c r="CC255" s="259"/>
      <c r="CD255" s="159">
        <v>0</v>
      </c>
      <c r="CE255" s="159"/>
      <c r="CF255" s="159"/>
      <c r="CG255" s="159">
        <v>-2.2999999999999998</v>
      </c>
      <c r="CH255" s="159">
        <v>254</v>
      </c>
    </row>
    <row r="256" spans="1:86" x14ac:dyDescent="0.25">
      <c r="A256" s="241" t="s">
        <v>851</v>
      </c>
      <c r="B256" s="241">
        <v>0</v>
      </c>
      <c r="C256" s="241">
        <v>850</v>
      </c>
      <c r="D256" s="241">
        <v>500</v>
      </c>
      <c r="E256" s="241" t="s">
        <v>48</v>
      </c>
      <c r="F256" s="241" t="s">
        <v>239</v>
      </c>
      <c r="G256" s="265">
        <v>8860000</v>
      </c>
      <c r="H256" s="250">
        <v>76.58634988904754</v>
      </c>
      <c r="I256" s="250">
        <v>7.542502959840629</v>
      </c>
      <c r="J256" s="250">
        <v>10.445131698357409</v>
      </c>
      <c r="K256" s="250">
        <v>4.458770276525418</v>
      </c>
      <c r="L256" s="250">
        <v>3.3871371047870594E-2</v>
      </c>
      <c r="M256" s="250">
        <v>0.21128654330896371</v>
      </c>
      <c r="N256" s="250">
        <v>0.56657790303955358</v>
      </c>
      <c r="O256" s="250">
        <v>0</v>
      </c>
      <c r="P256" s="250">
        <v>0</v>
      </c>
      <c r="Q256" s="250">
        <v>0</v>
      </c>
      <c r="R256" s="250">
        <v>0.15550935883260486</v>
      </c>
      <c r="S256" s="250">
        <v>0</v>
      </c>
      <c r="T256" s="250">
        <v>0</v>
      </c>
      <c r="U256" s="250">
        <v>0</v>
      </c>
      <c r="V256" s="250">
        <v>0</v>
      </c>
      <c r="W256" s="250">
        <v>0</v>
      </c>
      <c r="X256" s="250">
        <v>0</v>
      </c>
      <c r="Y256" s="250">
        <v>0</v>
      </c>
      <c r="Z256" s="250">
        <v>0</v>
      </c>
      <c r="AA256" s="250">
        <v>0</v>
      </c>
      <c r="AB256" s="250">
        <v>0</v>
      </c>
      <c r="AC256" s="250">
        <v>0</v>
      </c>
      <c r="AD256" s="250">
        <v>0</v>
      </c>
      <c r="AE256" s="250">
        <v>0</v>
      </c>
      <c r="AF256" s="250">
        <v>-118.84917127656649</v>
      </c>
      <c r="AG256" s="250">
        <v>-116.38598529672362</v>
      </c>
      <c r="AH256" s="241"/>
      <c r="AI256" s="241"/>
      <c r="AJ256" s="241"/>
      <c r="AK256" s="241" t="s">
        <v>245</v>
      </c>
      <c r="AL256" s="241" t="s">
        <v>230</v>
      </c>
      <c r="AM256" s="241"/>
      <c r="AN256" s="241">
        <v>0</v>
      </c>
      <c r="AO256" s="241"/>
      <c r="AP256" s="241"/>
      <c r="AQ256" s="241"/>
      <c r="AR256" s="241"/>
      <c r="AS256" s="241"/>
      <c r="AT256" s="250"/>
      <c r="AU256" s="250"/>
      <c r="AV256" s="250"/>
      <c r="AW256" s="241"/>
      <c r="AX256" s="241"/>
      <c r="AY256" s="241"/>
      <c r="AZ256" s="241"/>
      <c r="BA256" s="241"/>
      <c r="BB256" s="241"/>
      <c r="BC256" s="258"/>
      <c r="BD256" s="258"/>
      <c r="BE256" s="258"/>
      <c r="BF256" s="258"/>
      <c r="BG256" s="258"/>
      <c r="BH256" s="258"/>
      <c r="BI256" s="258"/>
      <c r="BJ256" s="258"/>
      <c r="BK256" s="258"/>
      <c r="BL256" s="258"/>
      <c r="BM256" s="258"/>
      <c r="BN256" s="258"/>
      <c r="BO256" s="258"/>
      <c r="BP256" s="258"/>
      <c r="BQ256" s="258"/>
      <c r="BR256" s="258"/>
      <c r="BS256" s="258"/>
      <c r="BT256" s="258"/>
      <c r="BU256" s="258"/>
      <c r="BV256" s="258"/>
      <c r="BW256" s="258"/>
      <c r="BX256" s="258"/>
      <c r="BY256" s="258"/>
      <c r="BZ256" s="258"/>
      <c r="CA256" s="258"/>
      <c r="CB256" s="258"/>
      <c r="CC256" s="258"/>
      <c r="CD256" s="241">
        <v>0</v>
      </c>
      <c r="CE256" s="241"/>
      <c r="CF256" s="241"/>
      <c r="CG256" s="241">
        <v>-0.8</v>
      </c>
      <c r="CH256" s="241">
        <v>255</v>
      </c>
    </row>
    <row r="257" spans="1:86" x14ac:dyDescent="0.25">
      <c r="A257" s="159" t="s">
        <v>852</v>
      </c>
      <c r="B257" s="159">
        <v>0</v>
      </c>
      <c r="C257" s="159">
        <v>850</v>
      </c>
      <c r="D257" s="159">
        <v>500</v>
      </c>
      <c r="E257" s="159" t="s">
        <v>233</v>
      </c>
      <c r="F257" s="159" t="s">
        <v>250</v>
      </c>
      <c r="G257" s="264">
        <v>7940000</v>
      </c>
      <c r="H257" s="249">
        <v>30.024318115593513</v>
      </c>
      <c r="I257" s="249">
        <v>21.876457823859138</v>
      </c>
      <c r="J257" s="249">
        <v>0</v>
      </c>
      <c r="K257" s="249">
        <v>45.229855925257233</v>
      </c>
      <c r="L257" s="249">
        <v>0</v>
      </c>
      <c r="M257" s="249">
        <v>0</v>
      </c>
      <c r="N257" s="249">
        <v>0.81199155359549113</v>
      </c>
      <c r="O257" s="249">
        <v>1.0334232754479309</v>
      </c>
      <c r="P257" s="249">
        <v>0.69893695353879692</v>
      </c>
      <c r="Q257" s="249">
        <v>0</v>
      </c>
      <c r="R257" s="249">
        <v>0.3250163527079038</v>
      </c>
      <c r="S257" s="249">
        <v>0</v>
      </c>
      <c r="T257" s="249">
        <v>0</v>
      </c>
      <c r="U257" s="249">
        <v>0</v>
      </c>
      <c r="V257" s="249">
        <v>0</v>
      </c>
      <c r="W257" s="249">
        <v>0</v>
      </c>
      <c r="X257" s="249">
        <v>0</v>
      </c>
      <c r="Y257" s="249">
        <v>0</v>
      </c>
      <c r="Z257" s="249">
        <v>0</v>
      </c>
      <c r="AA257" s="249">
        <v>0</v>
      </c>
      <c r="AB257" s="249">
        <v>0</v>
      </c>
      <c r="AC257" s="249">
        <v>0</v>
      </c>
      <c r="AD257" s="249">
        <v>0</v>
      </c>
      <c r="AE257" s="249">
        <v>0</v>
      </c>
      <c r="AF257" s="249">
        <v>-130.28483790834721</v>
      </c>
      <c r="AG257" s="249">
        <v>-60.821750226979574</v>
      </c>
      <c r="AH257" s="159"/>
      <c r="AI257" s="159"/>
      <c r="AJ257" s="159"/>
      <c r="AK257" s="159" t="s">
        <v>245</v>
      </c>
      <c r="AL257" s="159" t="s">
        <v>230</v>
      </c>
      <c r="AM257" s="159"/>
      <c r="AN257" s="159">
        <v>0</v>
      </c>
      <c r="AO257" s="159"/>
      <c r="AP257" s="159"/>
      <c r="AQ257" s="159"/>
      <c r="AR257" s="159"/>
      <c r="AS257" s="159"/>
      <c r="AT257" s="249"/>
      <c r="AU257" s="249"/>
      <c r="AV257" s="249"/>
      <c r="AW257" s="159"/>
      <c r="AX257" s="159"/>
      <c r="AY257" s="159"/>
      <c r="AZ257" s="159"/>
      <c r="BA257" s="159"/>
      <c r="BB257" s="159"/>
      <c r="BC257" s="259"/>
      <c r="BD257" s="259"/>
      <c r="BE257" s="259"/>
      <c r="BF257" s="259"/>
      <c r="BG257" s="259"/>
      <c r="BH257" s="259"/>
      <c r="BI257" s="259"/>
      <c r="BJ257" s="259"/>
      <c r="BK257" s="259"/>
      <c r="BL257" s="259"/>
      <c r="BM257" s="259"/>
      <c r="BN257" s="259"/>
      <c r="BO257" s="259"/>
      <c r="BP257" s="259"/>
      <c r="BQ257" s="259"/>
      <c r="BR257" s="259"/>
      <c r="BS257" s="259"/>
      <c r="BT257" s="259"/>
      <c r="BU257" s="259"/>
      <c r="BV257" s="259"/>
      <c r="BW257" s="259"/>
      <c r="BX257" s="259"/>
      <c r="BY257" s="259"/>
      <c r="BZ257" s="259"/>
      <c r="CA257" s="259"/>
      <c r="CB257" s="259"/>
      <c r="CC257" s="259"/>
      <c r="CD257" s="159">
        <v>0</v>
      </c>
      <c r="CE257" s="159"/>
      <c r="CF257" s="159"/>
      <c r="CG257" s="159">
        <v>-28.6</v>
      </c>
      <c r="CH257" s="159">
        <v>256</v>
      </c>
    </row>
    <row r="258" spans="1:86" x14ac:dyDescent="0.25">
      <c r="A258" s="241" t="s">
        <v>853</v>
      </c>
      <c r="B258" s="241">
        <v>0</v>
      </c>
      <c r="C258" s="241">
        <v>850</v>
      </c>
      <c r="D258" s="241">
        <v>500</v>
      </c>
      <c r="E258" s="241" t="s">
        <v>48</v>
      </c>
      <c r="F258" s="241" t="s">
        <v>250</v>
      </c>
      <c r="G258" s="265">
        <v>7940000</v>
      </c>
      <c r="H258" s="250">
        <v>30.024318115593513</v>
      </c>
      <c r="I258" s="250">
        <v>21.876457823859138</v>
      </c>
      <c r="J258" s="250">
        <v>0</v>
      </c>
      <c r="K258" s="250">
        <v>45.229855925257233</v>
      </c>
      <c r="L258" s="250">
        <v>0</v>
      </c>
      <c r="M258" s="250">
        <v>0</v>
      </c>
      <c r="N258" s="250">
        <v>0.81199155359549113</v>
      </c>
      <c r="O258" s="250">
        <v>1.0334232754479309</v>
      </c>
      <c r="P258" s="250">
        <v>0.69893695353879692</v>
      </c>
      <c r="Q258" s="250">
        <v>0</v>
      </c>
      <c r="R258" s="250">
        <v>0.3250163527079038</v>
      </c>
      <c r="S258" s="250">
        <v>0</v>
      </c>
      <c r="T258" s="250">
        <v>0</v>
      </c>
      <c r="U258" s="250">
        <v>0</v>
      </c>
      <c r="V258" s="250">
        <v>0</v>
      </c>
      <c r="W258" s="250">
        <v>0</v>
      </c>
      <c r="X258" s="250">
        <v>0</v>
      </c>
      <c r="Y258" s="250">
        <v>0</v>
      </c>
      <c r="Z258" s="250">
        <v>0</v>
      </c>
      <c r="AA258" s="250">
        <v>0</v>
      </c>
      <c r="AB258" s="250">
        <v>0</v>
      </c>
      <c r="AC258" s="250">
        <v>0</v>
      </c>
      <c r="AD258" s="250">
        <v>0</v>
      </c>
      <c r="AE258" s="250">
        <v>0</v>
      </c>
      <c r="AF258" s="250">
        <v>-130.28483790834721</v>
      </c>
      <c r="AG258" s="250">
        <v>-116.38598529672362</v>
      </c>
      <c r="AH258" s="241"/>
      <c r="AI258" s="241"/>
      <c r="AJ258" s="241"/>
      <c r="AK258" s="241" t="s">
        <v>245</v>
      </c>
      <c r="AL258" s="241" t="s">
        <v>230</v>
      </c>
      <c r="AM258" s="241"/>
      <c r="AN258" s="241">
        <v>0</v>
      </c>
      <c r="AO258" s="241"/>
      <c r="AP258" s="241"/>
      <c r="AQ258" s="241"/>
      <c r="AR258" s="241"/>
      <c r="AS258" s="241"/>
      <c r="AT258" s="250"/>
      <c r="AU258" s="250"/>
      <c r="AV258" s="250"/>
      <c r="AW258" s="241"/>
      <c r="AX258" s="241"/>
      <c r="AY258" s="241"/>
      <c r="AZ258" s="241"/>
      <c r="BA258" s="241"/>
      <c r="BB258" s="241"/>
      <c r="BC258" s="258"/>
      <c r="BD258" s="258"/>
      <c r="BE258" s="258"/>
      <c r="BF258" s="258"/>
      <c r="BG258" s="258"/>
      <c r="BH258" s="258"/>
      <c r="BI258" s="258"/>
      <c r="BJ258" s="258"/>
      <c r="BK258" s="258"/>
      <c r="BL258" s="258"/>
      <c r="BM258" s="258"/>
      <c r="BN258" s="258"/>
      <c r="BO258" s="258"/>
      <c r="BP258" s="258"/>
      <c r="BQ258" s="258"/>
      <c r="BR258" s="258"/>
      <c r="BS258" s="258"/>
      <c r="BT258" s="258"/>
      <c r="BU258" s="258"/>
      <c r="BV258" s="258"/>
      <c r="BW258" s="258"/>
      <c r="BX258" s="258"/>
      <c r="BY258" s="258"/>
      <c r="BZ258" s="258"/>
      <c r="CA258" s="258"/>
      <c r="CB258" s="258"/>
      <c r="CC258" s="258"/>
      <c r="CD258" s="241">
        <v>0</v>
      </c>
      <c r="CE258" s="241"/>
      <c r="CF258" s="241"/>
      <c r="CG258" s="241">
        <v>-33</v>
      </c>
      <c r="CH258" s="241">
        <v>257</v>
      </c>
    </row>
    <row r="259" spans="1:86" x14ac:dyDescent="0.25">
      <c r="A259" s="159" t="s">
        <v>854</v>
      </c>
      <c r="B259" s="159">
        <v>0</v>
      </c>
      <c r="C259" s="159">
        <v>850</v>
      </c>
      <c r="D259" s="159">
        <v>500</v>
      </c>
      <c r="E259" s="159" t="s">
        <v>268</v>
      </c>
      <c r="F259" s="159" t="s">
        <v>250</v>
      </c>
      <c r="G259" s="264">
        <v>7940000</v>
      </c>
      <c r="H259" s="249">
        <v>30.024318115593513</v>
      </c>
      <c r="I259" s="249">
        <v>21.876457823859138</v>
      </c>
      <c r="J259" s="249">
        <v>0</v>
      </c>
      <c r="K259" s="249">
        <v>45.229855925257233</v>
      </c>
      <c r="L259" s="249">
        <v>0</v>
      </c>
      <c r="M259" s="249">
        <v>0</v>
      </c>
      <c r="N259" s="249">
        <v>0.81199155359549113</v>
      </c>
      <c r="O259" s="249">
        <v>1.0334232754479309</v>
      </c>
      <c r="P259" s="249">
        <v>0.69893695353879692</v>
      </c>
      <c r="Q259" s="249">
        <v>0</v>
      </c>
      <c r="R259" s="249">
        <v>0.3250163527079038</v>
      </c>
      <c r="S259" s="249">
        <v>0</v>
      </c>
      <c r="T259" s="249">
        <v>0</v>
      </c>
      <c r="U259" s="249">
        <v>0</v>
      </c>
      <c r="V259" s="249">
        <v>0</v>
      </c>
      <c r="W259" s="249">
        <v>0</v>
      </c>
      <c r="X259" s="249">
        <v>0</v>
      </c>
      <c r="Y259" s="249">
        <v>0</v>
      </c>
      <c r="Z259" s="249">
        <v>0</v>
      </c>
      <c r="AA259" s="249">
        <v>0</v>
      </c>
      <c r="AB259" s="249">
        <v>0</v>
      </c>
      <c r="AC259" s="249">
        <v>0</v>
      </c>
      <c r="AD259" s="249">
        <v>0</v>
      </c>
      <c r="AE259" s="249">
        <v>0</v>
      </c>
      <c r="AF259" s="249">
        <v>-130.28483790834721</v>
      </c>
      <c r="AG259" s="249" t="s">
        <v>857</v>
      </c>
      <c r="AH259" s="159"/>
      <c r="AI259" s="159"/>
      <c r="AJ259" s="159"/>
      <c r="AK259" s="159" t="s">
        <v>245</v>
      </c>
      <c r="AL259" s="159" t="s">
        <v>230</v>
      </c>
      <c r="AM259" s="159"/>
      <c r="AN259" s="159">
        <v>0</v>
      </c>
      <c r="AO259" s="159"/>
      <c r="AP259" s="159"/>
      <c r="AQ259" s="159"/>
      <c r="AR259" s="159"/>
      <c r="AS259" s="159"/>
      <c r="AT259" s="249"/>
      <c r="AU259" s="249"/>
      <c r="AV259" s="249"/>
      <c r="AW259" s="159"/>
      <c r="AX259" s="159"/>
      <c r="AY259" s="159"/>
      <c r="AZ259" s="159"/>
      <c r="BA259" s="159"/>
      <c r="BB259" s="159"/>
      <c r="BC259" s="259"/>
      <c r="BD259" s="259"/>
      <c r="BE259" s="259"/>
      <c r="BF259" s="259"/>
      <c r="BG259" s="259"/>
      <c r="BH259" s="259"/>
      <c r="BI259" s="259"/>
      <c r="BJ259" s="259"/>
      <c r="BK259" s="259"/>
      <c r="BL259" s="259"/>
      <c r="BM259" s="259"/>
      <c r="BN259" s="259"/>
      <c r="BO259" s="259"/>
      <c r="BP259" s="259"/>
      <c r="BQ259" s="259"/>
      <c r="BR259" s="259"/>
      <c r="BS259" s="259"/>
      <c r="BT259" s="259"/>
      <c r="BU259" s="259"/>
      <c r="BV259" s="259"/>
      <c r="BW259" s="259"/>
      <c r="BX259" s="259"/>
      <c r="BY259" s="259"/>
      <c r="BZ259" s="259"/>
      <c r="CA259" s="259"/>
      <c r="CB259" s="259"/>
      <c r="CC259" s="259"/>
      <c r="CD259" s="159">
        <v>0</v>
      </c>
      <c r="CE259" s="159"/>
      <c r="CF259" s="159"/>
      <c r="CG259" s="159">
        <v>-1</v>
      </c>
      <c r="CH259" s="159">
        <v>258</v>
      </c>
    </row>
    <row r="260" spans="1:86" ht="16.5" thickBot="1" x14ac:dyDescent="0.3">
      <c r="A260" s="242" t="s">
        <v>855</v>
      </c>
      <c r="B260" s="242">
        <v>0</v>
      </c>
      <c r="C260" s="242">
        <v>850</v>
      </c>
      <c r="D260" s="242">
        <v>500</v>
      </c>
      <c r="E260" s="242" t="s">
        <v>250</v>
      </c>
      <c r="F260" s="242" t="s">
        <v>250</v>
      </c>
      <c r="G260" s="266">
        <v>7940000</v>
      </c>
      <c r="H260" s="251">
        <v>30.024318115593513</v>
      </c>
      <c r="I260" s="251">
        <v>21.876457823859138</v>
      </c>
      <c r="J260" s="251">
        <v>0</v>
      </c>
      <c r="K260" s="251">
        <v>45.229855925257233</v>
      </c>
      <c r="L260" s="251">
        <v>0</v>
      </c>
      <c r="M260" s="251">
        <v>0</v>
      </c>
      <c r="N260" s="251">
        <v>0.81199155359549113</v>
      </c>
      <c r="O260" s="251">
        <v>1.0334232754479309</v>
      </c>
      <c r="P260" s="251">
        <v>0.69893695353879692</v>
      </c>
      <c r="Q260" s="251">
        <v>0</v>
      </c>
      <c r="R260" s="251">
        <v>0.3250163527079038</v>
      </c>
      <c r="S260" s="251">
        <v>0</v>
      </c>
      <c r="T260" s="251">
        <v>0</v>
      </c>
      <c r="U260" s="251">
        <v>0</v>
      </c>
      <c r="V260" s="251">
        <v>0</v>
      </c>
      <c r="W260" s="251">
        <v>0</v>
      </c>
      <c r="X260" s="251">
        <v>0</v>
      </c>
      <c r="Y260" s="251">
        <v>0</v>
      </c>
      <c r="Z260" s="251">
        <v>0</v>
      </c>
      <c r="AA260" s="251">
        <v>0</v>
      </c>
      <c r="AB260" s="251">
        <v>0</v>
      </c>
      <c r="AC260" s="251">
        <v>0</v>
      </c>
      <c r="AD260" s="251">
        <v>0</v>
      </c>
      <c r="AE260" s="251">
        <v>0</v>
      </c>
      <c r="AF260" s="251">
        <v>-130.28483790834721</v>
      </c>
      <c r="AG260" s="251">
        <v>-130.28483790834721</v>
      </c>
      <c r="AH260" s="242"/>
      <c r="AI260" s="242"/>
      <c r="AJ260" s="242"/>
      <c r="AK260" s="242" t="s">
        <v>245</v>
      </c>
      <c r="AL260" s="242" t="s">
        <v>230</v>
      </c>
      <c r="AM260" s="242"/>
      <c r="AN260" s="242">
        <v>0</v>
      </c>
      <c r="AO260" s="242"/>
      <c r="AP260" s="242"/>
      <c r="AQ260" s="242"/>
      <c r="AR260" s="242"/>
      <c r="AS260" s="242"/>
      <c r="AT260" s="251"/>
      <c r="AU260" s="251"/>
      <c r="AV260" s="251"/>
      <c r="AW260" s="242"/>
      <c r="AX260" s="242"/>
      <c r="AY260" s="242"/>
      <c r="AZ260" s="242"/>
      <c r="BA260" s="242"/>
      <c r="BB260" s="242"/>
      <c r="BC260" s="261"/>
      <c r="BD260" s="261"/>
      <c r="BE260" s="261"/>
      <c r="BF260" s="261"/>
      <c r="BG260" s="261"/>
      <c r="BH260" s="261"/>
      <c r="BI260" s="261"/>
      <c r="BJ260" s="261"/>
      <c r="BK260" s="261"/>
      <c r="BL260" s="261"/>
      <c r="BM260" s="261"/>
      <c r="BN260" s="261"/>
      <c r="BO260" s="261"/>
      <c r="BP260" s="261"/>
      <c r="BQ260" s="261"/>
      <c r="BR260" s="261"/>
      <c r="BS260" s="261"/>
      <c r="BT260" s="261"/>
      <c r="BU260" s="261"/>
      <c r="BV260" s="261"/>
      <c r="BW260" s="261"/>
      <c r="BX260" s="261"/>
      <c r="BY260" s="261"/>
      <c r="BZ260" s="261"/>
      <c r="CA260" s="261"/>
      <c r="CB260" s="261"/>
      <c r="CC260" s="261"/>
      <c r="CD260" s="242">
        <v>0</v>
      </c>
      <c r="CE260" s="242"/>
      <c r="CF260" s="242"/>
      <c r="CG260" s="242">
        <v>-0.2</v>
      </c>
      <c r="CH260" s="242">
        <v>259</v>
      </c>
    </row>
  </sheetData>
  <autoFilter ref="A1:CH260" xr:uid="{EC547BD4-5747-498C-B54B-CB413EE86CBA}">
    <sortState xmlns:xlrd2="http://schemas.microsoft.com/office/spreadsheetml/2017/richdata2" ref="A2:CH260">
      <sortCondition ref="CH1:CH260"/>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A8255028676D344B8CB562BBDFE0E011" ma:contentTypeVersion="10" ma:contentTypeDescription="Creare un nuovo documento." ma:contentTypeScope="" ma:versionID="92aade18116e4b6b7a2f2b098ec204c2">
  <xsd:schema xmlns:xsd="http://www.w3.org/2001/XMLSchema" xmlns:xs="http://www.w3.org/2001/XMLSchema" xmlns:p="http://schemas.microsoft.com/office/2006/metadata/properties" xmlns:ns2="c549e2ef-933a-45a8-8d98-6e617aeae13a" targetNamespace="http://schemas.microsoft.com/office/2006/metadata/properties" ma:root="true" ma:fieldsID="ae46194ca763a6deb4bbffd7c5ed9a6c" ns2:_="">
    <xsd:import namespace="c549e2ef-933a-45a8-8d98-6e617aeae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49e2ef-933a-45a8-8d98-6e617aeae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2da5194d-3dcf-433e-8251-bab4c487dbd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c549e2ef-933a-45a8-8d98-6e617aeae1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F18AFE-C759-4261-A820-83915885AA18}">
  <ds:schemaRefs>
    <ds:schemaRef ds:uri="http://schemas.microsoft.com/sharepoint/v3/contenttype/forms"/>
  </ds:schemaRefs>
</ds:datastoreItem>
</file>

<file path=customXml/itemProps2.xml><?xml version="1.0" encoding="utf-8"?>
<ds:datastoreItem xmlns:ds="http://schemas.openxmlformats.org/officeDocument/2006/customXml" ds:itemID="{0CBA712A-A566-48DF-ACD5-FE41665939E9}">
  <ds:schemaRefs>
    <ds:schemaRef ds:uri="http://schemas.microsoft.com/DataMashup"/>
  </ds:schemaRefs>
</ds:datastoreItem>
</file>

<file path=customXml/itemProps3.xml><?xml version="1.0" encoding="utf-8"?>
<ds:datastoreItem xmlns:ds="http://schemas.openxmlformats.org/officeDocument/2006/customXml" ds:itemID="{68450435-D978-47AF-8F0D-162B4395F5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49e2ef-933a-45a8-8d98-6e617aeae1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F3E22FC-A162-4A99-86E7-F3369DBA93BF}">
  <ds:schemaRefs>
    <ds:schemaRef ds:uri="http://schemas.microsoft.com/office/2006/metadata/properties"/>
    <ds:schemaRef ds:uri="http://schemas.microsoft.com/office/infopath/2007/PartnerControls"/>
    <ds:schemaRef ds:uri="c549e2ef-933a-45a8-8d98-6e617aeae1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Sheet1</vt:lpstr>
      <vt:lpstr>Ellingham diagram linear coeffi</vt:lpstr>
      <vt:lpstr>∆G Ellingham Diagram coeff.</vt:lpstr>
      <vt:lpstr>Corrosion dataset</vt:lpstr>
      <vt:lpstr>Corrosion dataset to export</vt:lpstr>
      <vt:lpstr>Old-corrosion dataset to export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Vicini Silvia</dc:creator>
  <cp:keywords/>
  <dc:description/>
  <cp:lastModifiedBy>Guerriero Domenico</cp:lastModifiedBy>
  <cp:revision/>
  <cp:lastPrinted>2025-02-11T12:00:20Z</cp:lastPrinted>
  <dcterms:created xsi:type="dcterms:W3CDTF">2015-06-05T18:17:20Z</dcterms:created>
  <dcterms:modified xsi:type="dcterms:W3CDTF">2025-03-11T17:22:11Z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0x010100A8255028676D344B8CB562BBDFE0E011</vt:lpwstr>
  </property>
  <property fmtid="{D5CDD505-2E9C-101B-9397-08002B2CF9AE}" pid="3" name="MediaServiceImageTags">
    <vt:lpwstr/>
  </property>
</Properties>
</file>